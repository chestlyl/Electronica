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wadeolinger/Desktop/Dashboards/"/>
    </mc:Choice>
  </mc:AlternateContent>
  <xr:revisionPtr revIDLastSave="0" documentId="13_ncr:1_{7D383E9F-49F4-A342-904C-63CEB5E08587}" xr6:coauthVersionLast="47" xr6:coauthVersionMax="47" xr10:uidLastSave="{00000000-0000-0000-0000-000000000000}"/>
  <bookViews>
    <workbookView xWindow="920" yWindow="3020" windowWidth="37160" windowHeight="18580" tabRatio="500" activeTab="2" xr2:uid="{00000000-000D-0000-FFFF-FFFF00000000}"/>
  </bookViews>
  <sheets>
    <sheet name="Read me first" sheetId="4" r:id="rId1"/>
    <sheet name="Executive Summary" sheetId="3" r:id="rId2"/>
    <sheet name="State by State" sheetId="1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Z65" i="1" l="1"/>
  <c r="BR65" i="1" l="1"/>
  <c r="BQ65" i="1"/>
  <c r="BP65" i="1"/>
  <c r="BO65" i="1"/>
  <c r="BN65" i="1"/>
  <c r="BM65" i="1"/>
  <c r="BL65" i="1"/>
  <c r="BK65" i="1"/>
  <c r="BJ65" i="1"/>
  <c r="Z65" i="1" l="1"/>
  <c r="Y65" i="1"/>
  <c r="X65" i="1"/>
  <c r="W65" i="1"/>
  <c r="V65" i="1"/>
  <c r="U65" i="1"/>
  <c r="T65" i="1"/>
  <c r="S65" i="1"/>
  <c r="R65" i="1"/>
  <c r="P65" i="1"/>
  <c r="O65" i="1"/>
  <c r="N65" i="1"/>
  <c r="M65" i="1"/>
  <c r="L65" i="1"/>
  <c r="K65" i="1"/>
  <c r="J65" i="1"/>
  <c r="I65" i="1"/>
  <c r="H65" i="1"/>
  <c r="CH65" i="1" l="1"/>
  <c r="AP65" i="1"/>
  <c r="AO65" i="1"/>
  <c r="AN65" i="1"/>
  <c r="AM65" i="1"/>
  <c r="AL65" i="1"/>
  <c r="AK65" i="1"/>
  <c r="AJ65" i="1"/>
  <c r="AG65" i="1"/>
  <c r="CF65" i="1"/>
  <c r="CR65" i="1"/>
  <c r="CQ65" i="1"/>
  <c r="CP65" i="1"/>
  <c r="CO65" i="1"/>
  <c r="CN65" i="1"/>
  <c r="CM65" i="1"/>
  <c r="CL65" i="1"/>
  <c r="CK65" i="1"/>
  <c r="CI65" i="1"/>
  <c r="CJ65" i="1"/>
  <c r="CG65" i="1"/>
  <c r="CC65" i="1"/>
  <c r="CA65" i="1"/>
  <c r="BY65" i="1"/>
  <c r="BX65" i="1"/>
  <c r="BW65" i="1"/>
  <c r="BU65" i="1"/>
  <c r="BT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C10" i="3" s="1"/>
  <c r="CK76" i="1" l="1"/>
  <c r="C13" i="3" s="1"/>
  <c r="C12" i="3"/>
  <c r="F65" i="1"/>
  <c r="C9" i="3" s="1"/>
  <c r="AH65" i="1" l="1"/>
  <c r="AF65" i="1"/>
  <c r="AE65" i="1"/>
  <c r="AD65" i="1"/>
  <c r="AC65" i="1"/>
  <c r="AB65" i="1"/>
  <c r="E65" i="1"/>
  <c r="C11" i="3" s="1"/>
  <c r="C65" i="1"/>
  <c r="D65" i="1"/>
</calcChain>
</file>

<file path=xl/sharedStrings.xml><?xml version="1.0" encoding="utf-8"?>
<sst xmlns="http://schemas.openxmlformats.org/spreadsheetml/2006/main" count="641" uniqueCount="370">
  <si>
    <t>Total</t>
  </si>
  <si>
    <t>By position type</t>
  </si>
  <si>
    <t>Social Media</t>
  </si>
  <si>
    <t>Young</t>
  </si>
  <si>
    <t>Mega</t>
  </si>
  <si>
    <t>Sr Ldrshp</t>
  </si>
  <si>
    <t>Campus</t>
  </si>
  <si>
    <t>Teaching</t>
  </si>
  <si>
    <t>Executive</t>
  </si>
  <si>
    <t>Pastoral Care</t>
  </si>
  <si>
    <t>Unknown</t>
  </si>
  <si>
    <t>Administration</t>
  </si>
  <si>
    <t>Jr/Sr</t>
  </si>
  <si>
    <t xml:space="preserve">College/Young </t>
  </si>
  <si>
    <t>Community/</t>
  </si>
  <si>
    <t>Worship</t>
  </si>
  <si>
    <t>Comm/Mrktg</t>
  </si>
  <si>
    <t>Outreach/</t>
  </si>
  <si>
    <t>Email</t>
  </si>
  <si>
    <t>Twitter</t>
  </si>
  <si>
    <t>Facebook</t>
  </si>
  <si>
    <t>Instagram</t>
  </si>
  <si>
    <t>Other</t>
  </si>
  <si>
    <t>State</t>
  </si>
  <si>
    <t>Lead Pastor</t>
  </si>
  <si>
    <t>Staff</t>
  </si>
  <si>
    <t>Churches</t>
  </si>
  <si>
    <t>churches</t>
  </si>
  <si>
    <t>Team</t>
  </si>
  <si>
    <t>Pastors</t>
  </si>
  <si>
    <t>Pastor</t>
  </si>
  <si>
    <t>Counseling</t>
  </si>
  <si>
    <t>Asst/Associate</t>
  </si>
  <si>
    <t>Operations</t>
  </si>
  <si>
    <t>Women's</t>
  </si>
  <si>
    <t>Children's</t>
  </si>
  <si>
    <t>High</t>
  </si>
  <si>
    <t>Adults/Interns</t>
  </si>
  <si>
    <t>Groups</t>
  </si>
  <si>
    <t>Pstrs/Ldrs</t>
  </si>
  <si>
    <t>AVL-Stage</t>
  </si>
  <si>
    <t>Creative</t>
  </si>
  <si>
    <t>Men</t>
  </si>
  <si>
    <t>Missions</t>
  </si>
  <si>
    <t>Qty</t>
  </si>
  <si>
    <t>Talkers</t>
  </si>
  <si>
    <t>Followers</t>
  </si>
  <si>
    <t>Friends</t>
  </si>
  <si>
    <t>Blogs</t>
  </si>
  <si>
    <t>Media</t>
  </si>
  <si>
    <t>Alabama</t>
  </si>
  <si>
    <t>Alaska</t>
  </si>
  <si>
    <t>Arizona</t>
  </si>
  <si>
    <t>Arkansas</t>
  </si>
  <si>
    <t>California</t>
  </si>
  <si>
    <t>Canada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</si>
  <si>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</si>
  <si>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</si>
  <si>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</si>
  <si>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</si>
  <si>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</si>
  <si>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</si>
  <si>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</si>
  <si>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</si>
  <si>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</si>
  <si>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</si>
  <si>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</si>
  <si>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</si>
  <si>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</si>
  <si>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</si>
  <si>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</si>
  <si>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</si>
  <si>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</si>
  <si>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</si>
  <si>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</si>
  <si>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</si>
  <si>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</si>
  <si>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</si>
  <si>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</si>
  <si>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</si>
  <si>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</si>
  <si>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</si>
  <si>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</si>
  <si>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</si>
  <si>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</si>
  <si>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</si>
  <si>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 xml:space="preserve">Ohio 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</si>
  <si>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</si>
  <si>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</si>
  <si>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</si>
  <si>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</si>
  <si>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</si>
  <si>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</si>
  <si>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</si>
  <si>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</si>
  <si>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</si>
  <si>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</si>
  <si>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</si>
  <si>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</si>
  <si>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</si>
  <si>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</si>
  <si>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</si>
  <si>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Impressions</t>
  </si>
  <si>
    <t>IMPORTANT NOTES</t>
  </si>
  <si>
    <t>Impressions that you might be able to get access to</t>
  </si>
  <si>
    <t>(Top 1,000 SBC Churches, largest UMC Churches, other denominational sources, etc)</t>
  </si>
  <si>
    <t>Email accounts, followers (twitter/instagram/other media), friends (facebook), blogs</t>
  </si>
  <si>
    <t>Sr Leadership</t>
  </si>
  <si>
    <t>Campus Pastors</t>
  </si>
  <si>
    <t>Teaching Pastors</t>
  </si>
  <si>
    <t>Executive Pastor</t>
  </si>
  <si>
    <t>Multiple Executive Pastor positions</t>
  </si>
  <si>
    <t>Pastoral Care/Counseling</t>
  </si>
  <si>
    <t>Admin/Op's</t>
  </si>
  <si>
    <t>Those involved in Administration/Operations</t>
  </si>
  <si>
    <t>Jr/Sr High</t>
  </si>
  <si>
    <t>Anyone involved in 6th to 12th grades</t>
  </si>
  <si>
    <t>Youth/College/Young Adults</t>
  </si>
  <si>
    <t>Community/Groups</t>
  </si>
  <si>
    <t>Anyone directly involved with Worship Pastor/Leaders/Vocals/Instruments</t>
  </si>
  <si>
    <t>AVL Stage</t>
  </si>
  <si>
    <t>Comm/Marketing/Creative</t>
  </si>
  <si>
    <t>Simple amount of emails</t>
  </si>
  <si>
    <t>Accounts listed and qty of followers</t>
  </si>
  <si>
    <t>Twitter Talker</t>
  </si>
  <si>
    <t>Over 10k tweets per account</t>
  </si>
  <si>
    <t>Accounts listed and qty of friends</t>
  </si>
  <si>
    <t xml:space="preserve">Accounts listed </t>
  </si>
  <si>
    <t>Other Media (see below)</t>
  </si>
  <si>
    <t>Multisite by category</t>
  </si>
  <si>
    <t>Qty 2-4</t>
  </si>
  <si>
    <t>Qty 5-9</t>
  </si>
  <si>
    <t>Different</t>
  </si>
  <si>
    <t>Intl</t>
  </si>
  <si>
    <t>Campuses</t>
  </si>
  <si>
    <t>This data is from Mega and Multisite Churches in North America</t>
  </si>
  <si>
    <r>
      <t xml:space="preserve">This information comes </t>
    </r>
    <r>
      <rPr>
        <b/>
        <u/>
        <sz val="12"/>
        <color rgb="FFFF0000"/>
        <rFont val="Calibri (Body)"/>
      </rPr>
      <t>DIRECTLY</t>
    </r>
    <r>
      <rPr>
        <sz val="12"/>
        <color theme="1"/>
        <rFont val="Calibri (Body)"/>
      </rPr>
      <t xml:space="preserve"> off of the individual church website</t>
    </r>
  </si>
  <si>
    <t>Once the last state is cleaned, the next updates will be oldest date on record</t>
  </si>
  <si>
    <t>OTHER INFORMATION</t>
  </si>
  <si>
    <t>Pinterest, Vimeo, Youtube, Linkedin, Google, etc</t>
  </si>
  <si>
    <t>Multisite</t>
  </si>
  <si>
    <t>Race</t>
  </si>
  <si>
    <t>White</t>
  </si>
  <si>
    <t>Black</t>
  </si>
  <si>
    <t>Latino</t>
  </si>
  <si>
    <t>Asian</t>
  </si>
  <si>
    <t>Woman</t>
  </si>
  <si>
    <t>75% of staff</t>
  </si>
  <si>
    <t>Started tracking race May 2018</t>
  </si>
  <si>
    <t>This means at least 75% of the staff are listing their social media information</t>
  </si>
  <si>
    <t>Think Life/Small/Community Groups</t>
  </si>
  <si>
    <t>(This is irrelevant of church size)</t>
  </si>
  <si>
    <t>This information is cleaned/scrubbed updated every month</t>
  </si>
  <si>
    <t>The goal is not to have information older than 18 months</t>
  </si>
  <si>
    <t>These names/contacts are from Mega/Multisite Churches ONLY or from sources below</t>
  </si>
  <si>
    <t>Accounting for Lead Pastors ONLY at the moment</t>
  </si>
  <si>
    <t>Built by Connected Churches</t>
  </si>
  <si>
    <t>CONTACTS</t>
  </si>
  <si>
    <t>POSITIONS</t>
  </si>
  <si>
    <t>COMMUNICATIONS</t>
  </si>
  <si>
    <t>By Size</t>
  </si>
  <si>
    <t>Attendance Range</t>
  </si>
  <si>
    <t>3-5k</t>
  </si>
  <si>
    <t>SIZE</t>
  </si>
  <si>
    <t>GROWTH</t>
  </si>
  <si>
    <t>(mid 40's younger)</t>
  </si>
  <si>
    <t>Key information/legend at the bottom</t>
  </si>
  <si>
    <t>* You will see an explosion of Younger Lead Pastors in the next couple of years (Boomers exiting)</t>
  </si>
  <si>
    <t>* Currently the Greater Northwest as the highest concentration of Young Lead Pastors anywhere in North America</t>
  </si>
  <si>
    <t>list their</t>
  </si>
  <si>
    <t>social media</t>
  </si>
  <si>
    <t>Social Media Connected</t>
  </si>
  <si>
    <t>Which is one reason why you want to know who the younger leaders now</t>
  </si>
  <si>
    <t>Senior Leadership</t>
  </si>
  <si>
    <t>Emails</t>
  </si>
  <si>
    <t>States</t>
  </si>
  <si>
    <t>All Staff</t>
  </si>
  <si>
    <t>Mega Churches</t>
  </si>
  <si>
    <t>Including Canada</t>
  </si>
  <si>
    <t xml:space="preserve">Email accounts, followers (twitter/instagram/other media), </t>
  </si>
  <si>
    <t>By Sr Leadership (Campus, Teaching &amp; Executive)</t>
  </si>
  <si>
    <t>Email 1</t>
  </si>
  <si>
    <t>Email 2</t>
  </si>
  <si>
    <t>Executive Summary</t>
  </si>
  <si>
    <t>friends (facebook), blogs, etc</t>
  </si>
  <si>
    <t>(Multiple denomination's)</t>
  </si>
  <si>
    <t>This database is one of many databses Connected Churches has</t>
  </si>
  <si>
    <t>This particular database is Mega Multisite Churches throughout North America</t>
  </si>
  <si>
    <t xml:space="preserve">Information is updated by going to the oldest information, cleaning, updating and moving to the next oldest </t>
  </si>
  <si>
    <t>If you see cells that have no information please note it will once a updat of that state is posted</t>
  </si>
  <si>
    <t>Obviously information can vary and we have a COVID disclaimer.</t>
  </si>
  <si>
    <t xml:space="preserve">After COVID information from churches has chnaged dramatically </t>
  </si>
  <si>
    <t>Some of the more notable changes, is a downsizing (attendance, staff, multisite locations, etc)</t>
  </si>
  <si>
    <t>Assembly of God</t>
  </si>
  <si>
    <t>Foursquare</t>
  </si>
  <si>
    <t>ECO</t>
  </si>
  <si>
    <t>Other Databases of Interest (some of the more requested)</t>
  </si>
  <si>
    <t>Southern Baptist (12 states and growing)</t>
  </si>
  <si>
    <t>Other Area's of Influence</t>
  </si>
  <si>
    <t>Mail</t>
  </si>
  <si>
    <t>Size of Individual Church Staff</t>
  </si>
  <si>
    <t>Do they host</t>
  </si>
  <si>
    <t>Written</t>
  </si>
  <si>
    <t>On-Site</t>
  </si>
  <si>
    <t>Radio/TV</t>
  </si>
  <si>
    <t>Network</t>
  </si>
  <si>
    <t xml:space="preserve">Other </t>
  </si>
  <si>
    <t>My</t>
  </si>
  <si>
    <t>ARC</t>
  </si>
  <si>
    <t>Qty 1-5</t>
  </si>
  <si>
    <t>Qty 6-10</t>
  </si>
  <si>
    <t>Qty 11-19</t>
  </si>
  <si>
    <t>20-49</t>
  </si>
  <si>
    <t>50-99</t>
  </si>
  <si>
    <t>100-199</t>
  </si>
  <si>
    <t>200-299</t>
  </si>
  <si>
    <t>300-399</t>
  </si>
  <si>
    <t>400+</t>
  </si>
  <si>
    <t>conferences</t>
  </si>
  <si>
    <t>Podcast</t>
  </si>
  <si>
    <t>Multiple Books</t>
  </si>
  <si>
    <t>Book store</t>
  </si>
  <si>
    <t>Reach</t>
  </si>
  <si>
    <t>Leader</t>
  </si>
  <si>
    <t>Misc</t>
  </si>
  <si>
    <t>Top 10</t>
  </si>
  <si>
    <t>Copy</t>
  </si>
  <si>
    <t>INFLUENCE</t>
  </si>
  <si>
    <t>LEAD PASTORS</t>
  </si>
  <si>
    <t>EXECUTIVE TEAMS</t>
  </si>
  <si>
    <t xml:space="preserve">These columns got added in 2023, so there is little to no history </t>
  </si>
  <si>
    <t xml:space="preserve">These columns got added in 2024, so there is little to no history </t>
  </si>
  <si>
    <t>Outreach</t>
  </si>
  <si>
    <t>Largest</t>
  </si>
  <si>
    <t>Fastest</t>
  </si>
  <si>
    <t>Church</t>
  </si>
  <si>
    <t>5-9k</t>
  </si>
  <si>
    <t>10k+</t>
  </si>
  <si>
    <t>0-999</t>
  </si>
  <si>
    <t>1-2k</t>
  </si>
  <si>
    <t>2-3k</t>
  </si>
  <si>
    <t>Staffing</t>
  </si>
  <si>
    <t>Outreach Mag</t>
  </si>
  <si>
    <t>Is the highest ranking positions that the INDIVIDUAL church defines</t>
  </si>
  <si>
    <t>Primarily those who do Pastoral Care/Counseling but also misc others</t>
  </si>
  <si>
    <t>Misc positions</t>
  </si>
  <si>
    <t>Anyone involved in womens ministry</t>
  </si>
  <si>
    <t>Anyone involved from baby's to 5th grade'ish</t>
  </si>
  <si>
    <t>Anyone involved with College, Young Adult and Intern Programs</t>
  </si>
  <si>
    <t>Think technical arts, audio/video/lighting/broadcasting</t>
  </si>
  <si>
    <t>Anyone involved with communications, marketing, promotions, creatives</t>
  </si>
  <si>
    <t>Means the HIGHEST ranked in column/category</t>
  </si>
  <si>
    <t>Means a higher percentage than average</t>
  </si>
  <si>
    <t>Those involved in Teaching/Communications</t>
  </si>
  <si>
    <t xml:space="preserve">Leading individual campuses/locations </t>
  </si>
  <si>
    <t>DEFINITIONS of POSITIONS</t>
  </si>
  <si>
    <t>DEFINITIONS of SOCIAL MEDIA</t>
  </si>
  <si>
    <t>TOTAL IMPRESSIONS</t>
  </si>
  <si>
    <t>DEFINITIONS</t>
  </si>
  <si>
    <t>Conferences</t>
  </si>
  <si>
    <t>Podcasts</t>
  </si>
  <si>
    <t>Books</t>
  </si>
  <si>
    <t>Onsite Sales</t>
  </si>
  <si>
    <t>Other Misc</t>
  </si>
  <si>
    <t>My Top 10</t>
  </si>
  <si>
    <t>ARC Copy</t>
  </si>
  <si>
    <t>Does this church host conferences</t>
  </si>
  <si>
    <t>Does this Pastor(s) have a podcast</t>
  </si>
  <si>
    <t>Has this Pastor written a book(s)</t>
  </si>
  <si>
    <t>Do they know "how to" sell</t>
  </si>
  <si>
    <t>Does this Pastor have a Radio/TV program</t>
  </si>
  <si>
    <t>Are they apart of a Network of Influence</t>
  </si>
  <si>
    <t>Misc Influence (maybe Board Seat at National Non-Profit)</t>
  </si>
  <si>
    <t>Top 10 Influence in their State</t>
  </si>
  <si>
    <t>Needs ARC (Advance Reader Copy) of your book</t>
  </si>
  <si>
    <t>Countries</t>
  </si>
  <si>
    <t>Argentina</t>
  </si>
  <si>
    <t>Australia</t>
  </si>
  <si>
    <t>Belgium</t>
  </si>
  <si>
    <t>Bolivia</t>
  </si>
  <si>
    <t>Brussels</t>
  </si>
  <si>
    <t>Chile</t>
  </si>
  <si>
    <t>China</t>
  </si>
  <si>
    <t>Columbia</t>
  </si>
  <si>
    <t>Costa Rica</t>
  </si>
  <si>
    <t>Dominican Republic</t>
  </si>
  <si>
    <t>England</t>
  </si>
  <si>
    <t>Eswatini</t>
  </si>
  <si>
    <t>Ethopia</t>
  </si>
  <si>
    <t>Germany</t>
  </si>
  <si>
    <t>Ghana</t>
  </si>
  <si>
    <t>Guatemala</t>
  </si>
  <si>
    <t>Haiti</t>
  </si>
  <si>
    <t>Massachusetts</t>
  </si>
  <si>
    <t>Honduras</t>
  </si>
  <si>
    <t>Hong Kong</t>
  </si>
  <si>
    <t>India</t>
  </si>
  <si>
    <t>Indonesia</t>
  </si>
  <si>
    <t>Italy</t>
  </si>
  <si>
    <t>Japan</t>
  </si>
  <si>
    <t>Kenya</t>
  </si>
  <si>
    <t>Lesotho</t>
  </si>
  <si>
    <t>Nebraksa</t>
  </si>
  <si>
    <t>Lithuania</t>
  </si>
  <si>
    <t>London</t>
  </si>
  <si>
    <t>Mexico</t>
  </si>
  <si>
    <t>Middle East</t>
  </si>
  <si>
    <t>Mozambique</t>
  </si>
  <si>
    <t>Ohio</t>
  </si>
  <si>
    <t>Myanamr</t>
  </si>
  <si>
    <t>Netherlands</t>
  </si>
  <si>
    <t>Peru</t>
  </si>
  <si>
    <t>Philippines</t>
  </si>
  <si>
    <t>Puerto Rico</t>
  </si>
  <si>
    <t>Saudi Arabia</t>
  </si>
  <si>
    <t>Serbia</t>
  </si>
  <si>
    <t>Sierra Leone</t>
  </si>
  <si>
    <t>South Africa</t>
  </si>
  <si>
    <t>Spain</t>
  </si>
  <si>
    <t>Thailand</t>
  </si>
  <si>
    <t>Vancouver-BC</t>
  </si>
  <si>
    <t>Zimbabwe</t>
  </si>
  <si>
    <t>State(s)</t>
  </si>
  <si>
    <t>Argentina, Australia, England(2), Germany, Italy, Hong Kong, Mexico(4), Myanamr, Philippines(2), Vancouver-BC</t>
  </si>
  <si>
    <t>Columbia, Costa Rica, Dominican Republic, Guatemala, India, Netherlands, Peru, South Africa, Zimbabwe</t>
  </si>
  <si>
    <t>Qty 10-14</t>
  </si>
  <si>
    <t>15+</t>
  </si>
  <si>
    <t>GA, TN</t>
  </si>
  <si>
    <t>CA, NE, OK</t>
  </si>
  <si>
    <t>NY</t>
  </si>
  <si>
    <t>AZ, HI(3), ID, MA, MN, NV(2), OH(2), SC, VA</t>
  </si>
  <si>
    <t>FL, TX</t>
  </si>
  <si>
    <t>VA</t>
  </si>
  <si>
    <t>AL, DC, GA, IN, KY, MI, NC, VA, WI</t>
  </si>
  <si>
    <t xml:space="preserve">CA, DC(2), FL, LA, MO,  SC, TN(2), </t>
  </si>
  <si>
    <t>AZ, CA</t>
  </si>
  <si>
    <t>FL, GA, IN</t>
  </si>
  <si>
    <t>KY</t>
  </si>
  <si>
    <t>MN</t>
  </si>
  <si>
    <t>IN</t>
  </si>
  <si>
    <t>GA, MS(2), TX</t>
  </si>
  <si>
    <t xml:space="preserve">Costa Rica, Eswatini, Honduras, Mozambique, Puerto Rico, Spain, </t>
  </si>
  <si>
    <t>NC(2), VA</t>
  </si>
  <si>
    <t>TX</t>
  </si>
  <si>
    <t>China, Indonesia</t>
  </si>
  <si>
    <t>Canada, Eswatini, Mexico</t>
  </si>
  <si>
    <t>FL(3), IA(2), IL(3), KS, KY, MI(2)</t>
  </si>
  <si>
    <t>ID, OR, UT, WY</t>
  </si>
  <si>
    <t>Serbia(3)</t>
  </si>
  <si>
    <t>Australia, Mexico</t>
  </si>
  <si>
    <t>GA,PA</t>
  </si>
  <si>
    <t>DE, FL, GA, NJ, PA(2)</t>
  </si>
  <si>
    <t>Eswatini, London</t>
  </si>
  <si>
    <t>Canada(2), Germany, South Africa</t>
  </si>
  <si>
    <t>GA, KY</t>
  </si>
  <si>
    <t>AR(2), CO(5), FL(2), IA, KS(5), MO(3), NE, NM, NY, TN, TX(10)</t>
  </si>
  <si>
    <t>Bolivia, Lesotho</t>
  </si>
  <si>
    <t>CA, WA(2)</t>
  </si>
  <si>
    <t>FL, NY(3)</t>
  </si>
  <si>
    <t>MD, NC(3)</t>
  </si>
  <si>
    <t xml:space="preserve">Sierra Leone, Ghana, </t>
  </si>
  <si>
    <t>DC, IL, MA, NY(2)</t>
  </si>
  <si>
    <t>Belgium, Chile, Italy, South Africa, Thailand</t>
  </si>
  <si>
    <t>FL, MO, NJ, WY</t>
  </si>
  <si>
    <t xml:space="preserve">Guatemala(2), Italy, Kenya, Mexico(6), Mozambique </t>
  </si>
  <si>
    <t>MD, MO, NC</t>
  </si>
  <si>
    <t>Germany, Middle East</t>
  </si>
  <si>
    <t>ID, MT, NV, OR, UT</t>
  </si>
  <si>
    <t>Campuses in</t>
  </si>
  <si>
    <t>AK, AL, CO, FL(3), HI, KY(2), LA, MO, NV, SC(3), TN, TX(3), VA(7),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</si>
</sst>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 (Body)"/>
    </font>
    <font>
      <b/>
      <sz val="12"/>
      <name val="Calibri (Body)"/>
    </font>
    <font>
      <b/>
      <sz val="12"/>
      <color theme="1"/>
      <name val="Calibri (Body)"/>
    </font>
    <font>
      <sz val="12"/>
      <name val="Calibri (Body)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rgb="FFFF0000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 (Body)"/>
    </font>
    <font>
      <sz val="12"/>
      <color rgb="FFFF0000"/>
      <name val="Calibri"/>
      <family val="2"/>
      <scheme val="minor"/>
    </font>
    <font>
      <b/>
      <sz val="14"/>
      <color theme="1"/>
      <name val="Calibri (Body)"/>
    </font>
    <font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 (Body)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9" fontId="1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3" xfId="0" applyFont="1" applyBorder="1"/>
    <xf numFmtId="3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16" fontId="2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" fillId="3" borderId="3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4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4" xfId="0" applyFont="1" applyBorder="1"/>
    <xf numFmtId="0" fontId="15" fillId="0" borderId="5" xfId="0" applyFont="1" applyBorder="1" applyAlignment="1">
      <alignment horizontal="center"/>
    </xf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8" xfId="0" applyFont="1" applyBorder="1" applyAlignment="1">
      <alignment horizontal="left"/>
    </xf>
    <xf numFmtId="0" fontId="15" fillId="0" borderId="9" xfId="0" applyFont="1" applyBorder="1"/>
    <xf numFmtId="0" fontId="15" fillId="0" borderId="10" xfId="0" applyFont="1" applyBorder="1" applyAlignment="1">
      <alignment horizontal="center"/>
    </xf>
    <xf numFmtId="0" fontId="15" fillId="0" borderId="11" xfId="0" applyFont="1" applyBorder="1"/>
    <xf numFmtId="0" fontId="18" fillId="0" borderId="0" xfId="0" applyFont="1"/>
    <xf numFmtId="0" fontId="13" fillId="0" borderId="3" xfId="0" applyFont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15" fillId="0" borderId="3" xfId="0" applyFont="1" applyBorder="1"/>
    <xf numFmtId="0" fontId="15" fillId="0" borderId="5" xfId="0" applyFont="1" applyBorder="1"/>
    <xf numFmtId="0" fontId="15" fillId="0" borderId="10" xfId="0" applyFont="1" applyBorder="1"/>
    <xf numFmtId="3" fontId="16" fillId="2" borderId="3" xfId="0" applyNumberFormat="1" applyFont="1" applyFill="1" applyBorder="1" applyAlignment="1">
      <alignment horizontal="center"/>
    </xf>
    <xf numFmtId="3" fontId="6" fillId="2" borderId="3" xfId="0" applyNumberFormat="1" applyFont="1" applyFill="1" applyBorder="1" applyAlignment="1">
      <alignment horizontal="center"/>
    </xf>
    <xf numFmtId="0" fontId="19" fillId="0" borderId="0" xfId="0" applyFont="1"/>
    <xf numFmtId="3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3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0" borderId="2" xfId="0" applyFont="1" applyBorder="1" applyAlignment="1">
      <alignment horizontal="left"/>
    </xf>
    <xf numFmtId="0" fontId="0" fillId="0" borderId="3" xfId="0" applyBorder="1"/>
    <xf numFmtId="0" fontId="0" fillId="2" borderId="3" xfId="0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/>
    <xf numFmtId="0" fontId="4" fillId="0" borderId="3" xfId="0" applyFont="1" applyBorder="1" applyAlignment="1">
      <alignment horizontal="left"/>
    </xf>
    <xf numFmtId="0" fontId="5" fillId="0" borderId="3" xfId="0" applyFont="1" applyBorder="1" applyAlignment="1" applyProtection="1">
      <alignment horizontal="left"/>
      <protection locked="0"/>
    </xf>
    <xf numFmtId="16" fontId="2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6" fillId="5" borderId="3" xfId="0" applyFont="1" applyFill="1" applyBorder="1" applyAlignment="1">
      <alignment horizontal="left"/>
    </xf>
    <xf numFmtId="9" fontId="1" fillId="0" borderId="3" xfId="0" applyNumberFormat="1" applyFont="1" applyBorder="1" applyAlignment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2374-A722-0343-A831-0273F2BDB9E8}">
  <dimension ref="B7:E25"/>
  <sheetViews>
    <sheetView workbookViewId="0">
      <selection activeCell="B32" sqref="B32"/>
    </sheetView>
  </sheetViews>
  <sheetFormatPr baseColWidth="10" defaultRowHeight="19" x14ac:dyDescent="0.25"/>
  <cols>
    <col min="1" max="1" width="10.83203125" style="54"/>
    <col min="2" max="2" width="33.83203125" style="54" customWidth="1"/>
    <col min="3" max="16384" width="10.83203125" style="54"/>
  </cols>
  <sheetData>
    <row r="7" spans="2:2" x14ac:dyDescent="0.25">
      <c r="B7" s="54" t="s">
        <v>187</v>
      </c>
    </row>
    <row r="9" spans="2:2" x14ac:dyDescent="0.25">
      <c r="B9" s="54" t="s">
        <v>188</v>
      </c>
    </row>
    <row r="11" spans="2:2" x14ac:dyDescent="0.25">
      <c r="B11" s="54" t="s">
        <v>189</v>
      </c>
    </row>
    <row r="13" spans="2:2" x14ac:dyDescent="0.25">
      <c r="B13" s="54" t="s">
        <v>190</v>
      </c>
    </row>
    <row r="14" spans="2:2" x14ac:dyDescent="0.25">
      <c r="B14" s="54" t="s">
        <v>191</v>
      </c>
    </row>
    <row r="15" spans="2:2" x14ac:dyDescent="0.25">
      <c r="B15" s="54" t="s">
        <v>192</v>
      </c>
    </row>
    <row r="17" spans="2:5" x14ac:dyDescent="0.25">
      <c r="B17" s="54" t="s">
        <v>186</v>
      </c>
    </row>
    <row r="19" spans="2:5" x14ac:dyDescent="0.25">
      <c r="B19" s="54" t="s">
        <v>196</v>
      </c>
    </row>
    <row r="20" spans="2:5" x14ac:dyDescent="0.25">
      <c r="D20" s="29" t="s">
        <v>0</v>
      </c>
      <c r="E20" s="29" t="s">
        <v>0</v>
      </c>
    </row>
    <row r="21" spans="2:5" ht="20" thickBot="1" x14ac:dyDescent="0.3">
      <c r="D21" s="30" t="s">
        <v>25</v>
      </c>
      <c r="E21" s="30" t="s">
        <v>26</v>
      </c>
    </row>
    <row r="22" spans="2:5" x14ac:dyDescent="0.25">
      <c r="B22" s="54" t="s">
        <v>193</v>
      </c>
      <c r="D22" s="55">
        <v>52203</v>
      </c>
      <c r="E22" s="55">
        <v>26560</v>
      </c>
    </row>
    <row r="23" spans="2:5" x14ac:dyDescent="0.25">
      <c r="B23" s="54" t="s">
        <v>194</v>
      </c>
      <c r="D23" s="56">
        <v>4454</v>
      </c>
      <c r="E23" s="56">
        <v>1558</v>
      </c>
    </row>
    <row r="24" spans="2:5" x14ac:dyDescent="0.25">
      <c r="B24" s="54" t="s">
        <v>195</v>
      </c>
      <c r="D24" s="56">
        <v>401</v>
      </c>
      <c r="E24" s="56">
        <v>3026</v>
      </c>
    </row>
    <row r="25" spans="2:5" x14ac:dyDescent="0.25">
      <c r="B25" s="54" t="s">
        <v>197</v>
      </c>
      <c r="D25" s="56">
        <v>5391</v>
      </c>
      <c r="E25" s="56">
        <v>2371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4451-AFE5-244D-81CE-F5DD9461200D}">
  <dimension ref="A3:G16"/>
  <sheetViews>
    <sheetView workbookViewId="0">
      <selection activeCell="D2" sqref="D2"/>
    </sheetView>
  </sheetViews>
  <sheetFormatPr baseColWidth="10" defaultRowHeight="24" x14ac:dyDescent="0.3"/>
  <cols>
    <col min="1" max="1" width="10.83203125" style="33"/>
    <col min="2" max="2" width="31.83203125" style="33" bestFit="1" customWidth="1"/>
    <col min="3" max="3" width="15.1640625" style="35" bestFit="1" customWidth="1"/>
    <col min="4" max="4" width="75" style="33" bestFit="1" customWidth="1"/>
    <col min="5" max="16384" width="10.83203125" style="33"/>
  </cols>
  <sheetData>
    <row r="3" spans="1:7" ht="29" x14ac:dyDescent="0.35">
      <c r="B3" s="45" t="s">
        <v>183</v>
      </c>
    </row>
    <row r="4" spans="1:7" ht="25" thickBot="1" x14ac:dyDescent="0.35"/>
    <row r="5" spans="1:7" x14ac:dyDescent="0.3">
      <c r="A5" s="36"/>
      <c r="B5" s="50" t="s">
        <v>177</v>
      </c>
      <c r="C5" s="37"/>
      <c r="D5" s="38"/>
    </row>
    <row r="6" spans="1:7" x14ac:dyDescent="0.3">
      <c r="A6" s="39"/>
      <c r="B6" s="49" t="s">
        <v>185</v>
      </c>
      <c r="C6" s="32"/>
      <c r="D6" s="40"/>
    </row>
    <row r="7" spans="1:7" x14ac:dyDescent="0.3">
      <c r="A7" s="39"/>
      <c r="B7" s="49"/>
      <c r="C7" s="32"/>
      <c r="D7" s="40"/>
    </row>
    <row r="8" spans="1:7" x14ac:dyDescent="0.3">
      <c r="A8" s="39"/>
      <c r="B8" s="49" t="s">
        <v>175</v>
      </c>
      <c r="C8" s="32">
        <v>58</v>
      </c>
      <c r="D8" s="40" t="s">
        <v>178</v>
      </c>
    </row>
    <row r="9" spans="1:7" x14ac:dyDescent="0.3">
      <c r="A9" s="39"/>
      <c r="B9" s="49" t="s">
        <v>26</v>
      </c>
      <c r="C9" s="32">
        <f>SUM('State by State'!F65)</f>
        <v>2403</v>
      </c>
      <c r="D9" s="40"/>
    </row>
    <row r="10" spans="1:7" x14ac:dyDescent="0.3">
      <c r="A10" s="39"/>
      <c r="B10" s="49" t="s">
        <v>173</v>
      </c>
      <c r="C10" s="32">
        <f>SUM('State by State'!AR65)</f>
        <v>3814</v>
      </c>
      <c r="D10" s="40"/>
    </row>
    <row r="11" spans="1:7" x14ac:dyDescent="0.3">
      <c r="A11" s="39"/>
      <c r="B11" s="49" t="s">
        <v>176</v>
      </c>
      <c r="C11" s="32">
        <f>SUM('State by State'!E65)</f>
        <v>64032</v>
      </c>
      <c r="D11" s="40"/>
    </row>
    <row r="12" spans="1:7" x14ac:dyDescent="0.3">
      <c r="A12" s="39"/>
      <c r="B12" s="49" t="s">
        <v>174</v>
      </c>
      <c r="C12" s="32">
        <f>SUM('State by State'!CG65:CH65)</f>
        <v>47116</v>
      </c>
      <c r="D12" s="40"/>
    </row>
    <row r="13" spans="1:7" x14ac:dyDescent="0.3">
      <c r="A13" s="39"/>
      <c r="B13" s="49" t="s">
        <v>102</v>
      </c>
      <c r="C13" s="52">
        <f>SUM('State by State'!CK76)</f>
        <v>32270001</v>
      </c>
      <c r="D13" s="41" t="s">
        <v>104</v>
      </c>
    </row>
    <row r="14" spans="1:7" x14ac:dyDescent="0.3">
      <c r="A14" s="39"/>
      <c r="B14" s="49"/>
      <c r="C14" s="32"/>
      <c r="D14" s="41" t="s">
        <v>179</v>
      </c>
      <c r="G14" s="34"/>
    </row>
    <row r="15" spans="1:7" x14ac:dyDescent="0.3">
      <c r="A15" s="39"/>
      <c r="B15" s="49"/>
      <c r="C15" s="32"/>
      <c r="D15" s="40" t="s">
        <v>184</v>
      </c>
      <c r="G15" s="34"/>
    </row>
    <row r="16" spans="1:7" ht="25" thickBot="1" x14ac:dyDescent="0.35">
      <c r="A16" s="42"/>
      <c r="B16" s="51"/>
      <c r="C16" s="43"/>
      <c r="D16" s="44"/>
      <c r="G16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21"/>
  <sheetViews>
    <sheetView tabSelected="1" zoomScaleNormal="100" zoomScalePageLayoutView="80" workbookViewId="0">
      <selection activeCell="A28" sqref="A28"/>
    </sheetView>
  </sheetViews>
  <sheetFormatPr baseColWidth="10" defaultRowHeight="16" x14ac:dyDescent="0.2"/>
  <cols>
    <col min="1" max="1" width="5.6640625" style="7" customWidth="1"/>
    <col min="2" max="2" width="26.33203125" style="7" customWidth="1"/>
    <col min="3" max="4" width="16.83203125" style="7" bestFit="1" customWidth="1"/>
    <col min="5" max="6" width="8.5" style="7" bestFit="1" customWidth="1"/>
    <col min="7" max="7" width="5.83203125" style="7" customWidth="1"/>
    <col min="8" max="8" width="8" style="59" customWidth="1"/>
    <col min="9" max="9" width="7.83203125" style="59" customWidth="1"/>
    <col min="10" max="10" width="9.83203125" style="59" customWidth="1"/>
    <col min="11" max="12" width="5.83203125" style="59" customWidth="1"/>
    <col min="13" max="15" width="7.83203125" style="59" bestFit="1" customWidth="1"/>
    <col min="16" max="16" width="5.83203125" style="59" customWidth="1"/>
    <col min="17" max="17" width="5.83203125" style="7" customWidth="1"/>
    <col min="18" max="18" width="11.1640625" style="59" customWidth="1"/>
    <col min="19" max="19" width="7.5" style="59" bestFit="1" customWidth="1"/>
    <col min="20" max="20" width="13.5" style="59" bestFit="1" customWidth="1"/>
    <col min="21" max="21" width="10" style="59" bestFit="1" customWidth="1"/>
    <col min="22" max="22" width="8.83203125" style="59" bestFit="1" customWidth="1"/>
    <col min="23" max="23" width="8.33203125" style="59" bestFit="1" customWidth="1"/>
    <col min="24" max="24" width="6.33203125" style="59" bestFit="1" customWidth="1"/>
    <col min="25" max="25" width="6.6640625" style="59" bestFit="1" customWidth="1"/>
    <col min="26" max="26" width="5.83203125" style="59" customWidth="1"/>
    <col min="27" max="27" width="5.83203125" style="7" customWidth="1"/>
    <col min="28" max="28" width="6.1640625" style="7" bestFit="1" customWidth="1"/>
    <col min="29" max="29" width="6.5" style="7" customWidth="1"/>
    <col min="30" max="30" width="6.1640625" style="7" bestFit="1" customWidth="1"/>
    <col min="31" max="31" width="5.6640625" style="7" bestFit="1" customWidth="1"/>
    <col min="32" max="32" width="9.1640625" style="7" bestFit="1" customWidth="1"/>
    <col min="33" max="33" width="6.33203125" style="7" bestFit="1" customWidth="1"/>
    <col min="34" max="34" width="7.6640625" style="7" bestFit="1" customWidth="1"/>
    <col min="35" max="35" width="5.83203125" style="7" customWidth="1"/>
    <col min="36" max="36" width="9.1640625" style="7" customWidth="1"/>
    <col min="37" max="37" width="6.6640625" style="7" customWidth="1"/>
    <col min="38" max="38" width="6.1640625" style="7" bestFit="1" customWidth="1"/>
    <col min="39" max="39" width="5.6640625" style="7" bestFit="1" customWidth="1"/>
    <col min="40" max="40" width="9" style="7" bestFit="1" customWidth="1"/>
    <col min="41" max="41" width="5.83203125" style="7" bestFit="1" customWidth="1"/>
    <col min="42" max="42" width="7.6640625" style="7" bestFit="1" customWidth="1"/>
    <col min="43" max="43" width="5.83203125" style="7" customWidth="1"/>
    <col min="44" max="44" width="10.83203125" style="7" customWidth="1"/>
    <col min="45" max="45" width="14.6640625" style="7" customWidth="1"/>
    <col min="46" max="46" width="9.6640625" style="7" customWidth="1"/>
    <col min="47" max="47" width="9.33203125" style="7" customWidth="1"/>
    <col min="48" max="48" width="12.1640625" style="7" bestFit="1" customWidth="1"/>
    <col min="49" max="50" width="13.33203125" style="7" bestFit="1" customWidth="1"/>
    <col min="51" max="51" width="9.1640625" style="7" bestFit="1" customWidth="1"/>
    <col min="52" max="52" width="9.6640625" style="7" bestFit="1" customWidth="1"/>
    <col min="53" max="53" width="5.6640625" style="7" bestFit="1" customWidth="1"/>
    <col min="54" max="54" width="13.6640625" style="7" bestFit="1" customWidth="1"/>
    <col min="55" max="55" width="11.83203125" style="7" bestFit="1" customWidth="1"/>
    <col min="56" max="56" width="9.6640625" style="7" bestFit="1" customWidth="1"/>
    <col min="57" max="57" width="9.83203125" style="7" bestFit="1" customWidth="1"/>
    <col min="58" max="58" width="12.83203125" style="7" bestFit="1" customWidth="1"/>
    <col min="59" max="59" width="5.6640625" style="7" bestFit="1" customWidth="1"/>
    <col min="60" max="60" width="10" style="7" bestFit="1" customWidth="1"/>
    <col min="61" max="61" width="5.83203125" style="7" customWidth="1"/>
    <col min="62" max="62" width="10" style="7" customWidth="1"/>
    <col min="63" max="63" width="5.83203125" style="7" bestFit="1" customWidth="1"/>
    <col min="64" max="65" width="4.83203125" style="7" bestFit="1" customWidth="1"/>
    <col min="66" max="67" width="6.1640625" style="7" customWidth="1"/>
    <col min="68" max="68" width="9" style="7" bestFit="1" customWidth="1"/>
    <col min="69" max="70" width="9" style="7" customWidth="1"/>
    <col min="71" max="71" width="5.83203125" style="7" customWidth="1"/>
    <col min="72" max="73" width="8.5" style="7" bestFit="1" customWidth="1"/>
    <col min="74" max="74" width="5.83203125" style="7" customWidth="1"/>
    <col min="75" max="75" width="12.1640625" style="7" customWidth="1"/>
    <col min="76" max="77" width="9.5" style="7" bestFit="1" customWidth="1"/>
    <col min="78" max="78" width="9.5" style="7" customWidth="1"/>
    <col min="79" max="79" width="8.6640625" style="7" bestFit="1" customWidth="1"/>
    <col min="80" max="80" width="20.33203125" style="15" customWidth="1"/>
    <col min="81" max="81" width="7.6640625" style="7" bestFit="1" customWidth="1"/>
    <col min="82" max="82" width="16.5" style="7" customWidth="1"/>
    <col min="83" max="83" width="5.83203125" style="7" customWidth="1"/>
    <col min="84" max="84" width="11" style="7" bestFit="1" customWidth="1"/>
    <col min="85" max="85" width="12.83203125" style="7" customWidth="1"/>
    <col min="86" max="86" width="13" style="7" customWidth="1"/>
    <col min="87" max="87" width="7.33203125" style="7" customWidth="1"/>
    <col min="88" max="88" width="7.33203125" style="7" bestFit="1" customWidth="1"/>
    <col min="89" max="89" width="18.33203125" style="7" customWidth="1"/>
    <col min="90" max="90" width="9.1640625" style="7" bestFit="1" customWidth="1"/>
    <col min="91" max="91" width="10.6640625" style="7" bestFit="1" customWidth="1"/>
    <col min="92" max="92" width="10.1640625" style="7" customWidth="1"/>
    <col min="93" max="93" width="10.1640625" style="11" bestFit="1" customWidth="1"/>
    <col min="94" max="94" width="10" style="7" bestFit="1" customWidth="1"/>
    <col min="95" max="95" width="6.6640625" style="11" bestFit="1" customWidth="1"/>
    <col min="96" max="96" width="9.5" style="7" bestFit="1" customWidth="1"/>
    <col min="97" max="97" width="5.83203125" style="7" customWidth="1"/>
    <col min="98" max="16384" width="10.83203125" style="7"/>
  </cols>
  <sheetData>
    <row r="1" spans="2:130" s="1" customFormat="1" x14ac:dyDescent="0.2">
      <c r="H1" s="57"/>
      <c r="I1" s="57"/>
      <c r="J1" s="57"/>
      <c r="K1" s="57"/>
      <c r="L1" s="57"/>
      <c r="M1" s="57"/>
      <c r="N1" s="57"/>
      <c r="O1" s="57"/>
      <c r="P1" s="57"/>
      <c r="R1" s="57"/>
      <c r="S1" s="57"/>
      <c r="T1" s="57"/>
      <c r="U1" s="57"/>
      <c r="V1" s="57"/>
      <c r="W1" s="57"/>
      <c r="X1" s="57"/>
      <c r="Y1" s="57"/>
      <c r="Z1" s="57"/>
      <c r="CB1" s="69"/>
      <c r="CO1" s="19"/>
      <c r="CQ1" s="19"/>
    </row>
    <row r="2" spans="2:130" s="1" customFormat="1" ht="19" x14ac:dyDescent="0.25">
      <c r="B2" s="70" t="s">
        <v>135</v>
      </c>
      <c r="C2" s="68"/>
      <c r="D2" s="68"/>
      <c r="E2" s="68"/>
      <c r="H2" s="57"/>
      <c r="I2" s="57"/>
      <c r="J2" s="57"/>
      <c r="K2" s="57"/>
      <c r="L2" s="57"/>
      <c r="M2" s="57"/>
      <c r="N2" s="57"/>
      <c r="O2" s="57"/>
      <c r="P2" s="57"/>
      <c r="R2" s="57"/>
      <c r="S2" s="57"/>
      <c r="T2" s="57"/>
      <c r="U2" s="57"/>
      <c r="V2" s="57"/>
      <c r="W2" s="57"/>
      <c r="X2" s="57"/>
      <c r="Y2" s="57"/>
      <c r="Z2" s="57"/>
      <c r="CB2" s="69"/>
      <c r="CO2" s="19"/>
      <c r="CQ2" s="19"/>
    </row>
    <row r="3" spans="2:130" s="1" customFormat="1" x14ac:dyDescent="0.2">
      <c r="B3" s="23" t="s">
        <v>156</v>
      </c>
      <c r="H3" s="57"/>
      <c r="I3" s="57"/>
      <c r="J3" s="57"/>
      <c r="K3" s="57"/>
      <c r="L3" s="57"/>
      <c r="M3" s="57"/>
      <c r="N3" s="57"/>
      <c r="O3" s="57"/>
      <c r="P3" s="57"/>
      <c r="R3" s="57"/>
      <c r="S3" s="57"/>
      <c r="T3" s="57"/>
      <c r="U3" s="57"/>
      <c r="V3" s="57"/>
      <c r="W3" s="57"/>
      <c r="X3" s="57"/>
      <c r="Y3" s="57"/>
      <c r="Z3" s="57"/>
      <c r="CB3" s="69"/>
      <c r="CO3" s="19"/>
      <c r="CQ3" s="19"/>
    </row>
    <row r="4" spans="2:130" s="1" customFormat="1" x14ac:dyDescent="0.2">
      <c r="B4" s="24" t="s">
        <v>166</v>
      </c>
      <c r="H4" s="57"/>
      <c r="I4" s="57"/>
      <c r="J4" s="57"/>
      <c r="K4" s="57"/>
      <c r="L4" s="57"/>
      <c r="M4" s="57"/>
      <c r="N4" s="57"/>
      <c r="O4" s="57"/>
      <c r="P4" s="57"/>
      <c r="R4" s="57"/>
      <c r="S4" s="57"/>
      <c r="T4" s="57"/>
      <c r="U4" s="57"/>
      <c r="V4" s="57"/>
      <c r="W4" s="57"/>
      <c r="X4" s="57"/>
      <c r="Y4" s="57"/>
      <c r="Z4" s="57"/>
      <c r="CB4" s="69"/>
      <c r="CO4" s="19"/>
      <c r="CQ4" s="19"/>
    </row>
    <row r="5" spans="2:130" s="1" customFormat="1" x14ac:dyDescent="0.2">
      <c r="H5" s="57"/>
      <c r="I5" s="57"/>
      <c r="J5" s="57"/>
      <c r="K5" s="57"/>
      <c r="L5" s="57"/>
      <c r="M5" s="57"/>
      <c r="N5" s="57"/>
      <c r="O5" s="57"/>
      <c r="P5" s="57"/>
      <c r="R5" s="57"/>
      <c r="S5" s="57"/>
      <c r="T5" s="57"/>
      <c r="U5" s="57"/>
      <c r="V5" s="57"/>
      <c r="W5" s="57"/>
      <c r="X5" s="57"/>
      <c r="Y5" s="57"/>
      <c r="Z5" s="57"/>
      <c r="CB5" s="69"/>
      <c r="CO5" s="19"/>
      <c r="CQ5" s="19"/>
    </row>
    <row r="6" spans="2:130" s="1" customFormat="1" x14ac:dyDescent="0.2">
      <c r="C6" s="66" t="s">
        <v>157</v>
      </c>
      <c r="H6" s="57"/>
      <c r="I6" s="57"/>
      <c r="J6" s="57"/>
      <c r="K6" s="57"/>
      <c r="L6" s="57"/>
      <c r="M6" s="57"/>
      <c r="N6" s="57"/>
      <c r="O6" s="57"/>
      <c r="P6" s="57"/>
      <c r="R6" s="67" t="s">
        <v>227</v>
      </c>
      <c r="S6" s="57"/>
      <c r="T6" s="57"/>
      <c r="U6" s="57"/>
      <c r="V6" s="57"/>
      <c r="W6" s="57"/>
      <c r="X6" s="57"/>
      <c r="Y6" s="57"/>
      <c r="Z6" s="57"/>
      <c r="AB6" s="66" t="s">
        <v>228</v>
      </c>
      <c r="AC6" s="68"/>
      <c r="AJ6" s="66" t="s">
        <v>229</v>
      </c>
      <c r="AK6" s="68"/>
      <c r="AR6" s="66" t="s">
        <v>158</v>
      </c>
      <c r="BJ6" s="66" t="s">
        <v>163</v>
      </c>
      <c r="BW6" s="66" t="s">
        <v>164</v>
      </c>
      <c r="CB6" s="69"/>
      <c r="CF6" s="66" t="s">
        <v>159</v>
      </c>
      <c r="CG6" s="68"/>
      <c r="CH6" s="23"/>
      <c r="CO6" s="19"/>
      <c r="CQ6" s="19"/>
    </row>
    <row r="7" spans="2:130" s="2" customFormat="1" x14ac:dyDescent="0.2">
      <c r="C7" s="2" t="s">
        <v>3</v>
      </c>
      <c r="D7" s="2" t="s">
        <v>3</v>
      </c>
      <c r="F7" s="2" t="s">
        <v>0</v>
      </c>
      <c r="H7" s="3" t="s">
        <v>241</v>
      </c>
      <c r="R7" s="3" t="s">
        <v>198</v>
      </c>
      <c r="S7" s="3"/>
      <c r="Z7" s="2" t="s">
        <v>199</v>
      </c>
      <c r="AB7" s="3" t="s">
        <v>24</v>
      </c>
      <c r="AJ7" s="3" t="s">
        <v>180</v>
      </c>
      <c r="AR7" s="3" t="s">
        <v>1</v>
      </c>
      <c r="AS7" s="3"/>
      <c r="AT7" s="3"/>
      <c r="AU7" s="3"/>
      <c r="AV7" s="3"/>
      <c r="BJ7" s="3" t="s">
        <v>160</v>
      </c>
      <c r="BQ7" s="3" t="s">
        <v>242</v>
      </c>
      <c r="BT7" s="2" t="s">
        <v>0</v>
      </c>
      <c r="BU7" s="2" t="s">
        <v>0</v>
      </c>
      <c r="BW7" s="3" t="s">
        <v>129</v>
      </c>
      <c r="CB7" s="3"/>
      <c r="CF7" s="2" t="s">
        <v>147</v>
      </c>
      <c r="CG7" s="2" t="s">
        <v>2</v>
      </c>
    </row>
    <row r="8" spans="2:130" s="2" customFormat="1" x14ac:dyDescent="0.2">
      <c r="C8" s="2" t="s">
        <v>165</v>
      </c>
      <c r="D8" s="2" t="s">
        <v>165</v>
      </c>
      <c r="E8" s="2" t="s">
        <v>0</v>
      </c>
      <c r="F8" s="2" t="s">
        <v>4</v>
      </c>
      <c r="H8" s="61" t="s">
        <v>200</v>
      </c>
      <c r="I8" s="62"/>
      <c r="J8" s="62"/>
      <c r="K8" s="62"/>
      <c r="L8" s="62"/>
      <c r="M8" s="62"/>
      <c r="N8" s="62"/>
      <c r="O8" s="62"/>
      <c r="P8" s="62"/>
      <c r="R8" s="2" t="s">
        <v>201</v>
      </c>
      <c r="T8" s="2" t="s">
        <v>202</v>
      </c>
      <c r="U8" s="2" t="s">
        <v>203</v>
      </c>
      <c r="V8" s="2" t="s">
        <v>204</v>
      </c>
      <c r="W8" s="2" t="s">
        <v>205</v>
      </c>
      <c r="X8" s="2" t="s">
        <v>206</v>
      </c>
      <c r="Y8" s="2" t="s">
        <v>207</v>
      </c>
      <c r="Z8" s="2" t="s">
        <v>208</v>
      </c>
      <c r="AB8" s="29" t="s">
        <v>141</v>
      </c>
      <c r="AC8" s="29"/>
      <c r="AD8" s="29"/>
      <c r="AE8" s="29"/>
      <c r="AF8" s="29"/>
      <c r="AG8" s="29"/>
      <c r="AH8" s="29"/>
      <c r="AJ8" s="2" t="s">
        <v>141</v>
      </c>
      <c r="AR8" s="2" t="s">
        <v>5</v>
      </c>
      <c r="AS8" s="2" t="s">
        <v>6</v>
      </c>
      <c r="AT8" s="2" t="s">
        <v>7</v>
      </c>
      <c r="AU8" s="2" t="s">
        <v>8</v>
      </c>
      <c r="AV8" s="2" t="s">
        <v>9</v>
      </c>
      <c r="AW8" s="2" t="s">
        <v>10</v>
      </c>
      <c r="AX8" s="2" t="s">
        <v>11</v>
      </c>
      <c r="BA8" s="2" t="s">
        <v>12</v>
      </c>
      <c r="BB8" s="2" t="s">
        <v>13</v>
      </c>
      <c r="BC8" s="2" t="s">
        <v>14</v>
      </c>
      <c r="BD8" s="2" t="s">
        <v>15</v>
      </c>
      <c r="BF8" s="2" t="s">
        <v>16</v>
      </c>
      <c r="BH8" s="2" t="s">
        <v>17</v>
      </c>
      <c r="BJ8" s="3" t="s">
        <v>161</v>
      </c>
      <c r="BQ8" s="2" t="s">
        <v>233</v>
      </c>
      <c r="BR8" s="2" t="s">
        <v>234</v>
      </c>
      <c r="BT8" s="2" t="s">
        <v>4</v>
      </c>
      <c r="BU8" s="2" t="s">
        <v>140</v>
      </c>
      <c r="BW8" s="17" t="s">
        <v>130</v>
      </c>
      <c r="BX8" s="17" t="s">
        <v>131</v>
      </c>
      <c r="BY8" s="17" t="s">
        <v>325</v>
      </c>
      <c r="BZ8" s="17" t="s">
        <v>326</v>
      </c>
      <c r="CA8" s="17" t="s">
        <v>132</v>
      </c>
      <c r="CB8" s="92" t="s">
        <v>368</v>
      </c>
      <c r="CC8" s="17" t="s">
        <v>133</v>
      </c>
      <c r="CD8" s="92" t="s">
        <v>368</v>
      </c>
      <c r="CF8" s="2" t="s">
        <v>169</v>
      </c>
      <c r="CG8" s="2" t="s">
        <v>181</v>
      </c>
      <c r="CH8" s="2" t="s">
        <v>182</v>
      </c>
      <c r="CI8" s="2" t="s">
        <v>19</v>
      </c>
      <c r="CJ8" s="2" t="s">
        <v>19</v>
      </c>
      <c r="CK8" s="2" t="s">
        <v>19</v>
      </c>
      <c r="CL8" s="2" t="s">
        <v>20</v>
      </c>
      <c r="CM8" s="2" t="s">
        <v>20</v>
      </c>
      <c r="CO8" s="2" t="s">
        <v>21</v>
      </c>
      <c r="CP8" s="2" t="s">
        <v>21</v>
      </c>
      <c r="CQ8" s="2" t="s">
        <v>22</v>
      </c>
      <c r="CR8" s="2" t="s">
        <v>22</v>
      </c>
    </row>
    <row r="9" spans="2:130" s="4" customFormat="1" ht="17" thickBot="1" x14ac:dyDescent="0.25">
      <c r="B9" s="4" t="s">
        <v>23</v>
      </c>
      <c r="C9" s="4" t="s">
        <v>24</v>
      </c>
      <c r="D9" s="4" t="s">
        <v>25</v>
      </c>
      <c r="E9" s="4" t="s">
        <v>25</v>
      </c>
      <c r="F9" s="4" t="s">
        <v>26</v>
      </c>
      <c r="H9" s="63" t="s">
        <v>209</v>
      </c>
      <c r="I9" s="64" t="s">
        <v>210</v>
      </c>
      <c r="J9" s="64" t="s">
        <v>211</v>
      </c>
      <c r="K9" s="64" t="s">
        <v>212</v>
      </c>
      <c r="L9" s="64" t="s">
        <v>213</v>
      </c>
      <c r="M9" s="64" t="s">
        <v>214</v>
      </c>
      <c r="N9" s="64" t="s">
        <v>215</v>
      </c>
      <c r="O9" s="64" t="s">
        <v>216</v>
      </c>
      <c r="P9" s="64" t="s">
        <v>217</v>
      </c>
      <c r="R9" s="65" t="s">
        <v>218</v>
      </c>
      <c r="S9" s="4" t="s">
        <v>219</v>
      </c>
      <c r="T9" s="4" t="s">
        <v>220</v>
      </c>
      <c r="U9" s="4" t="s">
        <v>221</v>
      </c>
      <c r="V9" s="4" t="s">
        <v>222</v>
      </c>
      <c r="W9" s="4" t="s">
        <v>223</v>
      </c>
      <c r="X9" s="4" t="s">
        <v>224</v>
      </c>
      <c r="Y9" s="4" t="s">
        <v>225</v>
      </c>
      <c r="Z9" s="4" t="s">
        <v>226</v>
      </c>
      <c r="AB9" s="30" t="s">
        <v>142</v>
      </c>
      <c r="AC9" s="30" t="s">
        <v>143</v>
      </c>
      <c r="AD9" s="30" t="s">
        <v>144</v>
      </c>
      <c r="AE9" s="30" t="s">
        <v>145</v>
      </c>
      <c r="AF9" s="30" t="s">
        <v>10</v>
      </c>
      <c r="AG9" s="30" t="s">
        <v>22</v>
      </c>
      <c r="AH9" s="30" t="s">
        <v>146</v>
      </c>
      <c r="AJ9" s="4" t="s">
        <v>142</v>
      </c>
      <c r="AK9" s="4" t="s">
        <v>143</v>
      </c>
      <c r="AL9" s="4" t="s">
        <v>144</v>
      </c>
      <c r="AM9" s="4" t="s">
        <v>145</v>
      </c>
      <c r="AN9" s="4" t="s">
        <v>10</v>
      </c>
      <c r="AO9" s="4" t="s">
        <v>22</v>
      </c>
      <c r="AP9" s="4" t="s">
        <v>146</v>
      </c>
      <c r="AR9" s="4" t="s">
        <v>28</v>
      </c>
      <c r="AS9" s="4" t="s">
        <v>29</v>
      </c>
      <c r="AT9" s="4" t="s">
        <v>29</v>
      </c>
      <c r="AU9" s="4" t="s">
        <v>30</v>
      </c>
      <c r="AV9" s="4" t="s">
        <v>31</v>
      </c>
      <c r="AW9" s="4" t="s">
        <v>32</v>
      </c>
      <c r="AX9" s="4" t="s">
        <v>33</v>
      </c>
      <c r="AY9" s="4" t="s">
        <v>34</v>
      </c>
      <c r="AZ9" s="4" t="s">
        <v>35</v>
      </c>
      <c r="BA9" s="4" t="s">
        <v>36</v>
      </c>
      <c r="BB9" s="4" t="s">
        <v>37</v>
      </c>
      <c r="BC9" s="4" t="s">
        <v>38</v>
      </c>
      <c r="BD9" s="4" t="s">
        <v>39</v>
      </c>
      <c r="BE9" s="4" t="s">
        <v>40</v>
      </c>
      <c r="BF9" s="4" t="s">
        <v>41</v>
      </c>
      <c r="BG9" s="4" t="s">
        <v>42</v>
      </c>
      <c r="BH9" s="4" t="s">
        <v>43</v>
      </c>
      <c r="BJ9" s="4" t="s">
        <v>238</v>
      </c>
      <c r="BK9" s="4" t="s">
        <v>239</v>
      </c>
      <c r="BL9" s="4" t="s">
        <v>240</v>
      </c>
      <c r="BM9" s="4" t="s">
        <v>162</v>
      </c>
      <c r="BN9" s="4" t="s">
        <v>236</v>
      </c>
      <c r="BO9" s="4" t="s">
        <v>237</v>
      </c>
      <c r="BP9" s="4" t="s">
        <v>10</v>
      </c>
      <c r="BQ9" s="4" t="s">
        <v>235</v>
      </c>
      <c r="BR9" s="4" t="s">
        <v>235</v>
      </c>
      <c r="BT9" s="4" t="s">
        <v>26</v>
      </c>
      <c r="BU9" s="4" t="s">
        <v>27</v>
      </c>
      <c r="BW9" s="4" t="s">
        <v>134</v>
      </c>
      <c r="BX9" s="4" t="s">
        <v>134</v>
      </c>
      <c r="BY9" s="4" t="s">
        <v>134</v>
      </c>
      <c r="BZ9" s="4" t="s">
        <v>134</v>
      </c>
      <c r="CA9" s="4" t="s">
        <v>23</v>
      </c>
      <c r="CB9" s="65" t="s">
        <v>322</v>
      </c>
      <c r="CC9" s="4" t="s">
        <v>6</v>
      </c>
      <c r="CD9" s="65" t="s">
        <v>275</v>
      </c>
      <c r="CF9" s="4" t="s">
        <v>170</v>
      </c>
      <c r="CG9" s="4" t="s">
        <v>44</v>
      </c>
      <c r="CH9" s="4" t="s">
        <v>44</v>
      </c>
      <c r="CI9" s="4" t="s">
        <v>45</v>
      </c>
      <c r="CJ9" s="4" t="s">
        <v>44</v>
      </c>
      <c r="CK9" s="4" t="s">
        <v>46</v>
      </c>
      <c r="CL9" s="4" t="s">
        <v>44</v>
      </c>
      <c r="CM9" s="4" t="s">
        <v>47</v>
      </c>
      <c r="CN9" s="4" t="s">
        <v>48</v>
      </c>
      <c r="CO9" s="4" t="s">
        <v>44</v>
      </c>
      <c r="CP9" s="4" t="s">
        <v>46</v>
      </c>
      <c r="CQ9" s="4" t="s">
        <v>49</v>
      </c>
      <c r="CR9" s="4" t="s">
        <v>46</v>
      </c>
    </row>
    <row r="10" spans="2:130" s="6" customFormat="1" x14ac:dyDescent="0.2">
      <c r="B10" s="5" t="s">
        <v>50</v>
      </c>
      <c r="C10" s="6">
        <v>15</v>
      </c>
      <c r="D10" s="6">
        <v>667</v>
      </c>
      <c r="E10" s="6">
        <v>1761</v>
      </c>
      <c r="F10" s="6">
        <v>54</v>
      </c>
      <c r="G10" s="26"/>
      <c r="H10" s="58">
        <v>3</v>
      </c>
      <c r="I10" s="58">
        <v>9</v>
      </c>
      <c r="J10" s="58">
        <v>13</v>
      </c>
      <c r="K10" s="58">
        <v>22</v>
      </c>
      <c r="L10" s="58">
        <v>8</v>
      </c>
      <c r="M10" s="58">
        <v>1</v>
      </c>
      <c r="N10" s="58">
        <v>1</v>
      </c>
      <c r="O10" s="58">
        <v>0</v>
      </c>
      <c r="P10" s="58">
        <v>0</v>
      </c>
      <c r="Q10" s="26"/>
      <c r="R10" s="58">
        <v>1</v>
      </c>
      <c r="S10" s="58"/>
      <c r="T10" s="58">
        <v>1</v>
      </c>
      <c r="U10" s="58">
        <v>1</v>
      </c>
      <c r="V10" s="58">
        <v>1</v>
      </c>
      <c r="W10" s="58">
        <v>2</v>
      </c>
      <c r="X10" s="58">
        <v>1</v>
      </c>
      <c r="Y10" s="58">
        <v>7</v>
      </c>
      <c r="Z10" s="58">
        <v>4</v>
      </c>
      <c r="AA10" s="26"/>
      <c r="AB10" s="6">
        <v>49</v>
      </c>
      <c r="AC10" s="6">
        <v>8</v>
      </c>
      <c r="AD10" s="6">
        <v>0</v>
      </c>
      <c r="AE10" s="6">
        <v>0</v>
      </c>
      <c r="AF10" s="6">
        <v>0</v>
      </c>
      <c r="AG10" s="6">
        <v>0</v>
      </c>
      <c r="AH10" s="6">
        <v>1</v>
      </c>
      <c r="AI10" s="26"/>
      <c r="AQ10" s="26"/>
      <c r="AR10" s="6">
        <v>84</v>
      </c>
      <c r="AS10" s="6">
        <v>53</v>
      </c>
      <c r="AT10" s="6">
        <v>6</v>
      </c>
      <c r="AU10" s="6">
        <v>45</v>
      </c>
      <c r="AV10" s="6">
        <v>57</v>
      </c>
      <c r="AW10" s="6">
        <v>234</v>
      </c>
      <c r="AX10" s="6">
        <v>410</v>
      </c>
      <c r="AY10" s="6">
        <v>64</v>
      </c>
      <c r="AZ10" s="6">
        <v>253</v>
      </c>
      <c r="BA10" s="6">
        <v>149</v>
      </c>
      <c r="BB10" s="6">
        <v>64</v>
      </c>
      <c r="BC10" s="6">
        <v>163</v>
      </c>
      <c r="BD10" s="6">
        <v>167</v>
      </c>
      <c r="BE10" s="6">
        <v>61</v>
      </c>
      <c r="BF10" s="6">
        <v>123</v>
      </c>
      <c r="BG10" s="6">
        <v>49</v>
      </c>
      <c r="BH10" s="6">
        <v>77</v>
      </c>
      <c r="BI10" s="26"/>
      <c r="BJ10" s="6">
        <v>0</v>
      </c>
      <c r="BK10" s="6">
        <v>20</v>
      </c>
      <c r="BL10" s="6">
        <v>21</v>
      </c>
      <c r="BM10" s="6">
        <v>10</v>
      </c>
      <c r="BN10" s="6">
        <v>0</v>
      </c>
      <c r="BO10" s="6">
        <v>1</v>
      </c>
      <c r="BP10" s="6">
        <v>5</v>
      </c>
      <c r="BQ10" s="6">
        <v>1</v>
      </c>
      <c r="BR10" s="6">
        <v>1</v>
      </c>
      <c r="BS10" s="26"/>
      <c r="BT10" s="6">
        <v>54</v>
      </c>
      <c r="BU10" s="6">
        <v>14</v>
      </c>
      <c r="BV10" s="26"/>
      <c r="BW10" s="6">
        <v>11</v>
      </c>
      <c r="BX10" s="6">
        <v>2</v>
      </c>
      <c r="BY10" s="6">
        <v>0</v>
      </c>
      <c r="BZ10" s="6">
        <v>1</v>
      </c>
      <c r="CA10" s="6">
        <v>2</v>
      </c>
      <c r="CB10" s="93" t="s">
        <v>327</v>
      </c>
      <c r="CC10" s="6">
        <v>0</v>
      </c>
      <c r="CE10" s="26"/>
      <c r="CF10" s="6">
        <v>9</v>
      </c>
      <c r="CG10" s="5">
        <v>1400</v>
      </c>
      <c r="CH10" s="5">
        <v>0</v>
      </c>
      <c r="CI10" s="7">
        <v>4</v>
      </c>
      <c r="CJ10" s="5">
        <v>122</v>
      </c>
      <c r="CK10" s="5">
        <v>220324</v>
      </c>
      <c r="CL10" s="5">
        <v>124</v>
      </c>
      <c r="CM10" s="5">
        <v>155017</v>
      </c>
      <c r="CN10" s="5">
        <v>13</v>
      </c>
      <c r="CO10" s="5">
        <v>73</v>
      </c>
      <c r="CP10" s="5">
        <v>85382</v>
      </c>
      <c r="CQ10" s="6">
        <v>3</v>
      </c>
      <c r="CR10" s="6">
        <v>850</v>
      </c>
      <c r="CS10" s="26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</row>
    <row r="11" spans="2:130" s="8" customFormat="1" x14ac:dyDescent="0.2">
      <c r="B11" s="8" t="s">
        <v>51</v>
      </c>
      <c r="C11" s="7">
        <v>6</v>
      </c>
      <c r="D11" s="7">
        <v>50</v>
      </c>
      <c r="E11" s="7">
        <v>129</v>
      </c>
      <c r="F11" s="7">
        <v>12</v>
      </c>
      <c r="G11" s="27"/>
      <c r="H11" s="59">
        <v>1</v>
      </c>
      <c r="I11" s="59">
        <v>4</v>
      </c>
      <c r="J11" s="59">
        <v>6</v>
      </c>
      <c r="K11" s="59">
        <v>1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27"/>
      <c r="R11" s="59">
        <v>0</v>
      </c>
      <c r="S11" s="59"/>
      <c r="T11" s="59">
        <v>0</v>
      </c>
      <c r="U11" s="59">
        <v>0</v>
      </c>
      <c r="V11" s="59">
        <v>0</v>
      </c>
      <c r="W11" s="59">
        <v>0</v>
      </c>
      <c r="X11" s="59">
        <v>1</v>
      </c>
      <c r="Y11" s="59">
        <v>4</v>
      </c>
      <c r="Z11" s="59">
        <v>4</v>
      </c>
      <c r="AA11" s="27"/>
      <c r="AB11" s="7">
        <v>11</v>
      </c>
      <c r="AC11" s="7">
        <v>1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27"/>
      <c r="AJ11" s="7">
        <v>10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1</v>
      </c>
      <c r="AQ11" s="27"/>
      <c r="AR11" s="7">
        <v>11</v>
      </c>
      <c r="AS11" s="7">
        <v>9</v>
      </c>
      <c r="AT11" s="7">
        <v>1</v>
      </c>
      <c r="AU11" s="7">
        <v>6</v>
      </c>
      <c r="AV11" s="7">
        <v>4</v>
      </c>
      <c r="AW11" s="7">
        <v>16</v>
      </c>
      <c r="AX11" s="7">
        <v>28</v>
      </c>
      <c r="AY11" s="7">
        <v>5</v>
      </c>
      <c r="AZ11" s="7">
        <v>19</v>
      </c>
      <c r="BA11" s="7">
        <v>13</v>
      </c>
      <c r="BB11" s="7">
        <v>3</v>
      </c>
      <c r="BC11" s="7">
        <v>8</v>
      </c>
      <c r="BD11" s="7">
        <v>11</v>
      </c>
      <c r="BE11" s="7">
        <v>3</v>
      </c>
      <c r="BF11" s="7">
        <v>6</v>
      </c>
      <c r="BG11" s="7">
        <v>2</v>
      </c>
      <c r="BH11" s="7">
        <v>3</v>
      </c>
      <c r="BI11" s="27"/>
      <c r="BJ11" s="7">
        <v>3</v>
      </c>
      <c r="BK11" s="7">
        <v>6</v>
      </c>
      <c r="BL11" s="7">
        <v>1</v>
      </c>
      <c r="BM11" s="7">
        <v>0</v>
      </c>
      <c r="BN11" s="7">
        <v>0</v>
      </c>
      <c r="BO11" s="7">
        <v>0</v>
      </c>
      <c r="BP11" s="7">
        <v>2</v>
      </c>
      <c r="BQ11" s="7">
        <v>0</v>
      </c>
      <c r="BR11" s="7">
        <v>0</v>
      </c>
      <c r="BS11" s="27"/>
      <c r="BT11" s="7">
        <v>12</v>
      </c>
      <c r="BU11" s="7">
        <v>3</v>
      </c>
      <c r="BV11" s="27"/>
      <c r="BW11" s="7">
        <v>3</v>
      </c>
      <c r="BX11" s="7">
        <v>0</v>
      </c>
      <c r="BY11" s="7">
        <v>0</v>
      </c>
      <c r="BZ11" s="7">
        <v>0</v>
      </c>
      <c r="CA11" s="7">
        <v>0</v>
      </c>
      <c r="CB11" s="15"/>
      <c r="CC11" s="7">
        <v>0</v>
      </c>
      <c r="CD11" s="7"/>
      <c r="CE11" s="27"/>
      <c r="CF11" s="7">
        <v>0</v>
      </c>
      <c r="CG11" s="7">
        <v>61</v>
      </c>
      <c r="CH11" s="7">
        <v>0</v>
      </c>
      <c r="CI11" s="7">
        <v>0</v>
      </c>
      <c r="CJ11" s="7">
        <v>0</v>
      </c>
      <c r="CK11" s="7">
        <v>0</v>
      </c>
      <c r="CL11" s="7">
        <v>2</v>
      </c>
      <c r="CM11" s="7">
        <v>2385</v>
      </c>
      <c r="CN11" s="7">
        <v>0</v>
      </c>
      <c r="CO11" s="8">
        <v>2</v>
      </c>
      <c r="CP11" s="8">
        <v>1513</v>
      </c>
      <c r="CQ11" s="8">
        <v>0</v>
      </c>
      <c r="CR11" s="7">
        <v>0</v>
      </c>
      <c r="CS11" s="27"/>
    </row>
    <row r="12" spans="2:130" s="8" customFormat="1" x14ac:dyDescent="0.2">
      <c r="B12" s="8" t="s">
        <v>52</v>
      </c>
      <c r="C12" s="8">
        <v>16</v>
      </c>
      <c r="D12" s="8">
        <v>509</v>
      </c>
      <c r="E12" s="8">
        <v>1115</v>
      </c>
      <c r="F12" s="7">
        <v>47</v>
      </c>
      <c r="G12" s="28"/>
      <c r="H12" s="60">
        <v>5</v>
      </c>
      <c r="I12" s="60">
        <v>9</v>
      </c>
      <c r="J12" s="60">
        <v>9</v>
      </c>
      <c r="K12" s="60">
        <v>23</v>
      </c>
      <c r="L12" s="60">
        <v>1</v>
      </c>
      <c r="M12" s="60">
        <v>0</v>
      </c>
      <c r="N12" s="60">
        <v>0</v>
      </c>
      <c r="O12" s="60">
        <v>0</v>
      </c>
      <c r="P12" s="60">
        <v>0</v>
      </c>
      <c r="Q12" s="28"/>
      <c r="R12" s="60">
        <v>5</v>
      </c>
      <c r="S12" s="60"/>
      <c r="T12" s="60">
        <v>2</v>
      </c>
      <c r="U12" s="60">
        <v>3</v>
      </c>
      <c r="V12" s="60">
        <v>2</v>
      </c>
      <c r="W12" s="60">
        <v>3</v>
      </c>
      <c r="X12" s="60">
        <v>3</v>
      </c>
      <c r="Y12" s="60">
        <v>8</v>
      </c>
      <c r="Z12" s="60">
        <v>6</v>
      </c>
      <c r="AA12" s="28"/>
      <c r="AB12" s="8">
        <v>41</v>
      </c>
      <c r="AC12" s="8">
        <v>2</v>
      </c>
      <c r="AD12" s="8">
        <v>3</v>
      </c>
      <c r="AE12" s="8">
        <v>0</v>
      </c>
      <c r="AF12" s="8">
        <v>1</v>
      </c>
      <c r="AH12" s="8">
        <v>0</v>
      </c>
      <c r="AI12" s="28"/>
      <c r="AQ12" s="28"/>
      <c r="AR12" s="7">
        <v>68</v>
      </c>
      <c r="AS12" s="7">
        <v>64</v>
      </c>
      <c r="AT12" s="7">
        <v>11</v>
      </c>
      <c r="AU12" s="7">
        <v>26</v>
      </c>
      <c r="AV12" s="7">
        <v>36</v>
      </c>
      <c r="AW12" s="7">
        <v>137</v>
      </c>
      <c r="AX12" s="7">
        <v>234</v>
      </c>
      <c r="AY12" s="7">
        <v>54</v>
      </c>
      <c r="AZ12" s="7">
        <v>159</v>
      </c>
      <c r="BA12" s="7">
        <v>100</v>
      </c>
      <c r="BB12" s="7">
        <v>24</v>
      </c>
      <c r="BC12" s="7">
        <v>94</v>
      </c>
      <c r="BD12" s="7">
        <v>92</v>
      </c>
      <c r="BE12" s="7">
        <v>75</v>
      </c>
      <c r="BF12" s="7">
        <v>87</v>
      </c>
      <c r="BG12" s="7">
        <v>34</v>
      </c>
      <c r="BH12" s="7">
        <v>35</v>
      </c>
      <c r="BI12" s="28"/>
      <c r="BJ12" s="8">
        <v>3</v>
      </c>
      <c r="BK12" s="8">
        <v>2</v>
      </c>
      <c r="BL12" s="8">
        <v>14</v>
      </c>
      <c r="BM12" s="8">
        <v>12</v>
      </c>
      <c r="BN12" s="8">
        <v>8</v>
      </c>
      <c r="BO12" s="8">
        <v>8</v>
      </c>
      <c r="BP12" s="8">
        <v>5</v>
      </c>
      <c r="BQ12" s="8">
        <v>3</v>
      </c>
      <c r="BR12" s="8">
        <v>5</v>
      </c>
      <c r="BS12" s="28"/>
      <c r="BT12" s="7">
        <v>38</v>
      </c>
      <c r="BU12" s="7">
        <v>19</v>
      </c>
      <c r="BV12" s="28"/>
      <c r="BW12" s="8">
        <v>12</v>
      </c>
      <c r="BX12" s="8">
        <v>4</v>
      </c>
      <c r="BY12" s="8">
        <v>2</v>
      </c>
      <c r="BZ12" s="8">
        <v>0</v>
      </c>
      <c r="CA12" s="8">
        <v>1</v>
      </c>
      <c r="CB12" s="85" t="s">
        <v>328</v>
      </c>
      <c r="CC12" s="8">
        <v>0</v>
      </c>
      <c r="CE12" s="28"/>
      <c r="CF12" s="8">
        <v>7</v>
      </c>
      <c r="CG12" s="7">
        <v>903</v>
      </c>
      <c r="CH12" s="7"/>
      <c r="CI12" s="7">
        <v>4</v>
      </c>
      <c r="CJ12" s="7">
        <v>59</v>
      </c>
      <c r="CK12" s="7">
        <v>78614</v>
      </c>
      <c r="CL12" s="7">
        <v>96</v>
      </c>
      <c r="CM12" s="7">
        <v>81253</v>
      </c>
      <c r="CN12" s="7">
        <v>8</v>
      </c>
      <c r="CO12" s="8">
        <v>21</v>
      </c>
      <c r="CP12" s="8">
        <v>12912</v>
      </c>
      <c r="CQ12" s="8">
        <v>4</v>
      </c>
      <c r="CR12" s="8">
        <v>1046</v>
      </c>
      <c r="CS12" s="28"/>
    </row>
    <row r="13" spans="2:130" s="9" customFormat="1" x14ac:dyDescent="0.2">
      <c r="B13" s="7" t="s">
        <v>53</v>
      </c>
      <c r="C13" s="7">
        <v>7</v>
      </c>
      <c r="D13" s="7">
        <v>414</v>
      </c>
      <c r="E13" s="7">
        <v>913</v>
      </c>
      <c r="F13" s="7">
        <v>21</v>
      </c>
      <c r="G13" s="27"/>
      <c r="H13" s="59">
        <v>2</v>
      </c>
      <c r="I13" s="59">
        <v>1</v>
      </c>
      <c r="J13" s="59">
        <v>6</v>
      </c>
      <c r="K13" s="59">
        <v>11</v>
      </c>
      <c r="L13" s="59">
        <v>1</v>
      </c>
      <c r="M13" s="59">
        <v>0</v>
      </c>
      <c r="N13" s="59">
        <v>0</v>
      </c>
      <c r="O13" s="59">
        <v>0</v>
      </c>
      <c r="P13" s="59">
        <v>0</v>
      </c>
      <c r="Q13" s="27"/>
      <c r="R13" s="59">
        <v>2</v>
      </c>
      <c r="S13" s="59"/>
      <c r="T13" s="59">
        <v>2</v>
      </c>
      <c r="U13" s="59">
        <v>2</v>
      </c>
      <c r="V13" s="59">
        <v>2</v>
      </c>
      <c r="W13" s="59">
        <v>2</v>
      </c>
      <c r="X13" s="59">
        <v>4</v>
      </c>
      <c r="Y13" s="59">
        <v>7</v>
      </c>
      <c r="Z13" s="59">
        <v>4</v>
      </c>
      <c r="AA13" s="27"/>
      <c r="AB13" s="7">
        <v>20</v>
      </c>
      <c r="AC13" s="7">
        <v>1</v>
      </c>
      <c r="AD13" s="7">
        <v>0</v>
      </c>
      <c r="AE13" s="7">
        <v>0</v>
      </c>
      <c r="AF13" s="7">
        <v>0</v>
      </c>
      <c r="AG13" s="7"/>
      <c r="AH13" s="7">
        <v>0</v>
      </c>
      <c r="AI13" s="27"/>
      <c r="AJ13" s="7"/>
      <c r="AK13" s="7"/>
      <c r="AL13" s="7"/>
      <c r="AM13" s="7"/>
      <c r="AN13" s="7"/>
      <c r="AO13" s="7"/>
      <c r="AP13" s="7"/>
      <c r="AQ13" s="27"/>
      <c r="AR13" s="7">
        <v>31</v>
      </c>
      <c r="AS13" s="7">
        <v>55</v>
      </c>
      <c r="AT13" s="7">
        <v>16</v>
      </c>
      <c r="AU13" s="7">
        <v>15</v>
      </c>
      <c r="AV13" s="7">
        <v>42</v>
      </c>
      <c r="AW13" s="7">
        <v>99</v>
      </c>
      <c r="AX13" s="7">
        <v>183</v>
      </c>
      <c r="AY13" s="7">
        <v>37</v>
      </c>
      <c r="AZ13" s="7">
        <v>166</v>
      </c>
      <c r="BA13" s="7">
        <v>69</v>
      </c>
      <c r="BB13" s="7">
        <v>19</v>
      </c>
      <c r="BC13" s="7">
        <v>99</v>
      </c>
      <c r="BD13" s="7">
        <v>86</v>
      </c>
      <c r="BE13" s="7">
        <v>30</v>
      </c>
      <c r="BF13" s="7">
        <v>73</v>
      </c>
      <c r="BG13" s="7">
        <v>26</v>
      </c>
      <c r="BH13" s="7">
        <v>50</v>
      </c>
      <c r="BI13" s="27"/>
      <c r="BJ13" s="7">
        <v>3</v>
      </c>
      <c r="BK13" s="7">
        <v>5</v>
      </c>
      <c r="BL13" s="7">
        <v>5</v>
      </c>
      <c r="BM13" s="7">
        <v>2</v>
      </c>
      <c r="BN13" s="7"/>
      <c r="BO13" s="7">
        <v>4</v>
      </c>
      <c r="BP13" s="7">
        <v>2</v>
      </c>
      <c r="BQ13" s="7">
        <v>2</v>
      </c>
      <c r="BR13" s="7">
        <v>1</v>
      </c>
      <c r="BS13" s="27"/>
      <c r="BT13" s="7">
        <v>21</v>
      </c>
      <c r="BU13" s="7">
        <v>12</v>
      </c>
      <c r="BV13" s="27"/>
      <c r="BW13" s="7">
        <v>7</v>
      </c>
      <c r="BX13" s="7">
        <v>2</v>
      </c>
      <c r="BY13" s="7">
        <v>1</v>
      </c>
      <c r="BZ13" s="7">
        <v>1</v>
      </c>
      <c r="CA13" s="7">
        <v>1</v>
      </c>
      <c r="CB13" s="15" t="s">
        <v>329</v>
      </c>
      <c r="CC13" s="7">
        <v>1</v>
      </c>
      <c r="CD13" s="15" t="s">
        <v>314</v>
      </c>
      <c r="CE13" s="27"/>
      <c r="CF13" s="7">
        <v>6</v>
      </c>
      <c r="CG13" s="7">
        <v>851</v>
      </c>
      <c r="CH13" s="7"/>
      <c r="CI13" s="7">
        <v>10</v>
      </c>
      <c r="CJ13" s="7">
        <v>105</v>
      </c>
      <c r="CK13" s="7">
        <v>139556</v>
      </c>
      <c r="CL13" s="7">
        <v>81</v>
      </c>
      <c r="CM13" s="7">
        <v>148504</v>
      </c>
      <c r="CN13" s="7">
        <v>7</v>
      </c>
      <c r="CO13" s="7">
        <v>46</v>
      </c>
      <c r="CP13" s="7">
        <v>77620</v>
      </c>
      <c r="CQ13" s="8">
        <v>1</v>
      </c>
      <c r="CR13" s="7">
        <v>21</v>
      </c>
      <c r="CS13" s="2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</row>
    <row r="14" spans="2:130" x14ac:dyDescent="0.2">
      <c r="B14" s="8" t="s">
        <v>54</v>
      </c>
      <c r="C14" s="76">
        <v>82</v>
      </c>
      <c r="D14" s="8">
        <v>2530</v>
      </c>
      <c r="E14" s="8">
        <v>6624</v>
      </c>
      <c r="F14" s="7">
        <v>283</v>
      </c>
      <c r="G14" s="28"/>
      <c r="H14" s="60">
        <v>44</v>
      </c>
      <c r="I14" s="60">
        <v>38</v>
      </c>
      <c r="J14" s="60">
        <v>47</v>
      </c>
      <c r="K14" s="60">
        <v>150</v>
      </c>
      <c r="L14" s="60">
        <v>0</v>
      </c>
      <c r="M14" s="60">
        <v>0</v>
      </c>
      <c r="N14" s="60">
        <v>0</v>
      </c>
      <c r="O14" s="60">
        <v>0</v>
      </c>
      <c r="P14" s="60">
        <v>1</v>
      </c>
      <c r="Q14" s="28"/>
      <c r="R14" s="60">
        <v>22</v>
      </c>
      <c r="S14" s="60"/>
      <c r="T14" s="60">
        <v>23</v>
      </c>
      <c r="U14" s="60">
        <v>17</v>
      </c>
      <c r="V14" s="60">
        <v>15</v>
      </c>
      <c r="W14" s="60">
        <v>27</v>
      </c>
      <c r="X14" s="60">
        <v>42</v>
      </c>
      <c r="Y14" s="60">
        <v>67</v>
      </c>
      <c r="Z14" s="60">
        <v>31</v>
      </c>
      <c r="AA14" s="28"/>
      <c r="AB14" s="8">
        <v>237</v>
      </c>
      <c r="AC14" s="79">
        <v>25</v>
      </c>
      <c r="AD14" s="8">
        <v>14</v>
      </c>
      <c r="AE14" s="8">
        <v>15</v>
      </c>
      <c r="AF14" s="8">
        <v>13</v>
      </c>
      <c r="AG14" s="8"/>
      <c r="AH14" s="76">
        <v>17</v>
      </c>
      <c r="AI14" s="28"/>
      <c r="AJ14" s="8"/>
      <c r="AK14" s="8"/>
      <c r="AL14" s="8"/>
      <c r="AM14" s="8"/>
      <c r="AN14" s="8"/>
      <c r="AO14" s="8"/>
      <c r="AP14" s="8"/>
      <c r="AQ14" s="28"/>
      <c r="AR14" s="8">
        <v>444</v>
      </c>
      <c r="AS14" s="8">
        <v>242</v>
      </c>
      <c r="AT14" s="8">
        <v>43</v>
      </c>
      <c r="AU14" s="8">
        <v>175</v>
      </c>
      <c r="AV14" s="8">
        <v>241</v>
      </c>
      <c r="AW14" s="8">
        <v>900</v>
      </c>
      <c r="AX14" s="8">
        <v>1373</v>
      </c>
      <c r="AY14" s="8">
        <v>274</v>
      </c>
      <c r="AZ14" s="8">
        <v>875</v>
      </c>
      <c r="BA14" s="8">
        <v>610</v>
      </c>
      <c r="BB14" s="8">
        <v>227</v>
      </c>
      <c r="BC14" s="8">
        <v>651</v>
      </c>
      <c r="BD14" s="8">
        <v>515</v>
      </c>
      <c r="BE14" s="8">
        <v>332</v>
      </c>
      <c r="BF14" s="8">
        <v>481</v>
      </c>
      <c r="BG14" s="8">
        <v>204</v>
      </c>
      <c r="BH14" s="8">
        <v>346</v>
      </c>
      <c r="BI14" s="28"/>
      <c r="BJ14" s="8">
        <v>0</v>
      </c>
      <c r="BK14" s="8">
        <v>20</v>
      </c>
      <c r="BL14" s="8">
        <v>20</v>
      </c>
      <c r="BM14" s="8">
        <v>89</v>
      </c>
      <c r="BN14" s="8">
        <v>36</v>
      </c>
      <c r="BO14" s="8">
        <v>30</v>
      </c>
      <c r="BP14" s="8">
        <v>72</v>
      </c>
      <c r="BQ14" s="8">
        <v>10</v>
      </c>
      <c r="BR14" s="8">
        <v>7</v>
      </c>
      <c r="BS14" s="28"/>
      <c r="BT14" s="7">
        <v>218</v>
      </c>
      <c r="BU14" s="7">
        <v>75</v>
      </c>
      <c r="BV14" s="28"/>
      <c r="BW14" s="8">
        <v>40</v>
      </c>
      <c r="BX14" s="8">
        <v>14</v>
      </c>
      <c r="BY14" s="60">
        <v>3</v>
      </c>
      <c r="BZ14" s="60">
        <v>1</v>
      </c>
      <c r="CA14" s="60">
        <v>8</v>
      </c>
      <c r="CB14" s="88" t="s">
        <v>330</v>
      </c>
      <c r="CC14" s="60">
        <v>8</v>
      </c>
      <c r="CD14" s="88" t="s">
        <v>323</v>
      </c>
      <c r="CE14" s="28"/>
      <c r="CF14" s="7">
        <v>15</v>
      </c>
      <c r="CG14" s="8">
        <v>4885</v>
      </c>
      <c r="CH14" s="8"/>
      <c r="CI14" s="7">
        <v>12</v>
      </c>
      <c r="CJ14" s="8">
        <v>223</v>
      </c>
      <c r="CK14" s="8">
        <v>2702074</v>
      </c>
      <c r="CL14" s="8">
        <v>315</v>
      </c>
      <c r="CM14" s="8">
        <v>2186819</v>
      </c>
      <c r="CN14" s="8">
        <v>42</v>
      </c>
      <c r="CO14" s="8">
        <v>147</v>
      </c>
      <c r="CP14" s="8">
        <v>1026246</v>
      </c>
      <c r="CQ14" s="8">
        <v>4</v>
      </c>
      <c r="CR14" s="8">
        <v>44170</v>
      </c>
      <c r="CS14" s="2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</row>
    <row r="15" spans="2:130" s="8" customFormat="1" x14ac:dyDescent="0.2">
      <c r="B15" s="7" t="s">
        <v>55</v>
      </c>
      <c r="C15" s="7">
        <v>9</v>
      </c>
      <c r="D15" s="7">
        <v>501</v>
      </c>
      <c r="E15" s="7">
        <v>1222</v>
      </c>
      <c r="F15" s="7">
        <v>39</v>
      </c>
      <c r="G15" s="27"/>
      <c r="H15" s="59">
        <v>3</v>
      </c>
      <c r="I15" s="59">
        <v>4</v>
      </c>
      <c r="J15" s="59">
        <v>3</v>
      </c>
      <c r="K15" s="59">
        <v>28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27"/>
      <c r="R15" s="59">
        <v>0</v>
      </c>
      <c r="S15" s="59"/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5</v>
      </c>
      <c r="Z15" s="59">
        <v>2</v>
      </c>
      <c r="AA15" s="27"/>
      <c r="AB15" s="7">
        <v>32</v>
      </c>
      <c r="AC15" s="7">
        <v>3</v>
      </c>
      <c r="AD15" s="7">
        <v>0</v>
      </c>
      <c r="AE15" s="7">
        <v>6</v>
      </c>
      <c r="AF15" s="7">
        <v>0</v>
      </c>
      <c r="AG15" s="7"/>
      <c r="AH15" s="7">
        <v>4</v>
      </c>
      <c r="AI15" s="27"/>
      <c r="AJ15" s="7"/>
      <c r="AK15" s="7"/>
      <c r="AL15" s="7"/>
      <c r="AM15" s="7"/>
      <c r="AN15" s="7"/>
      <c r="AO15" s="7"/>
      <c r="AP15" s="7"/>
      <c r="AQ15" s="27"/>
      <c r="AR15" s="7">
        <v>62</v>
      </c>
      <c r="AS15" s="7">
        <v>64</v>
      </c>
      <c r="AT15" s="7">
        <v>4</v>
      </c>
      <c r="AU15" s="7">
        <v>17</v>
      </c>
      <c r="AV15" s="7">
        <v>38</v>
      </c>
      <c r="AW15" s="7">
        <v>230</v>
      </c>
      <c r="AX15" s="7">
        <v>230</v>
      </c>
      <c r="AY15" s="7">
        <v>46</v>
      </c>
      <c r="AZ15" s="7">
        <v>170</v>
      </c>
      <c r="BA15" s="7">
        <v>109</v>
      </c>
      <c r="BB15" s="7">
        <v>43</v>
      </c>
      <c r="BC15" s="7">
        <v>107</v>
      </c>
      <c r="BD15" s="7">
        <v>77</v>
      </c>
      <c r="BE15" s="7">
        <v>73</v>
      </c>
      <c r="BF15" s="7">
        <v>72</v>
      </c>
      <c r="BG15" s="7">
        <v>39</v>
      </c>
      <c r="BH15" s="7">
        <v>52</v>
      </c>
      <c r="BI15" s="27"/>
      <c r="BJ15" s="7">
        <v>0</v>
      </c>
      <c r="BK15" s="7">
        <v>6</v>
      </c>
      <c r="BL15" s="7">
        <v>6</v>
      </c>
      <c r="BM15" s="7">
        <v>19</v>
      </c>
      <c r="BN15" s="7">
        <v>3</v>
      </c>
      <c r="BO15" s="7">
        <v>0</v>
      </c>
      <c r="BP15" s="7">
        <v>3</v>
      </c>
      <c r="BQ15" s="7">
        <v>0</v>
      </c>
      <c r="BR15" s="7">
        <v>0</v>
      </c>
      <c r="BS15" s="27"/>
      <c r="BT15" s="7">
        <v>39</v>
      </c>
      <c r="BU15" s="7">
        <v>21</v>
      </c>
      <c r="BV15" s="27"/>
      <c r="BW15" s="7">
        <v>9</v>
      </c>
      <c r="BX15" s="7">
        <v>7</v>
      </c>
      <c r="BY15" s="7">
        <v>1</v>
      </c>
      <c r="BZ15" s="7">
        <v>0</v>
      </c>
      <c r="CA15" s="7">
        <v>0</v>
      </c>
      <c r="CB15" s="15"/>
      <c r="CC15" s="7">
        <v>0</v>
      </c>
      <c r="CD15" s="7"/>
      <c r="CE15" s="27"/>
      <c r="CF15" s="7">
        <v>2</v>
      </c>
      <c r="CG15" s="7">
        <v>971</v>
      </c>
      <c r="CH15" s="7"/>
      <c r="CI15" s="7">
        <v>0</v>
      </c>
      <c r="CJ15" s="7">
        <v>14</v>
      </c>
      <c r="CK15" s="7">
        <v>21551</v>
      </c>
      <c r="CL15" s="7">
        <v>18</v>
      </c>
      <c r="CM15" s="7">
        <v>47349</v>
      </c>
      <c r="CN15" s="7">
        <v>2</v>
      </c>
      <c r="CO15" s="7">
        <v>6</v>
      </c>
      <c r="CP15" s="7">
        <v>13036</v>
      </c>
      <c r="CQ15" s="8">
        <v>0</v>
      </c>
      <c r="CR15" s="7">
        <v>0</v>
      </c>
      <c r="CS15" s="2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</row>
    <row r="16" spans="2:130" x14ac:dyDescent="0.2">
      <c r="B16" s="7" t="s">
        <v>56</v>
      </c>
      <c r="C16" s="7">
        <v>16</v>
      </c>
      <c r="D16" s="7">
        <v>762</v>
      </c>
      <c r="E16" s="7">
        <v>1558</v>
      </c>
      <c r="F16" s="7">
        <v>42</v>
      </c>
      <c r="G16" s="27"/>
      <c r="H16" s="59">
        <v>6</v>
      </c>
      <c r="I16" s="59">
        <v>5</v>
      </c>
      <c r="J16" s="59">
        <v>9</v>
      </c>
      <c r="K16" s="59">
        <v>28</v>
      </c>
      <c r="L16" s="59">
        <v>1</v>
      </c>
      <c r="M16" s="59">
        <v>0</v>
      </c>
      <c r="N16" s="59">
        <v>0</v>
      </c>
      <c r="O16" s="59">
        <v>0</v>
      </c>
      <c r="P16" s="59">
        <v>0</v>
      </c>
      <c r="Q16" s="27"/>
      <c r="R16" s="59">
        <v>3</v>
      </c>
      <c r="T16" s="59">
        <v>2</v>
      </c>
      <c r="U16" s="59">
        <v>3</v>
      </c>
      <c r="V16" s="59">
        <v>1</v>
      </c>
      <c r="W16" s="59">
        <v>0</v>
      </c>
      <c r="X16" s="59">
        <v>1</v>
      </c>
      <c r="Y16" s="59">
        <v>13</v>
      </c>
      <c r="Z16" s="59">
        <v>5</v>
      </c>
      <c r="AA16" s="27"/>
      <c r="AB16" s="7">
        <v>39</v>
      </c>
      <c r="AC16" s="7">
        <v>2</v>
      </c>
      <c r="AD16" s="7">
        <v>1</v>
      </c>
      <c r="AE16" s="7">
        <v>1</v>
      </c>
      <c r="AF16" s="7">
        <v>3</v>
      </c>
      <c r="AH16" s="7">
        <v>2</v>
      </c>
      <c r="AI16" s="27"/>
      <c r="AQ16" s="27"/>
      <c r="AR16" s="7">
        <v>75</v>
      </c>
      <c r="AS16" s="7">
        <v>51</v>
      </c>
      <c r="AT16" s="7">
        <v>15</v>
      </c>
      <c r="AU16" s="7">
        <v>31</v>
      </c>
      <c r="AV16" s="7">
        <v>64</v>
      </c>
      <c r="AW16" s="7">
        <v>186</v>
      </c>
      <c r="AX16" s="7">
        <v>360</v>
      </c>
      <c r="AY16" s="7">
        <v>92</v>
      </c>
      <c r="AZ16" s="7">
        <v>252</v>
      </c>
      <c r="BA16" s="7">
        <v>138</v>
      </c>
      <c r="BB16" s="7">
        <v>41</v>
      </c>
      <c r="BC16" s="7">
        <v>143</v>
      </c>
      <c r="BD16" s="7">
        <v>135</v>
      </c>
      <c r="BE16" s="7">
        <v>91</v>
      </c>
      <c r="BF16" s="7">
        <v>106</v>
      </c>
      <c r="BG16" s="7">
        <v>68</v>
      </c>
      <c r="BH16" s="7">
        <v>65</v>
      </c>
      <c r="BI16" s="27"/>
      <c r="BJ16" s="7">
        <v>1</v>
      </c>
      <c r="BK16" s="7">
        <v>4</v>
      </c>
      <c r="BL16" s="7">
        <v>4</v>
      </c>
      <c r="BM16" s="7">
        <v>10</v>
      </c>
      <c r="BN16" s="7">
        <v>3</v>
      </c>
      <c r="BO16" s="7">
        <v>7</v>
      </c>
      <c r="BP16" s="7">
        <v>20</v>
      </c>
      <c r="BQ16" s="7">
        <v>2</v>
      </c>
      <c r="BR16" s="7">
        <v>1</v>
      </c>
      <c r="BS16" s="27"/>
      <c r="BT16" s="7">
        <v>49</v>
      </c>
      <c r="BU16" s="7">
        <v>23</v>
      </c>
      <c r="BV16" s="27"/>
      <c r="BW16" s="7">
        <v>12</v>
      </c>
      <c r="BX16" s="7">
        <v>3</v>
      </c>
      <c r="BY16" s="7">
        <v>0</v>
      </c>
      <c r="BZ16" s="7">
        <v>0</v>
      </c>
      <c r="CA16" s="7">
        <v>2</v>
      </c>
      <c r="CB16" s="15" t="s">
        <v>331</v>
      </c>
      <c r="CC16" s="7">
        <v>1</v>
      </c>
      <c r="CD16" s="15" t="s">
        <v>280</v>
      </c>
      <c r="CE16" s="27"/>
      <c r="CF16" s="7">
        <v>3</v>
      </c>
      <c r="CG16" s="7">
        <v>1028</v>
      </c>
      <c r="CI16" s="7">
        <v>2</v>
      </c>
      <c r="CJ16" s="7">
        <v>40</v>
      </c>
      <c r="CK16" s="7">
        <v>59923</v>
      </c>
      <c r="CL16" s="7">
        <v>69</v>
      </c>
      <c r="CM16" s="7">
        <v>90533</v>
      </c>
      <c r="CN16" s="7">
        <v>9</v>
      </c>
      <c r="CO16" s="8">
        <v>10</v>
      </c>
      <c r="CP16" s="7">
        <v>3446</v>
      </c>
      <c r="CQ16" s="8">
        <v>0</v>
      </c>
      <c r="CR16" s="7">
        <v>0</v>
      </c>
      <c r="CS16" s="27"/>
    </row>
    <row r="17" spans="2:130" s="8" customFormat="1" x14ac:dyDescent="0.2">
      <c r="B17" s="7" t="s">
        <v>57</v>
      </c>
      <c r="C17" s="7">
        <v>2</v>
      </c>
      <c r="D17" s="7">
        <v>39</v>
      </c>
      <c r="E17" s="7">
        <v>149</v>
      </c>
      <c r="F17" s="7">
        <v>8</v>
      </c>
      <c r="G17" s="27"/>
      <c r="H17" s="59">
        <v>0</v>
      </c>
      <c r="I17" s="59">
        <v>2</v>
      </c>
      <c r="J17" s="59">
        <v>3</v>
      </c>
      <c r="K17" s="59">
        <v>3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27"/>
      <c r="R17" s="59">
        <v>0</v>
      </c>
      <c r="S17" s="59"/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4</v>
      </c>
      <c r="Z17" s="59">
        <v>1</v>
      </c>
      <c r="AA17" s="27"/>
      <c r="AB17" s="7">
        <v>5</v>
      </c>
      <c r="AC17" s="7">
        <v>1</v>
      </c>
      <c r="AD17" s="7">
        <v>1</v>
      </c>
      <c r="AE17" s="7">
        <v>0</v>
      </c>
      <c r="AF17" s="7">
        <v>1</v>
      </c>
      <c r="AG17" s="7">
        <v>0</v>
      </c>
      <c r="AH17" s="7">
        <v>0</v>
      </c>
      <c r="AI17" s="27"/>
      <c r="AJ17" s="7">
        <v>3</v>
      </c>
      <c r="AK17" s="7">
        <v>2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27"/>
      <c r="AR17" s="7">
        <v>18</v>
      </c>
      <c r="AS17" s="7">
        <v>6</v>
      </c>
      <c r="AT17" s="7">
        <v>1</v>
      </c>
      <c r="AU17" s="7">
        <v>1</v>
      </c>
      <c r="AV17" s="7">
        <v>12</v>
      </c>
      <c r="AW17" s="7">
        <v>20</v>
      </c>
      <c r="AX17" s="7">
        <v>31</v>
      </c>
      <c r="AY17" s="7">
        <v>7</v>
      </c>
      <c r="AZ17" s="7">
        <v>16</v>
      </c>
      <c r="BA17" s="7">
        <v>17</v>
      </c>
      <c r="BB17" s="7">
        <v>2</v>
      </c>
      <c r="BC17" s="7">
        <v>14</v>
      </c>
      <c r="BD17" s="7">
        <v>11</v>
      </c>
      <c r="BE17" s="7">
        <v>9</v>
      </c>
      <c r="BF17" s="7">
        <v>8</v>
      </c>
      <c r="BG17" s="7">
        <v>5</v>
      </c>
      <c r="BH17" s="7">
        <v>5</v>
      </c>
      <c r="BI17" s="27"/>
      <c r="BJ17" s="7">
        <v>0</v>
      </c>
      <c r="BK17" s="7">
        <v>1</v>
      </c>
      <c r="BL17" s="7">
        <v>6</v>
      </c>
      <c r="BM17" s="7">
        <v>0</v>
      </c>
      <c r="BN17" s="7">
        <v>0</v>
      </c>
      <c r="BO17" s="7">
        <v>0</v>
      </c>
      <c r="BP17" s="7">
        <v>1</v>
      </c>
      <c r="BQ17" s="7">
        <v>0</v>
      </c>
      <c r="BR17" s="7">
        <v>0</v>
      </c>
      <c r="BS17" s="27"/>
      <c r="BT17" s="7">
        <v>8</v>
      </c>
      <c r="BU17" s="7">
        <v>4</v>
      </c>
      <c r="BV17" s="27"/>
      <c r="BW17" s="7">
        <v>4</v>
      </c>
      <c r="BX17" s="7">
        <v>0</v>
      </c>
      <c r="BY17" s="7">
        <v>0</v>
      </c>
      <c r="BZ17" s="7">
        <v>0</v>
      </c>
      <c r="CA17" s="7">
        <v>0</v>
      </c>
      <c r="CB17" s="15"/>
      <c r="CC17" s="7">
        <v>0</v>
      </c>
      <c r="CD17" s="7"/>
      <c r="CE17" s="27"/>
      <c r="CF17" s="7">
        <v>0</v>
      </c>
      <c r="CG17" s="7">
        <v>106</v>
      </c>
      <c r="CH17" s="7">
        <v>0</v>
      </c>
      <c r="CI17" s="7">
        <v>0</v>
      </c>
      <c r="CJ17" s="7">
        <v>0</v>
      </c>
      <c r="CK17" s="7">
        <v>0</v>
      </c>
      <c r="CL17" s="7">
        <v>1</v>
      </c>
      <c r="CM17" s="7">
        <v>688</v>
      </c>
      <c r="CN17" s="7">
        <v>0</v>
      </c>
      <c r="CO17" s="11">
        <v>0</v>
      </c>
      <c r="CP17" s="7">
        <v>0</v>
      </c>
      <c r="CQ17" s="11">
        <v>0</v>
      </c>
      <c r="CR17" s="7">
        <v>0</v>
      </c>
      <c r="CS17" s="2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</row>
    <row r="18" spans="2:130" x14ac:dyDescent="0.2">
      <c r="B18" s="7" t="s">
        <v>58</v>
      </c>
      <c r="C18" s="7">
        <v>0</v>
      </c>
      <c r="D18" s="7">
        <v>2</v>
      </c>
      <c r="E18" s="7">
        <v>32</v>
      </c>
      <c r="F18" s="7">
        <v>2</v>
      </c>
      <c r="G18" s="27"/>
      <c r="H18" s="59">
        <v>0</v>
      </c>
      <c r="I18" s="59">
        <v>2</v>
      </c>
      <c r="J18" s="59">
        <v>1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27"/>
      <c r="R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3</v>
      </c>
      <c r="Z18" s="59">
        <v>0</v>
      </c>
      <c r="AA18" s="27"/>
      <c r="AB18" s="7">
        <v>1</v>
      </c>
      <c r="AC18" s="7">
        <v>0</v>
      </c>
      <c r="AD18" s="7">
        <v>0</v>
      </c>
      <c r="AE18" s="7">
        <v>0</v>
      </c>
      <c r="AF18" s="7">
        <v>1</v>
      </c>
      <c r="AH18" s="7">
        <v>0</v>
      </c>
      <c r="AI18" s="27"/>
      <c r="AQ18" s="27"/>
      <c r="AR18" s="7">
        <v>2</v>
      </c>
      <c r="AS18" s="7">
        <v>0</v>
      </c>
      <c r="AT18" s="7">
        <v>0</v>
      </c>
      <c r="AU18" s="7">
        <v>0</v>
      </c>
      <c r="AV18" s="7">
        <v>0</v>
      </c>
      <c r="AW18" s="7">
        <v>2</v>
      </c>
      <c r="AX18" s="7">
        <v>8</v>
      </c>
      <c r="AY18" s="7">
        <v>2</v>
      </c>
      <c r="AZ18" s="7">
        <v>5</v>
      </c>
      <c r="BA18" s="7">
        <v>4</v>
      </c>
      <c r="BB18" s="7">
        <v>0</v>
      </c>
      <c r="BC18" s="7">
        <v>0</v>
      </c>
      <c r="BD18" s="7">
        <v>2</v>
      </c>
      <c r="BE18" s="7">
        <v>1</v>
      </c>
      <c r="BF18" s="7">
        <v>3</v>
      </c>
      <c r="BG18" s="7">
        <v>1</v>
      </c>
      <c r="BH18" s="7">
        <v>1</v>
      </c>
      <c r="BI18" s="27"/>
      <c r="BJ18" s="7">
        <v>0</v>
      </c>
      <c r="BK18" s="7">
        <v>1</v>
      </c>
      <c r="BL18" s="7">
        <v>1</v>
      </c>
      <c r="BM18" s="7">
        <v>0</v>
      </c>
      <c r="BN18" s="7">
        <v>0</v>
      </c>
      <c r="BO18" s="7">
        <v>0</v>
      </c>
      <c r="BP18" s="7">
        <v>1</v>
      </c>
      <c r="BQ18" s="7">
        <v>0</v>
      </c>
      <c r="BR18" s="7">
        <v>0</v>
      </c>
      <c r="BS18" s="27"/>
      <c r="BT18" s="7">
        <v>2</v>
      </c>
      <c r="BU18" s="7">
        <v>0</v>
      </c>
      <c r="BV18" s="27"/>
      <c r="BW18" s="7">
        <v>1</v>
      </c>
      <c r="BX18" s="7">
        <v>0</v>
      </c>
      <c r="BY18" s="7">
        <v>0</v>
      </c>
      <c r="BZ18" s="7">
        <v>0</v>
      </c>
      <c r="CA18" s="7">
        <v>0</v>
      </c>
      <c r="CC18" s="7">
        <v>0</v>
      </c>
      <c r="CE18" s="27"/>
      <c r="CF18" s="8">
        <v>0</v>
      </c>
      <c r="CG18" s="7">
        <v>22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8">
        <v>0</v>
      </c>
      <c r="CP18" s="8">
        <v>0</v>
      </c>
      <c r="CQ18" s="8">
        <v>0</v>
      </c>
      <c r="CR18" s="8">
        <v>0</v>
      </c>
      <c r="CS18" s="27"/>
    </row>
    <row r="19" spans="2:130" x14ac:dyDescent="0.2">
      <c r="B19" s="8" t="s">
        <v>59</v>
      </c>
      <c r="C19" s="7">
        <v>2</v>
      </c>
      <c r="D19" s="7">
        <v>48</v>
      </c>
      <c r="E19" s="7">
        <v>133</v>
      </c>
      <c r="F19" s="8">
        <v>7</v>
      </c>
      <c r="G19" s="27"/>
      <c r="H19" s="59">
        <v>1</v>
      </c>
      <c r="I19" s="59">
        <v>0</v>
      </c>
      <c r="J19" s="59">
        <v>2</v>
      </c>
      <c r="K19" s="59">
        <v>2</v>
      </c>
      <c r="L19" s="59">
        <v>1</v>
      </c>
      <c r="M19" s="59">
        <v>0</v>
      </c>
      <c r="N19" s="59">
        <v>0</v>
      </c>
      <c r="O19" s="59">
        <v>0</v>
      </c>
      <c r="P19" s="59">
        <v>0</v>
      </c>
      <c r="Q19" s="27"/>
      <c r="R19" s="59">
        <v>1</v>
      </c>
      <c r="T19" s="59">
        <v>1</v>
      </c>
      <c r="U19" s="59">
        <v>1</v>
      </c>
      <c r="V19" s="59">
        <v>0</v>
      </c>
      <c r="W19" s="59">
        <v>1</v>
      </c>
      <c r="X19" s="59">
        <v>1</v>
      </c>
      <c r="Y19" s="59">
        <v>3</v>
      </c>
      <c r="Z19" s="59">
        <v>1</v>
      </c>
      <c r="AA19" s="27"/>
      <c r="AB19" s="7">
        <v>5</v>
      </c>
      <c r="AC19" s="7">
        <v>2</v>
      </c>
      <c r="AD19" s="7">
        <v>0</v>
      </c>
      <c r="AE19" s="7">
        <v>0</v>
      </c>
      <c r="AF19" s="7">
        <v>1</v>
      </c>
      <c r="AH19" s="7">
        <v>0</v>
      </c>
      <c r="AI19" s="27"/>
      <c r="AQ19" s="27"/>
      <c r="AR19" s="7">
        <v>13</v>
      </c>
      <c r="AS19" s="7">
        <v>6</v>
      </c>
      <c r="AT19" s="7">
        <v>0</v>
      </c>
      <c r="AU19" s="7">
        <v>2</v>
      </c>
      <c r="AV19" s="7">
        <v>2</v>
      </c>
      <c r="AW19" s="7">
        <v>20</v>
      </c>
      <c r="AX19" s="7">
        <v>27</v>
      </c>
      <c r="AY19" s="7">
        <v>2</v>
      </c>
      <c r="AZ19" s="7">
        <v>4</v>
      </c>
      <c r="BA19" s="7">
        <v>4</v>
      </c>
      <c r="BB19" s="7">
        <v>1</v>
      </c>
      <c r="BC19" s="7">
        <v>15</v>
      </c>
      <c r="BD19" s="7">
        <v>6</v>
      </c>
      <c r="BE19" s="7">
        <v>4</v>
      </c>
      <c r="BF19" s="7">
        <v>7</v>
      </c>
      <c r="BG19" s="7">
        <v>1</v>
      </c>
      <c r="BH19" s="7">
        <v>8</v>
      </c>
      <c r="BI19" s="27"/>
      <c r="BJ19" s="7">
        <v>0</v>
      </c>
      <c r="BK19" s="7">
        <v>0</v>
      </c>
      <c r="BL19" s="7">
        <v>0</v>
      </c>
      <c r="BM19" s="7">
        <v>3</v>
      </c>
      <c r="BN19" s="7">
        <v>2</v>
      </c>
      <c r="BO19" s="7">
        <v>0</v>
      </c>
      <c r="BP19" s="7">
        <v>0</v>
      </c>
      <c r="BQ19" s="7">
        <v>0</v>
      </c>
      <c r="BR19" s="7">
        <v>0</v>
      </c>
      <c r="BS19" s="27"/>
      <c r="BT19" s="8">
        <v>7</v>
      </c>
      <c r="BU19" s="8">
        <v>2</v>
      </c>
      <c r="BV19" s="27"/>
      <c r="BW19" s="7">
        <v>1</v>
      </c>
      <c r="BX19" s="7">
        <v>1</v>
      </c>
      <c r="BY19" s="7">
        <v>0</v>
      </c>
      <c r="BZ19" s="7">
        <v>0</v>
      </c>
      <c r="CA19" s="7">
        <v>2</v>
      </c>
      <c r="CB19" s="15" t="s">
        <v>332</v>
      </c>
      <c r="CC19" s="7">
        <v>0</v>
      </c>
      <c r="CD19" s="90"/>
      <c r="CE19" s="27"/>
      <c r="CF19" s="11">
        <v>1</v>
      </c>
      <c r="CG19" s="7">
        <v>120</v>
      </c>
      <c r="CH19" s="7">
        <v>0</v>
      </c>
      <c r="CI19" s="7">
        <v>2</v>
      </c>
      <c r="CJ19" s="7">
        <v>17</v>
      </c>
      <c r="CK19" s="7">
        <v>133625</v>
      </c>
      <c r="CL19" s="7">
        <v>11</v>
      </c>
      <c r="CM19" s="7">
        <v>53422</v>
      </c>
      <c r="CN19" s="7">
        <v>10</v>
      </c>
      <c r="CO19" s="11">
        <v>1</v>
      </c>
      <c r="CP19" s="11">
        <v>17000</v>
      </c>
      <c r="CQ19" s="11">
        <v>0</v>
      </c>
      <c r="CR19" s="11">
        <v>0</v>
      </c>
      <c r="CS19" s="27"/>
    </row>
    <row r="20" spans="2:130" x14ac:dyDescent="0.2">
      <c r="B20" s="8" t="s">
        <v>60</v>
      </c>
      <c r="C20" s="7">
        <v>29</v>
      </c>
      <c r="D20" s="7">
        <v>898</v>
      </c>
      <c r="E20" s="7">
        <v>4674</v>
      </c>
      <c r="F20" s="7">
        <v>189</v>
      </c>
      <c r="G20" s="27"/>
      <c r="H20" s="59">
        <v>24</v>
      </c>
      <c r="I20" s="59">
        <v>20</v>
      </c>
      <c r="J20" s="59">
        <v>49</v>
      </c>
      <c r="K20" s="59">
        <v>76</v>
      </c>
      <c r="L20" s="59">
        <v>14</v>
      </c>
      <c r="M20" s="59">
        <v>4</v>
      </c>
      <c r="N20" s="59">
        <v>1</v>
      </c>
      <c r="O20" s="59">
        <v>0</v>
      </c>
      <c r="P20" s="59">
        <v>0</v>
      </c>
      <c r="Q20" s="27"/>
      <c r="R20" s="59">
        <v>11</v>
      </c>
      <c r="T20" s="59">
        <v>8</v>
      </c>
      <c r="U20" s="59">
        <v>5</v>
      </c>
      <c r="V20" s="59">
        <v>2</v>
      </c>
      <c r="W20" s="59">
        <v>8</v>
      </c>
      <c r="X20" s="59">
        <v>7</v>
      </c>
      <c r="Y20" s="59">
        <v>29</v>
      </c>
      <c r="Z20" s="59">
        <v>23</v>
      </c>
      <c r="AA20" s="27"/>
      <c r="AB20" s="7">
        <v>152</v>
      </c>
      <c r="AC20" s="7">
        <v>18</v>
      </c>
      <c r="AD20" s="7">
        <v>5</v>
      </c>
      <c r="AE20" s="7">
        <v>0</v>
      </c>
      <c r="AF20" s="7">
        <v>17</v>
      </c>
      <c r="AH20" s="7">
        <v>3</v>
      </c>
      <c r="AI20" s="27"/>
      <c r="AQ20" s="27"/>
      <c r="AR20" s="7">
        <v>297</v>
      </c>
      <c r="AS20" s="7">
        <v>230</v>
      </c>
      <c r="AT20" s="7">
        <v>18</v>
      </c>
      <c r="AU20" s="7">
        <v>106</v>
      </c>
      <c r="AV20" s="7">
        <v>157</v>
      </c>
      <c r="AW20" s="7">
        <v>707</v>
      </c>
      <c r="AX20" s="7">
        <v>947</v>
      </c>
      <c r="AY20" s="7">
        <v>183</v>
      </c>
      <c r="AZ20" s="7">
        <v>633</v>
      </c>
      <c r="BA20" s="7">
        <v>399</v>
      </c>
      <c r="BB20" s="7">
        <v>105</v>
      </c>
      <c r="BC20" s="7">
        <v>270</v>
      </c>
      <c r="BD20" s="7">
        <v>418</v>
      </c>
      <c r="BE20" s="7">
        <v>258</v>
      </c>
      <c r="BF20" s="7">
        <v>311</v>
      </c>
      <c r="BG20" s="7">
        <v>125</v>
      </c>
      <c r="BH20" s="7">
        <v>182</v>
      </c>
      <c r="BI20" s="27"/>
      <c r="BJ20" s="7">
        <v>0</v>
      </c>
      <c r="BK20" s="7">
        <v>65</v>
      </c>
      <c r="BL20" s="7">
        <v>39</v>
      </c>
      <c r="BM20" s="7">
        <v>21</v>
      </c>
      <c r="BN20" s="7">
        <v>11</v>
      </c>
      <c r="BO20" s="7">
        <v>11</v>
      </c>
      <c r="BP20" s="7">
        <v>41</v>
      </c>
      <c r="BQ20" s="7">
        <v>8</v>
      </c>
      <c r="BR20" s="7">
        <v>7</v>
      </c>
      <c r="BS20" s="27"/>
      <c r="BT20" s="7">
        <v>189</v>
      </c>
      <c r="BU20" s="7">
        <v>86</v>
      </c>
      <c r="BV20" s="27"/>
      <c r="BW20" s="7">
        <v>50</v>
      </c>
      <c r="BX20" s="7">
        <v>13</v>
      </c>
      <c r="BY20" s="7">
        <v>6</v>
      </c>
      <c r="BZ20" s="7">
        <v>0</v>
      </c>
      <c r="CA20" s="7">
        <v>3</v>
      </c>
      <c r="CB20" s="15" t="s">
        <v>333</v>
      </c>
      <c r="CC20" s="75">
        <v>9</v>
      </c>
      <c r="CD20" s="88" t="s">
        <v>324</v>
      </c>
      <c r="CE20" s="27"/>
      <c r="CF20" s="11">
        <v>21</v>
      </c>
      <c r="CG20" s="7">
        <v>3169</v>
      </c>
      <c r="CH20" s="7">
        <v>8</v>
      </c>
      <c r="CI20" s="7">
        <v>7</v>
      </c>
      <c r="CJ20" s="7">
        <v>209</v>
      </c>
      <c r="CK20" s="12">
        <v>2967507</v>
      </c>
      <c r="CL20" s="7">
        <v>260</v>
      </c>
      <c r="CM20" s="7">
        <v>1411895</v>
      </c>
      <c r="CN20" s="7">
        <v>30</v>
      </c>
      <c r="CO20" s="7">
        <v>164</v>
      </c>
      <c r="CP20" s="7">
        <v>1712030</v>
      </c>
      <c r="CQ20" s="11">
        <v>6</v>
      </c>
      <c r="CR20" s="11">
        <v>381273</v>
      </c>
      <c r="CS20" s="27"/>
      <c r="DX20" s="8"/>
      <c r="DY20" s="8"/>
      <c r="DZ20" s="8"/>
    </row>
    <row r="21" spans="2:130" x14ac:dyDescent="0.2">
      <c r="B21" s="8" t="s">
        <v>61</v>
      </c>
      <c r="C21" s="79">
        <v>40</v>
      </c>
      <c r="D21" s="7">
        <v>1461</v>
      </c>
      <c r="E21" s="7">
        <v>3338</v>
      </c>
      <c r="F21" s="7">
        <v>127</v>
      </c>
      <c r="G21" s="27"/>
      <c r="H21" s="59">
        <v>16</v>
      </c>
      <c r="I21" s="59">
        <v>9</v>
      </c>
      <c r="J21" s="59">
        <v>36</v>
      </c>
      <c r="K21" s="59">
        <v>49</v>
      </c>
      <c r="L21" s="59">
        <v>9</v>
      </c>
      <c r="M21" s="59">
        <v>5</v>
      </c>
      <c r="N21" s="59">
        <v>0</v>
      </c>
      <c r="O21" s="59">
        <v>0</v>
      </c>
      <c r="P21" s="59">
        <v>0</v>
      </c>
      <c r="Q21" s="27"/>
      <c r="R21" s="59">
        <v>7</v>
      </c>
      <c r="T21" s="59">
        <v>4</v>
      </c>
      <c r="U21" s="59">
        <v>3</v>
      </c>
      <c r="V21" s="59">
        <v>4</v>
      </c>
      <c r="W21" s="59">
        <v>4</v>
      </c>
      <c r="X21" s="59">
        <v>4</v>
      </c>
      <c r="Y21" s="59">
        <v>12</v>
      </c>
      <c r="Z21" s="59">
        <v>8</v>
      </c>
      <c r="AA21" s="27"/>
      <c r="AB21" s="7">
        <v>87</v>
      </c>
      <c r="AC21" s="75">
        <v>36</v>
      </c>
      <c r="AD21" s="7">
        <v>0</v>
      </c>
      <c r="AE21" s="7">
        <v>1</v>
      </c>
      <c r="AF21" s="7">
        <v>3</v>
      </c>
      <c r="AG21" s="7">
        <v>1</v>
      </c>
      <c r="AH21" s="7">
        <v>1</v>
      </c>
      <c r="AI21" s="27"/>
      <c r="AJ21" s="7">
        <v>37</v>
      </c>
      <c r="AK21" s="7">
        <v>26</v>
      </c>
      <c r="AL21" s="7">
        <v>1</v>
      </c>
      <c r="AM21" s="7">
        <v>0</v>
      </c>
      <c r="AN21" s="7">
        <v>0</v>
      </c>
      <c r="AO21" s="7">
        <v>0</v>
      </c>
      <c r="AP21" s="7">
        <v>5</v>
      </c>
      <c r="AQ21" s="27"/>
      <c r="AR21" s="11">
        <v>211</v>
      </c>
      <c r="AS21" s="11">
        <v>81</v>
      </c>
      <c r="AT21" s="11">
        <v>16</v>
      </c>
      <c r="AU21" s="11">
        <v>79</v>
      </c>
      <c r="AV21" s="11">
        <v>88</v>
      </c>
      <c r="AW21" s="11">
        <v>477</v>
      </c>
      <c r="AX21" s="11">
        <v>692</v>
      </c>
      <c r="AY21" s="11">
        <v>127</v>
      </c>
      <c r="AZ21" s="11">
        <v>548</v>
      </c>
      <c r="BA21" s="11">
        <v>323</v>
      </c>
      <c r="BB21" s="11">
        <v>94</v>
      </c>
      <c r="BC21" s="11">
        <v>214</v>
      </c>
      <c r="BD21" s="11">
        <v>314</v>
      </c>
      <c r="BE21" s="11">
        <v>158</v>
      </c>
      <c r="BF21" s="11">
        <v>219</v>
      </c>
      <c r="BG21" s="11">
        <v>103</v>
      </c>
      <c r="BH21" s="11">
        <v>151</v>
      </c>
      <c r="BI21" s="27"/>
      <c r="BJ21" s="7">
        <v>0</v>
      </c>
      <c r="BK21" s="7">
        <v>66</v>
      </c>
      <c r="BL21" s="7">
        <v>19</v>
      </c>
      <c r="BM21" s="7">
        <v>21</v>
      </c>
      <c r="BN21" s="7">
        <v>12</v>
      </c>
      <c r="BO21" s="7">
        <v>3</v>
      </c>
      <c r="BP21" s="7">
        <v>5</v>
      </c>
      <c r="BQ21" s="7">
        <v>3</v>
      </c>
      <c r="BR21" s="7">
        <v>0</v>
      </c>
      <c r="BS21" s="27"/>
      <c r="BT21" s="7">
        <v>127</v>
      </c>
      <c r="BU21" s="7">
        <v>41</v>
      </c>
      <c r="BV21" s="27"/>
      <c r="BW21" s="7">
        <v>25</v>
      </c>
      <c r="BX21" s="7">
        <v>5</v>
      </c>
      <c r="BY21" s="7">
        <v>1</v>
      </c>
      <c r="BZ21" s="7">
        <v>0</v>
      </c>
      <c r="CA21" s="7">
        <v>6</v>
      </c>
      <c r="CB21" s="88" t="s">
        <v>334</v>
      </c>
      <c r="CC21" s="7">
        <v>1</v>
      </c>
      <c r="CD21" s="88" t="s">
        <v>277</v>
      </c>
      <c r="CE21" s="27"/>
      <c r="CF21" s="11">
        <v>19</v>
      </c>
      <c r="CG21" s="11">
        <v>2506</v>
      </c>
      <c r="CH21" s="11">
        <v>0</v>
      </c>
      <c r="CI21" s="7">
        <v>14</v>
      </c>
      <c r="CJ21" s="11">
        <v>177</v>
      </c>
      <c r="CK21" s="11">
        <v>441400</v>
      </c>
      <c r="CL21" s="11">
        <v>177</v>
      </c>
      <c r="CM21" s="11">
        <v>772271</v>
      </c>
      <c r="CN21" s="11">
        <v>19</v>
      </c>
      <c r="CO21" s="11">
        <v>96</v>
      </c>
      <c r="CP21" s="11">
        <v>201298</v>
      </c>
      <c r="CQ21" s="11">
        <v>2</v>
      </c>
      <c r="CR21" s="11">
        <v>631</v>
      </c>
      <c r="CS21" s="27"/>
      <c r="DX21" s="8"/>
      <c r="DY21" s="8"/>
      <c r="DZ21" s="8"/>
    </row>
    <row r="22" spans="2:130" x14ac:dyDescent="0.2">
      <c r="B22" s="7" t="s">
        <v>62</v>
      </c>
      <c r="C22" s="7">
        <v>3</v>
      </c>
      <c r="D22" s="7">
        <v>56</v>
      </c>
      <c r="E22" s="7">
        <v>133</v>
      </c>
      <c r="F22" s="7">
        <v>10</v>
      </c>
      <c r="G22" s="27"/>
      <c r="H22" s="59">
        <v>2</v>
      </c>
      <c r="I22" s="59">
        <v>0</v>
      </c>
      <c r="J22" s="59">
        <v>4</v>
      </c>
      <c r="K22" s="59">
        <v>3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27"/>
      <c r="R22" s="59">
        <v>2</v>
      </c>
      <c r="T22" s="59">
        <v>2</v>
      </c>
      <c r="U22" s="59">
        <v>1</v>
      </c>
      <c r="V22" s="59">
        <v>1</v>
      </c>
      <c r="W22" s="59">
        <v>1</v>
      </c>
      <c r="X22" s="59">
        <v>2</v>
      </c>
      <c r="Y22" s="59">
        <v>4</v>
      </c>
      <c r="Z22" s="59">
        <v>3</v>
      </c>
      <c r="AA22" s="27"/>
      <c r="AB22" s="7">
        <v>8</v>
      </c>
      <c r="AC22" s="7">
        <v>0</v>
      </c>
      <c r="AD22" s="7">
        <v>1</v>
      </c>
      <c r="AE22" s="7">
        <v>1</v>
      </c>
      <c r="AF22" s="7">
        <v>1</v>
      </c>
      <c r="AG22" s="7">
        <v>0</v>
      </c>
      <c r="AH22" s="7">
        <v>1</v>
      </c>
      <c r="AI22" s="27"/>
      <c r="AJ22" s="7">
        <v>1</v>
      </c>
      <c r="AK22" s="7">
        <v>0</v>
      </c>
      <c r="AL22" s="7">
        <v>0</v>
      </c>
      <c r="AM22" s="7">
        <v>0</v>
      </c>
      <c r="AN22" s="7">
        <v>0</v>
      </c>
      <c r="AO22" s="7">
        <v>1</v>
      </c>
      <c r="AP22" s="7">
        <v>0</v>
      </c>
      <c r="AQ22" s="27"/>
      <c r="AR22" s="7">
        <v>13</v>
      </c>
      <c r="AS22" s="7">
        <v>12</v>
      </c>
      <c r="AT22" s="7">
        <v>1</v>
      </c>
      <c r="AU22" s="7">
        <v>3</v>
      </c>
      <c r="AV22" s="7">
        <v>2</v>
      </c>
      <c r="AW22" s="7">
        <v>32</v>
      </c>
      <c r="AX22" s="7">
        <v>22</v>
      </c>
      <c r="AY22" s="7">
        <v>3</v>
      </c>
      <c r="AZ22" s="7">
        <v>12</v>
      </c>
      <c r="BA22" s="7">
        <v>7</v>
      </c>
      <c r="BB22" s="7">
        <v>6</v>
      </c>
      <c r="BC22" s="7">
        <v>11</v>
      </c>
      <c r="BD22" s="7">
        <v>9</v>
      </c>
      <c r="BE22" s="7">
        <v>5</v>
      </c>
      <c r="BF22" s="7">
        <v>8</v>
      </c>
      <c r="BG22" s="7">
        <v>1</v>
      </c>
      <c r="BH22" s="7">
        <v>13</v>
      </c>
      <c r="BI22" s="27"/>
      <c r="BJ22" s="7">
        <v>0</v>
      </c>
      <c r="BK22" s="7">
        <v>1</v>
      </c>
      <c r="BL22" s="7">
        <v>3</v>
      </c>
      <c r="BM22" s="7">
        <v>3</v>
      </c>
      <c r="BN22" s="7">
        <v>2</v>
      </c>
      <c r="BO22" s="7">
        <v>0</v>
      </c>
      <c r="BP22" s="7">
        <v>1</v>
      </c>
      <c r="BQ22" s="7">
        <v>1</v>
      </c>
      <c r="BR22" s="7">
        <v>0</v>
      </c>
      <c r="BS22" s="27"/>
      <c r="BT22" s="7">
        <v>8</v>
      </c>
      <c r="BU22" s="7">
        <v>6</v>
      </c>
      <c r="BV22" s="27"/>
      <c r="BW22" s="7">
        <v>0</v>
      </c>
      <c r="BX22" s="7">
        <v>3</v>
      </c>
      <c r="BY22" s="7">
        <v>0</v>
      </c>
      <c r="BZ22" s="7">
        <v>1</v>
      </c>
      <c r="CA22" s="7">
        <v>1</v>
      </c>
      <c r="CB22" s="15" t="s">
        <v>335</v>
      </c>
      <c r="CC22" s="7">
        <v>1</v>
      </c>
      <c r="CD22" s="15" t="s">
        <v>299</v>
      </c>
      <c r="CE22" s="27"/>
      <c r="CF22" s="11">
        <v>0</v>
      </c>
      <c r="CG22" s="7">
        <v>36</v>
      </c>
      <c r="CH22" s="7">
        <v>0</v>
      </c>
      <c r="CI22" s="7">
        <v>0</v>
      </c>
      <c r="CJ22" s="7">
        <v>3</v>
      </c>
      <c r="CK22" s="7">
        <v>4299</v>
      </c>
      <c r="CL22" s="7">
        <v>3</v>
      </c>
      <c r="CM22" s="7">
        <v>1282</v>
      </c>
      <c r="CN22" s="7">
        <v>1</v>
      </c>
      <c r="CO22" s="11">
        <v>1</v>
      </c>
      <c r="CP22" s="11">
        <v>337</v>
      </c>
      <c r="CQ22" s="11">
        <v>0</v>
      </c>
      <c r="CR22" s="11">
        <v>0</v>
      </c>
      <c r="CS22" s="27"/>
    </row>
    <row r="23" spans="2:130" x14ac:dyDescent="0.2">
      <c r="B23" s="7" t="s">
        <v>63</v>
      </c>
      <c r="C23" s="7">
        <v>5</v>
      </c>
      <c r="D23" s="7">
        <v>152</v>
      </c>
      <c r="E23" s="7">
        <v>277</v>
      </c>
      <c r="F23" s="7">
        <v>16</v>
      </c>
      <c r="G23" s="27"/>
      <c r="H23" s="59">
        <v>0</v>
      </c>
      <c r="I23" s="59">
        <v>7</v>
      </c>
      <c r="J23" s="59">
        <v>4</v>
      </c>
      <c r="K23" s="59">
        <v>5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27"/>
      <c r="R23" s="59">
        <v>0</v>
      </c>
      <c r="T23" s="59">
        <v>1</v>
      </c>
      <c r="U23" s="59">
        <v>0</v>
      </c>
      <c r="V23" s="59">
        <v>0</v>
      </c>
      <c r="W23" s="59">
        <v>0</v>
      </c>
      <c r="X23" s="59">
        <v>2</v>
      </c>
      <c r="Y23" s="59">
        <v>6</v>
      </c>
      <c r="Z23" s="59">
        <v>1</v>
      </c>
      <c r="AA23" s="27"/>
      <c r="AB23" s="7">
        <v>16</v>
      </c>
      <c r="AC23" s="7">
        <v>0</v>
      </c>
      <c r="AD23" s="7">
        <v>0</v>
      </c>
      <c r="AE23" s="7">
        <v>1</v>
      </c>
      <c r="AF23" s="7">
        <v>0</v>
      </c>
      <c r="AG23" s="7">
        <v>0</v>
      </c>
      <c r="AH23" s="7">
        <v>1</v>
      </c>
      <c r="AI23" s="27"/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27"/>
      <c r="AR23" s="7">
        <v>26</v>
      </c>
      <c r="AS23" s="7">
        <v>12</v>
      </c>
      <c r="AT23" s="7">
        <v>0</v>
      </c>
      <c r="AU23" s="7">
        <v>11</v>
      </c>
      <c r="AV23" s="7">
        <v>18</v>
      </c>
      <c r="AW23" s="7">
        <v>46</v>
      </c>
      <c r="AX23" s="7">
        <v>39</v>
      </c>
      <c r="AY23" s="7">
        <v>9</v>
      </c>
      <c r="AZ23" s="7">
        <v>42</v>
      </c>
      <c r="BA23" s="7">
        <v>31</v>
      </c>
      <c r="BB23" s="7">
        <v>5</v>
      </c>
      <c r="BC23" s="7">
        <v>25</v>
      </c>
      <c r="BD23" s="7">
        <v>20</v>
      </c>
      <c r="BE23" s="7">
        <v>11</v>
      </c>
      <c r="BF23" s="7">
        <v>13</v>
      </c>
      <c r="BG23" s="7">
        <v>6</v>
      </c>
      <c r="BH23" s="7">
        <v>5</v>
      </c>
      <c r="BI23" s="27"/>
      <c r="BJ23" s="7">
        <v>2</v>
      </c>
      <c r="BK23" s="7">
        <v>2</v>
      </c>
      <c r="BL23" s="7">
        <v>4</v>
      </c>
      <c r="BM23" s="7">
        <v>1</v>
      </c>
      <c r="BN23" s="7">
        <v>1</v>
      </c>
      <c r="BO23" s="7">
        <v>0</v>
      </c>
      <c r="BP23" s="7">
        <v>6</v>
      </c>
      <c r="BQ23" s="7">
        <v>0</v>
      </c>
      <c r="BR23" s="7">
        <v>0</v>
      </c>
      <c r="BS23" s="27"/>
      <c r="BT23" s="7">
        <v>16</v>
      </c>
      <c r="BU23" s="7">
        <v>7</v>
      </c>
      <c r="BV23" s="27"/>
      <c r="BW23" s="7">
        <v>6</v>
      </c>
      <c r="BX23" s="7">
        <v>1</v>
      </c>
      <c r="BY23" s="7">
        <v>0</v>
      </c>
      <c r="BZ23" s="7">
        <v>0</v>
      </c>
      <c r="CA23" s="7">
        <v>0</v>
      </c>
      <c r="CC23" s="7">
        <v>0</v>
      </c>
      <c r="CE23" s="27"/>
      <c r="CF23" s="11">
        <v>0</v>
      </c>
      <c r="CG23" s="7">
        <v>107</v>
      </c>
      <c r="CH23" s="7">
        <v>0</v>
      </c>
      <c r="CI23" s="7">
        <v>0</v>
      </c>
      <c r="CJ23" s="7">
        <v>1</v>
      </c>
      <c r="CK23" s="7">
        <v>2037</v>
      </c>
      <c r="CL23" s="7">
        <v>1</v>
      </c>
      <c r="CM23" s="7">
        <v>1534</v>
      </c>
      <c r="CN23" s="7">
        <v>1</v>
      </c>
      <c r="CO23" s="11">
        <v>0</v>
      </c>
      <c r="CP23" s="11">
        <v>0</v>
      </c>
      <c r="CQ23" s="11">
        <v>0</v>
      </c>
      <c r="CR23" s="11">
        <v>0</v>
      </c>
      <c r="CS23" s="27"/>
    </row>
    <row r="24" spans="2:130" x14ac:dyDescent="0.2">
      <c r="B24" s="7" t="s">
        <v>64</v>
      </c>
      <c r="C24" s="7">
        <v>25</v>
      </c>
      <c r="D24" s="7">
        <v>915</v>
      </c>
      <c r="E24" s="7">
        <v>1957</v>
      </c>
      <c r="F24" s="7">
        <v>73</v>
      </c>
      <c r="G24" s="27"/>
      <c r="H24" s="59">
        <v>13</v>
      </c>
      <c r="I24" s="59">
        <v>6</v>
      </c>
      <c r="J24" s="59">
        <v>20</v>
      </c>
      <c r="K24" s="59">
        <v>18</v>
      </c>
      <c r="L24" s="59">
        <v>13</v>
      </c>
      <c r="M24" s="59">
        <v>3</v>
      </c>
      <c r="N24" s="59">
        <v>1</v>
      </c>
      <c r="O24" s="59">
        <v>0</v>
      </c>
      <c r="P24" s="59">
        <v>0</v>
      </c>
      <c r="Q24" s="27"/>
      <c r="R24" s="59">
        <v>5</v>
      </c>
      <c r="T24" s="59">
        <v>4</v>
      </c>
      <c r="U24" s="59">
        <v>2</v>
      </c>
      <c r="V24" s="59">
        <v>2</v>
      </c>
      <c r="W24" s="59">
        <v>6</v>
      </c>
      <c r="X24" s="59">
        <v>9</v>
      </c>
      <c r="Y24" s="59">
        <v>21</v>
      </c>
      <c r="Z24" s="59">
        <v>6</v>
      </c>
      <c r="AA24" s="27"/>
      <c r="AB24" s="7">
        <v>63</v>
      </c>
      <c r="AC24" s="7">
        <v>16</v>
      </c>
      <c r="AD24" s="7">
        <v>1</v>
      </c>
      <c r="AE24" s="7">
        <v>0</v>
      </c>
      <c r="AF24" s="7">
        <v>2</v>
      </c>
      <c r="AG24" s="7">
        <v>0</v>
      </c>
      <c r="AH24" s="7">
        <v>8</v>
      </c>
      <c r="AI24" s="27"/>
      <c r="AJ24" s="7">
        <v>108</v>
      </c>
      <c r="AK24" s="7">
        <v>14</v>
      </c>
      <c r="AL24" s="7">
        <v>15</v>
      </c>
      <c r="AM24" s="7">
        <v>2</v>
      </c>
      <c r="AN24" s="7">
        <v>1</v>
      </c>
      <c r="AO24" s="7">
        <v>0</v>
      </c>
      <c r="AP24" s="7">
        <v>11</v>
      </c>
      <c r="AQ24" s="27"/>
      <c r="AR24" s="7">
        <v>119</v>
      </c>
      <c r="AS24" s="7">
        <v>164</v>
      </c>
      <c r="AT24" s="7">
        <v>13</v>
      </c>
      <c r="AU24" s="7">
        <v>53</v>
      </c>
      <c r="AV24" s="7">
        <v>69</v>
      </c>
      <c r="AW24" s="7">
        <v>255</v>
      </c>
      <c r="AX24" s="7">
        <v>392</v>
      </c>
      <c r="AY24" s="7">
        <v>109</v>
      </c>
      <c r="AZ24" s="7">
        <v>281</v>
      </c>
      <c r="BA24" s="7">
        <v>200</v>
      </c>
      <c r="BB24" s="7">
        <v>57</v>
      </c>
      <c r="BC24" s="7">
        <v>167</v>
      </c>
      <c r="BD24" s="7">
        <v>172</v>
      </c>
      <c r="BE24" s="7">
        <v>104</v>
      </c>
      <c r="BF24" s="7">
        <v>131</v>
      </c>
      <c r="BG24" s="7">
        <v>72</v>
      </c>
      <c r="BH24" s="7">
        <v>75</v>
      </c>
      <c r="BI24" s="27"/>
      <c r="BJ24" s="7">
        <v>1</v>
      </c>
      <c r="BK24" s="7">
        <v>11</v>
      </c>
      <c r="BL24" s="7">
        <v>26</v>
      </c>
      <c r="BM24" s="7">
        <v>10</v>
      </c>
      <c r="BN24" s="7">
        <v>12</v>
      </c>
      <c r="BO24" s="7">
        <v>2</v>
      </c>
      <c r="BP24" s="7">
        <v>11</v>
      </c>
      <c r="BQ24" s="7">
        <v>3</v>
      </c>
      <c r="BR24" s="7">
        <v>0</v>
      </c>
      <c r="BS24" s="27"/>
      <c r="BT24" s="7">
        <v>73</v>
      </c>
      <c r="BU24" s="7">
        <v>35</v>
      </c>
      <c r="BV24" s="27"/>
      <c r="BW24" s="7">
        <v>21</v>
      </c>
      <c r="BX24" s="7">
        <v>11</v>
      </c>
      <c r="BY24" s="7">
        <v>2</v>
      </c>
      <c r="BZ24" s="7">
        <v>1</v>
      </c>
      <c r="CA24" s="7">
        <v>3</v>
      </c>
      <c r="CB24" s="15" t="s">
        <v>336</v>
      </c>
      <c r="CC24" s="7">
        <v>0</v>
      </c>
      <c r="CE24" s="27"/>
      <c r="CF24" s="7">
        <v>6</v>
      </c>
      <c r="CG24" s="7">
        <v>1544</v>
      </c>
      <c r="CH24" s="7">
        <v>2</v>
      </c>
      <c r="CI24" s="7">
        <v>1</v>
      </c>
      <c r="CJ24" s="7">
        <v>47</v>
      </c>
      <c r="CK24" s="7">
        <v>51774</v>
      </c>
      <c r="CL24" s="7">
        <v>109</v>
      </c>
      <c r="CM24" s="7">
        <v>127956</v>
      </c>
      <c r="CN24" s="7">
        <v>6</v>
      </c>
      <c r="CO24" s="7">
        <v>11</v>
      </c>
      <c r="CP24" s="7">
        <v>43020</v>
      </c>
      <c r="CQ24" s="7">
        <v>0</v>
      </c>
      <c r="CR24" s="7">
        <v>0</v>
      </c>
      <c r="CS24" s="27"/>
      <c r="DX24" s="8"/>
      <c r="DY24" s="8"/>
      <c r="DZ24" s="8"/>
    </row>
    <row r="25" spans="2:130" x14ac:dyDescent="0.2">
      <c r="B25" s="7" t="s">
        <v>65</v>
      </c>
      <c r="C25" s="7">
        <v>14</v>
      </c>
      <c r="D25" s="7">
        <v>785</v>
      </c>
      <c r="E25" s="7">
        <v>1991</v>
      </c>
      <c r="F25" s="7">
        <v>59</v>
      </c>
      <c r="G25" s="27"/>
      <c r="H25" s="59">
        <v>6</v>
      </c>
      <c r="I25" s="59">
        <v>3</v>
      </c>
      <c r="J25" s="59">
        <v>14</v>
      </c>
      <c r="K25" s="59">
        <v>22</v>
      </c>
      <c r="L25" s="59">
        <v>11</v>
      </c>
      <c r="M25" s="59">
        <v>2</v>
      </c>
      <c r="N25" s="59">
        <v>0</v>
      </c>
      <c r="O25" s="59">
        <v>0</v>
      </c>
      <c r="P25" s="59">
        <v>0</v>
      </c>
      <c r="Q25" s="27"/>
      <c r="R25" s="59">
        <v>1</v>
      </c>
      <c r="T25" s="59">
        <v>2</v>
      </c>
      <c r="U25" s="59">
        <v>0</v>
      </c>
      <c r="V25" s="59">
        <v>0</v>
      </c>
      <c r="W25" s="59">
        <v>1</v>
      </c>
      <c r="X25" s="59">
        <v>3</v>
      </c>
      <c r="Y25" s="59">
        <v>10</v>
      </c>
      <c r="Z25" s="59">
        <v>6</v>
      </c>
      <c r="AA25" s="27"/>
      <c r="AB25" s="7">
        <v>53</v>
      </c>
      <c r="AC25" s="7">
        <v>5</v>
      </c>
      <c r="AD25" s="7">
        <v>1</v>
      </c>
      <c r="AE25" s="7">
        <v>0</v>
      </c>
      <c r="AF25" s="7">
        <v>0</v>
      </c>
      <c r="AG25" s="7">
        <v>1</v>
      </c>
      <c r="AH25" s="7">
        <v>1</v>
      </c>
      <c r="AI25" s="27"/>
      <c r="AQ25" s="27"/>
      <c r="AR25" s="7">
        <v>94</v>
      </c>
      <c r="AS25" s="7">
        <v>52</v>
      </c>
      <c r="AT25" s="7">
        <v>9</v>
      </c>
      <c r="AU25" s="7">
        <v>38</v>
      </c>
      <c r="AV25" s="7">
        <v>88</v>
      </c>
      <c r="AW25" s="7">
        <v>224</v>
      </c>
      <c r="AX25" s="7">
        <v>484</v>
      </c>
      <c r="AY25" s="7">
        <v>66</v>
      </c>
      <c r="AZ25" s="31">
        <v>336</v>
      </c>
      <c r="BA25" s="7">
        <v>177</v>
      </c>
      <c r="BB25" s="7">
        <v>21</v>
      </c>
      <c r="BC25" s="7">
        <v>155</v>
      </c>
      <c r="BD25" s="7">
        <v>176</v>
      </c>
      <c r="BE25" s="7">
        <v>141</v>
      </c>
      <c r="BF25" s="7">
        <v>156</v>
      </c>
      <c r="BG25" s="7">
        <v>49</v>
      </c>
      <c r="BH25" s="7">
        <v>77</v>
      </c>
      <c r="BI25" s="27"/>
      <c r="BJ25" s="7">
        <v>1</v>
      </c>
      <c r="BK25" s="7">
        <v>10</v>
      </c>
      <c r="BL25" s="7">
        <v>16</v>
      </c>
      <c r="BM25" s="7">
        <v>15</v>
      </c>
      <c r="BN25" s="7">
        <v>6</v>
      </c>
      <c r="BO25" s="7">
        <v>3</v>
      </c>
      <c r="BP25" s="7">
        <v>9</v>
      </c>
      <c r="BQ25" s="7">
        <v>2</v>
      </c>
      <c r="BR25" s="7">
        <v>2</v>
      </c>
      <c r="BS25" s="27"/>
      <c r="BT25" s="7">
        <v>59</v>
      </c>
      <c r="BU25" s="7">
        <v>26</v>
      </c>
      <c r="BV25" s="27"/>
      <c r="BW25" s="7">
        <v>11</v>
      </c>
      <c r="BX25" s="7">
        <v>5</v>
      </c>
      <c r="BY25" s="7">
        <v>1</v>
      </c>
      <c r="BZ25" s="7">
        <v>0</v>
      </c>
      <c r="CA25" s="7">
        <v>1</v>
      </c>
      <c r="CB25" s="15" t="s">
        <v>337</v>
      </c>
      <c r="CC25" s="7">
        <v>0</v>
      </c>
      <c r="CE25" s="27"/>
      <c r="CF25" s="7">
        <v>4</v>
      </c>
      <c r="CG25" s="7">
        <v>1473</v>
      </c>
      <c r="CH25" s="7">
        <v>2</v>
      </c>
      <c r="CI25" s="7">
        <v>5</v>
      </c>
      <c r="CJ25" s="7">
        <v>104</v>
      </c>
      <c r="CK25" s="7">
        <v>349953</v>
      </c>
      <c r="CL25" s="7">
        <v>93</v>
      </c>
      <c r="CM25" s="7">
        <v>129854</v>
      </c>
      <c r="CN25" s="7">
        <v>15</v>
      </c>
      <c r="CO25" s="7">
        <v>32</v>
      </c>
      <c r="CP25" s="7">
        <v>39096</v>
      </c>
      <c r="CQ25" s="11">
        <v>0</v>
      </c>
      <c r="CR25" s="7">
        <v>0</v>
      </c>
      <c r="CS25" s="27"/>
      <c r="DX25" s="8"/>
      <c r="DY25" s="8"/>
      <c r="DZ25" s="8"/>
    </row>
    <row r="26" spans="2:130" s="8" customFormat="1" x14ac:dyDescent="0.2">
      <c r="B26" s="7" t="s">
        <v>66</v>
      </c>
      <c r="C26" s="7">
        <v>3</v>
      </c>
      <c r="D26" s="7">
        <v>223</v>
      </c>
      <c r="E26" s="7">
        <v>441</v>
      </c>
      <c r="F26" s="7">
        <v>10</v>
      </c>
      <c r="G26" s="27"/>
      <c r="H26" s="59">
        <v>1</v>
      </c>
      <c r="I26" s="59">
        <v>4</v>
      </c>
      <c r="J26" s="59">
        <v>2</v>
      </c>
      <c r="K26" s="59">
        <v>5</v>
      </c>
      <c r="L26" s="59">
        <v>3</v>
      </c>
      <c r="M26" s="59">
        <v>0</v>
      </c>
      <c r="N26" s="59">
        <v>0</v>
      </c>
      <c r="O26" s="59">
        <v>0</v>
      </c>
      <c r="P26" s="59">
        <v>0</v>
      </c>
      <c r="Q26" s="27"/>
      <c r="R26" s="59">
        <v>0</v>
      </c>
      <c r="S26" s="59"/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4</v>
      </c>
      <c r="Z26" s="59">
        <v>2</v>
      </c>
      <c r="AA26" s="27"/>
      <c r="AB26" s="7">
        <v>14</v>
      </c>
      <c r="AC26" s="7">
        <v>0</v>
      </c>
      <c r="AD26" s="7">
        <v>0</v>
      </c>
      <c r="AE26" s="7">
        <v>0</v>
      </c>
      <c r="AF26" s="7">
        <v>1</v>
      </c>
      <c r="AG26" s="7"/>
      <c r="AH26" s="7">
        <v>0</v>
      </c>
      <c r="AI26" s="27"/>
      <c r="AJ26" s="7"/>
      <c r="AK26" s="7"/>
      <c r="AL26" s="7"/>
      <c r="AM26" s="7"/>
      <c r="AN26" s="7"/>
      <c r="AO26" s="7"/>
      <c r="AP26" s="7"/>
      <c r="AQ26" s="27"/>
      <c r="AR26" s="7">
        <v>22</v>
      </c>
      <c r="AS26" s="7">
        <v>22</v>
      </c>
      <c r="AT26" s="7">
        <v>7</v>
      </c>
      <c r="AU26" s="7">
        <v>10</v>
      </c>
      <c r="AV26" s="7">
        <v>16</v>
      </c>
      <c r="AW26" s="7">
        <v>73</v>
      </c>
      <c r="AX26" s="7">
        <v>91</v>
      </c>
      <c r="AY26" s="7">
        <v>17</v>
      </c>
      <c r="AZ26" s="7">
        <v>56</v>
      </c>
      <c r="BA26" s="7">
        <v>42</v>
      </c>
      <c r="BB26" s="7">
        <v>27</v>
      </c>
      <c r="BC26" s="7">
        <v>29</v>
      </c>
      <c r="BD26" s="7">
        <v>30</v>
      </c>
      <c r="BE26" s="7">
        <v>20</v>
      </c>
      <c r="BF26" s="7">
        <v>31</v>
      </c>
      <c r="BG26" s="7">
        <v>12</v>
      </c>
      <c r="BH26" s="7">
        <v>19</v>
      </c>
      <c r="BI26" s="27"/>
      <c r="BJ26" s="7">
        <v>0</v>
      </c>
      <c r="BK26" s="7">
        <v>2</v>
      </c>
      <c r="BL26" s="7">
        <v>10</v>
      </c>
      <c r="BM26" s="7">
        <v>0</v>
      </c>
      <c r="BN26" s="7">
        <v>0</v>
      </c>
      <c r="BO26" s="7">
        <v>1</v>
      </c>
      <c r="BP26" s="7">
        <v>2</v>
      </c>
      <c r="BQ26" s="7">
        <v>1</v>
      </c>
      <c r="BR26" s="7">
        <v>1</v>
      </c>
      <c r="BS26" s="27"/>
      <c r="BT26" s="7">
        <v>15</v>
      </c>
      <c r="BU26" s="7">
        <v>7</v>
      </c>
      <c r="BV26" s="27"/>
      <c r="BW26" s="7">
        <v>3</v>
      </c>
      <c r="BX26" s="7">
        <v>2</v>
      </c>
      <c r="BY26" s="7">
        <v>0</v>
      </c>
      <c r="BZ26" s="7">
        <v>0</v>
      </c>
      <c r="CA26" s="7">
        <v>1</v>
      </c>
      <c r="CB26" s="15" t="s">
        <v>338</v>
      </c>
      <c r="CC26" s="7">
        <v>0</v>
      </c>
      <c r="CD26" s="7"/>
      <c r="CE26" s="27"/>
      <c r="CF26" s="11">
        <v>2</v>
      </c>
      <c r="CG26" s="7">
        <v>318</v>
      </c>
      <c r="CH26" s="7"/>
      <c r="CI26" s="7">
        <v>0</v>
      </c>
      <c r="CJ26" s="7">
        <v>19</v>
      </c>
      <c r="CK26" s="7">
        <v>6473</v>
      </c>
      <c r="CL26" s="7">
        <v>27</v>
      </c>
      <c r="CM26" s="7">
        <v>27401</v>
      </c>
      <c r="CN26" s="7">
        <v>0</v>
      </c>
      <c r="CO26" s="11">
        <v>0</v>
      </c>
      <c r="CP26" s="11">
        <v>0</v>
      </c>
      <c r="CQ26" s="11">
        <v>0</v>
      </c>
      <c r="CR26" s="11">
        <v>0</v>
      </c>
      <c r="CS26" s="2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</row>
    <row r="27" spans="2:130" s="8" customFormat="1" x14ac:dyDescent="0.2">
      <c r="B27" s="7" t="s">
        <v>67</v>
      </c>
      <c r="C27" s="7">
        <v>4</v>
      </c>
      <c r="D27" s="7">
        <v>170</v>
      </c>
      <c r="E27" s="7">
        <v>454</v>
      </c>
      <c r="F27" s="7">
        <v>19</v>
      </c>
      <c r="G27" s="27"/>
      <c r="H27" s="59">
        <v>3</v>
      </c>
      <c r="I27" s="59">
        <v>1</v>
      </c>
      <c r="J27" s="59">
        <v>7</v>
      </c>
      <c r="K27" s="59">
        <v>7</v>
      </c>
      <c r="L27" s="59">
        <v>2</v>
      </c>
      <c r="M27" s="59">
        <v>0</v>
      </c>
      <c r="N27" s="59">
        <v>0</v>
      </c>
      <c r="O27" s="59">
        <v>0</v>
      </c>
      <c r="P27" s="59">
        <v>0</v>
      </c>
      <c r="Q27" s="27"/>
      <c r="R27" s="59">
        <v>1</v>
      </c>
      <c r="S27" s="59"/>
      <c r="T27" s="59">
        <v>1</v>
      </c>
      <c r="U27" s="59">
        <v>1</v>
      </c>
      <c r="V27" s="59">
        <v>0</v>
      </c>
      <c r="W27" s="59">
        <v>0</v>
      </c>
      <c r="X27" s="59">
        <v>1</v>
      </c>
      <c r="Y27" s="59">
        <v>5</v>
      </c>
      <c r="Z27" s="59">
        <v>2</v>
      </c>
      <c r="AA27" s="27"/>
      <c r="AB27" s="7">
        <v>18</v>
      </c>
      <c r="AC27" s="7">
        <v>1</v>
      </c>
      <c r="AD27" s="7">
        <v>0</v>
      </c>
      <c r="AE27" s="7">
        <v>0</v>
      </c>
      <c r="AF27" s="7">
        <v>1</v>
      </c>
      <c r="AG27" s="7"/>
      <c r="AH27" s="7">
        <v>0</v>
      </c>
      <c r="AI27" s="27"/>
      <c r="AJ27" s="7"/>
      <c r="AK27" s="7"/>
      <c r="AL27" s="7"/>
      <c r="AM27" s="7"/>
      <c r="AN27" s="7"/>
      <c r="AO27" s="7"/>
      <c r="AP27" s="7"/>
      <c r="AQ27" s="27"/>
      <c r="AR27" s="7">
        <v>30</v>
      </c>
      <c r="AS27" s="7">
        <v>21</v>
      </c>
      <c r="AT27" s="7">
        <v>5</v>
      </c>
      <c r="AU27" s="7">
        <v>11</v>
      </c>
      <c r="AV27" s="7">
        <v>17</v>
      </c>
      <c r="AW27" s="7">
        <v>58</v>
      </c>
      <c r="AX27" s="7">
        <v>118</v>
      </c>
      <c r="AY27" s="7">
        <v>21</v>
      </c>
      <c r="AZ27" s="7">
        <v>66</v>
      </c>
      <c r="BA27" s="7">
        <v>33</v>
      </c>
      <c r="BB27" s="7">
        <v>11</v>
      </c>
      <c r="BC27" s="7">
        <v>32</v>
      </c>
      <c r="BD27" s="7">
        <v>31</v>
      </c>
      <c r="BE27" s="7">
        <v>20</v>
      </c>
      <c r="BF27" s="7">
        <v>40</v>
      </c>
      <c r="BG27" s="7">
        <v>17</v>
      </c>
      <c r="BH27" s="7">
        <v>20</v>
      </c>
      <c r="BI27" s="27"/>
      <c r="BJ27" s="7">
        <v>0</v>
      </c>
      <c r="BK27" s="7">
        <v>1</v>
      </c>
      <c r="BL27" s="7">
        <v>6</v>
      </c>
      <c r="BM27" s="7">
        <v>4</v>
      </c>
      <c r="BN27" s="7">
        <v>2</v>
      </c>
      <c r="BO27" s="7">
        <v>0</v>
      </c>
      <c r="BP27" s="7">
        <v>7</v>
      </c>
      <c r="BQ27" s="7">
        <v>0</v>
      </c>
      <c r="BR27" s="7">
        <v>0</v>
      </c>
      <c r="BS27" s="27"/>
      <c r="BT27" s="7">
        <v>19</v>
      </c>
      <c r="BU27" s="7">
        <v>8</v>
      </c>
      <c r="BV27" s="27"/>
      <c r="BW27" s="7">
        <v>5</v>
      </c>
      <c r="BX27" s="7">
        <v>2</v>
      </c>
      <c r="BY27" s="7">
        <v>0</v>
      </c>
      <c r="BZ27" s="7">
        <v>0</v>
      </c>
      <c r="CA27" s="7">
        <v>0</v>
      </c>
      <c r="CB27" s="15"/>
      <c r="CC27" s="7">
        <v>0</v>
      </c>
      <c r="CD27" s="7"/>
      <c r="CE27" s="27"/>
      <c r="CF27" s="8">
        <v>3</v>
      </c>
      <c r="CG27" s="7">
        <v>351</v>
      </c>
      <c r="CH27" s="7"/>
      <c r="CI27" s="7">
        <v>1</v>
      </c>
      <c r="CJ27" s="7">
        <v>27</v>
      </c>
      <c r="CK27" s="7">
        <v>80703</v>
      </c>
      <c r="CL27" s="7">
        <v>36</v>
      </c>
      <c r="CM27" s="7">
        <v>25365</v>
      </c>
      <c r="CN27" s="7">
        <v>2</v>
      </c>
      <c r="CO27" s="8">
        <v>18</v>
      </c>
      <c r="CP27" s="8">
        <v>9619</v>
      </c>
      <c r="CQ27" s="8">
        <v>0</v>
      </c>
      <c r="CR27" s="8">
        <v>0</v>
      </c>
      <c r="CS27" s="2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</row>
    <row r="28" spans="2:130" s="9" customFormat="1" x14ac:dyDescent="0.2">
      <c r="B28" s="7" t="s">
        <v>68</v>
      </c>
      <c r="C28" s="8">
        <v>12</v>
      </c>
      <c r="D28" s="7">
        <v>274</v>
      </c>
      <c r="E28" s="7">
        <v>602</v>
      </c>
      <c r="F28" s="7">
        <v>28</v>
      </c>
      <c r="G28" s="27"/>
      <c r="H28" s="59">
        <v>5</v>
      </c>
      <c r="I28" s="59">
        <v>6</v>
      </c>
      <c r="J28" s="59">
        <v>9</v>
      </c>
      <c r="K28" s="59">
        <v>8</v>
      </c>
      <c r="L28" s="59">
        <v>0</v>
      </c>
      <c r="M28" s="59">
        <v>1</v>
      </c>
      <c r="N28" s="59">
        <v>0</v>
      </c>
      <c r="O28" s="59">
        <v>0</v>
      </c>
      <c r="P28" s="59">
        <v>0</v>
      </c>
      <c r="Q28" s="27"/>
      <c r="R28" s="59">
        <v>2</v>
      </c>
      <c r="S28" s="59"/>
      <c r="T28" s="59">
        <v>1</v>
      </c>
      <c r="U28" s="59">
        <v>2</v>
      </c>
      <c r="V28" s="59">
        <v>1</v>
      </c>
      <c r="W28" s="59">
        <v>1</v>
      </c>
      <c r="X28" s="59">
        <v>2</v>
      </c>
      <c r="Y28" s="59">
        <v>8</v>
      </c>
      <c r="Z28" s="59">
        <v>2</v>
      </c>
      <c r="AA28" s="27"/>
      <c r="AB28" s="7">
        <v>24</v>
      </c>
      <c r="AC28" s="7">
        <v>3</v>
      </c>
      <c r="AD28" s="7">
        <v>0</v>
      </c>
      <c r="AE28" s="7">
        <v>0</v>
      </c>
      <c r="AF28" s="7">
        <v>0</v>
      </c>
      <c r="AG28" s="7"/>
      <c r="AH28" s="7">
        <v>1</v>
      </c>
      <c r="AI28" s="27"/>
      <c r="AJ28" s="7"/>
      <c r="AK28" s="7"/>
      <c r="AL28" s="7"/>
      <c r="AM28" s="7"/>
      <c r="AN28" s="7"/>
      <c r="AO28" s="7"/>
      <c r="AP28" s="7"/>
      <c r="AQ28" s="27"/>
      <c r="AR28" s="8">
        <v>45</v>
      </c>
      <c r="AS28" s="8">
        <v>28</v>
      </c>
      <c r="AT28" s="8">
        <v>6</v>
      </c>
      <c r="AU28" s="8">
        <v>19</v>
      </c>
      <c r="AV28" s="8">
        <v>17</v>
      </c>
      <c r="AW28" s="8">
        <v>64</v>
      </c>
      <c r="AX28" s="8">
        <v>127</v>
      </c>
      <c r="AY28" s="8">
        <v>23</v>
      </c>
      <c r="AZ28" s="8">
        <v>78</v>
      </c>
      <c r="BA28" s="8">
        <v>63</v>
      </c>
      <c r="BB28" s="8">
        <v>9</v>
      </c>
      <c r="BC28" s="8">
        <v>62</v>
      </c>
      <c r="BD28" s="8">
        <v>53</v>
      </c>
      <c r="BE28" s="8">
        <v>31</v>
      </c>
      <c r="BF28" s="8">
        <v>40</v>
      </c>
      <c r="BG28" s="8">
        <v>12</v>
      </c>
      <c r="BH28" s="8">
        <v>36</v>
      </c>
      <c r="BI28" s="27"/>
      <c r="BJ28" s="7">
        <v>0</v>
      </c>
      <c r="BK28" s="7">
        <v>9</v>
      </c>
      <c r="BL28" s="7">
        <v>9</v>
      </c>
      <c r="BM28" s="7">
        <v>2</v>
      </c>
      <c r="BN28" s="7">
        <v>3</v>
      </c>
      <c r="BO28" s="7">
        <v>2</v>
      </c>
      <c r="BP28" s="7">
        <v>4</v>
      </c>
      <c r="BQ28" s="7">
        <v>2</v>
      </c>
      <c r="BR28" s="7">
        <v>0</v>
      </c>
      <c r="BS28" s="27"/>
      <c r="BT28" s="7">
        <v>28</v>
      </c>
      <c r="BU28" s="7">
        <v>10</v>
      </c>
      <c r="BV28" s="27"/>
      <c r="BW28" s="7">
        <v>7</v>
      </c>
      <c r="BX28" s="7">
        <v>2</v>
      </c>
      <c r="BY28" s="7">
        <v>2</v>
      </c>
      <c r="BZ28" s="7">
        <v>0</v>
      </c>
      <c r="CA28" s="7">
        <v>2</v>
      </c>
      <c r="CB28" s="15" t="s">
        <v>339</v>
      </c>
      <c r="CC28" s="7">
        <v>0</v>
      </c>
      <c r="CD28" s="7"/>
      <c r="CE28" s="27"/>
      <c r="CF28" s="8">
        <v>6</v>
      </c>
      <c r="CG28" s="7">
        <v>498</v>
      </c>
      <c r="CH28" s="7"/>
      <c r="CI28" s="7">
        <v>6</v>
      </c>
      <c r="CJ28" s="7">
        <v>82</v>
      </c>
      <c r="CK28" s="7">
        <v>66598</v>
      </c>
      <c r="CL28" s="7">
        <v>48</v>
      </c>
      <c r="CM28" s="7">
        <v>42987</v>
      </c>
      <c r="CN28" s="7">
        <v>3</v>
      </c>
      <c r="CO28" s="7">
        <v>8</v>
      </c>
      <c r="CP28" s="7">
        <v>7110</v>
      </c>
      <c r="CQ28" s="8">
        <v>0</v>
      </c>
      <c r="CR28" s="8">
        <v>0</v>
      </c>
      <c r="CS28" s="2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</row>
    <row r="29" spans="2:130" s="9" customFormat="1" x14ac:dyDescent="0.2">
      <c r="B29" s="7" t="s">
        <v>69</v>
      </c>
      <c r="C29" s="8">
        <v>5</v>
      </c>
      <c r="D29" s="7">
        <v>290</v>
      </c>
      <c r="E29" s="7">
        <v>720</v>
      </c>
      <c r="F29" s="7">
        <v>33</v>
      </c>
      <c r="G29" s="27"/>
      <c r="H29" s="59">
        <v>5</v>
      </c>
      <c r="I29" s="59">
        <v>4</v>
      </c>
      <c r="J29" s="59">
        <v>10</v>
      </c>
      <c r="K29" s="59">
        <v>15</v>
      </c>
      <c r="L29" s="59">
        <v>1</v>
      </c>
      <c r="M29" s="59">
        <v>0</v>
      </c>
      <c r="N29" s="59">
        <v>0</v>
      </c>
      <c r="O29" s="59">
        <v>0</v>
      </c>
      <c r="P29" s="59">
        <v>0</v>
      </c>
      <c r="Q29" s="27"/>
      <c r="R29" s="59">
        <v>2</v>
      </c>
      <c r="S29" s="59"/>
      <c r="T29" s="59">
        <v>2</v>
      </c>
      <c r="U29" s="59">
        <v>1</v>
      </c>
      <c r="V29" s="59">
        <v>0</v>
      </c>
      <c r="W29" s="59">
        <v>2</v>
      </c>
      <c r="X29" s="59">
        <v>2</v>
      </c>
      <c r="Y29" s="59">
        <v>7</v>
      </c>
      <c r="Z29" s="59">
        <v>2</v>
      </c>
      <c r="AA29" s="27"/>
      <c r="AB29" s="7">
        <v>30</v>
      </c>
      <c r="AC29" s="7">
        <v>4</v>
      </c>
      <c r="AD29" s="7">
        <v>0</v>
      </c>
      <c r="AE29" s="7">
        <v>0</v>
      </c>
      <c r="AF29" s="7">
        <v>1</v>
      </c>
      <c r="AG29" s="7"/>
      <c r="AH29" s="7">
        <v>0</v>
      </c>
      <c r="AI29" s="27"/>
      <c r="AJ29" s="7"/>
      <c r="AK29" s="7"/>
      <c r="AL29" s="7"/>
      <c r="AM29" s="7"/>
      <c r="AN29" s="7"/>
      <c r="AO29" s="7"/>
      <c r="AP29" s="7"/>
      <c r="AQ29" s="27"/>
      <c r="AR29" s="7">
        <v>55</v>
      </c>
      <c r="AS29" s="7">
        <v>30</v>
      </c>
      <c r="AT29" s="7">
        <v>2</v>
      </c>
      <c r="AU29" s="7">
        <v>21</v>
      </c>
      <c r="AV29" s="7">
        <v>32</v>
      </c>
      <c r="AW29" s="7">
        <v>64</v>
      </c>
      <c r="AX29" s="7">
        <v>153</v>
      </c>
      <c r="AY29" s="7">
        <v>20</v>
      </c>
      <c r="AZ29" s="7">
        <v>111</v>
      </c>
      <c r="BA29" s="7">
        <v>68</v>
      </c>
      <c r="BB29" s="7">
        <v>35</v>
      </c>
      <c r="BC29" s="7">
        <v>57</v>
      </c>
      <c r="BD29" s="7">
        <v>76</v>
      </c>
      <c r="BE29" s="7">
        <v>23</v>
      </c>
      <c r="BF29" s="7">
        <v>46</v>
      </c>
      <c r="BG29" s="7">
        <v>12</v>
      </c>
      <c r="BH29" s="7">
        <v>29</v>
      </c>
      <c r="BI29" s="27"/>
      <c r="BJ29" s="7">
        <v>0</v>
      </c>
      <c r="BK29" s="7">
        <v>13</v>
      </c>
      <c r="BL29" s="7">
        <v>11</v>
      </c>
      <c r="BM29" s="7">
        <v>2</v>
      </c>
      <c r="BN29" s="7">
        <v>5</v>
      </c>
      <c r="BO29" s="7">
        <v>1</v>
      </c>
      <c r="BP29" s="7">
        <v>3</v>
      </c>
      <c r="BQ29" s="7">
        <v>0</v>
      </c>
      <c r="BR29" s="7">
        <v>0</v>
      </c>
      <c r="BS29" s="27"/>
      <c r="BT29" s="7">
        <v>33</v>
      </c>
      <c r="BU29" s="7">
        <v>12</v>
      </c>
      <c r="BV29" s="27"/>
      <c r="BW29" s="7">
        <v>5</v>
      </c>
      <c r="BX29" s="7">
        <v>3</v>
      </c>
      <c r="BY29" s="7">
        <v>2</v>
      </c>
      <c r="BZ29" s="7">
        <v>0</v>
      </c>
      <c r="CA29" s="7">
        <v>1</v>
      </c>
      <c r="CB29" s="15" t="s">
        <v>340</v>
      </c>
      <c r="CC29" s="7">
        <v>6</v>
      </c>
      <c r="CD29" s="93" t="s">
        <v>341</v>
      </c>
      <c r="CE29" s="27"/>
      <c r="CF29" s="8">
        <v>7</v>
      </c>
      <c r="CG29" s="7">
        <v>560</v>
      </c>
      <c r="CH29" s="7"/>
      <c r="CI29" s="7">
        <v>1</v>
      </c>
      <c r="CJ29" s="7">
        <v>45</v>
      </c>
      <c r="CK29" s="7">
        <v>48884</v>
      </c>
      <c r="CL29" s="7">
        <v>91</v>
      </c>
      <c r="CM29" s="7">
        <v>143963</v>
      </c>
      <c r="CN29" s="7">
        <v>5</v>
      </c>
      <c r="CO29" s="7">
        <v>36</v>
      </c>
      <c r="CP29" s="7">
        <v>23829</v>
      </c>
      <c r="CQ29" s="8">
        <v>0</v>
      </c>
      <c r="CR29" s="8">
        <v>0</v>
      </c>
      <c r="CS29" s="2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</row>
    <row r="30" spans="2:130" s="8" customFormat="1" x14ac:dyDescent="0.2">
      <c r="B30" s="7" t="s">
        <v>70</v>
      </c>
      <c r="C30" s="7">
        <v>0</v>
      </c>
      <c r="D30" s="7">
        <v>13</v>
      </c>
      <c r="E30" s="7">
        <v>20</v>
      </c>
      <c r="F30" s="7">
        <v>1</v>
      </c>
      <c r="G30" s="27"/>
      <c r="H30" s="59">
        <v>0</v>
      </c>
      <c r="I30" s="59">
        <v>0</v>
      </c>
      <c r="J30" s="59">
        <v>0</v>
      </c>
      <c r="K30" s="59">
        <v>1</v>
      </c>
      <c r="L30" s="59">
        <v>0</v>
      </c>
      <c r="M30" s="59">
        <v>0</v>
      </c>
      <c r="N30" s="59">
        <v>0</v>
      </c>
      <c r="O30" s="59">
        <v>0</v>
      </c>
      <c r="P30" s="59">
        <v>0</v>
      </c>
      <c r="Q30" s="27"/>
      <c r="R30" s="59">
        <v>0</v>
      </c>
      <c r="S30" s="59"/>
      <c r="T30" s="59">
        <v>0</v>
      </c>
      <c r="U30" s="59">
        <v>0</v>
      </c>
      <c r="V30" s="59">
        <v>0</v>
      </c>
      <c r="W30" s="59">
        <v>0</v>
      </c>
      <c r="X30" s="59">
        <v>0</v>
      </c>
      <c r="Y30" s="59">
        <v>1</v>
      </c>
      <c r="Z30" s="59">
        <v>0</v>
      </c>
      <c r="AA30" s="27"/>
      <c r="AB30" s="7">
        <v>1</v>
      </c>
      <c r="AC30" s="7">
        <v>0</v>
      </c>
      <c r="AD30" s="7">
        <v>0</v>
      </c>
      <c r="AE30" s="7">
        <v>0</v>
      </c>
      <c r="AF30" s="7">
        <v>0</v>
      </c>
      <c r="AG30" s="7"/>
      <c r="AH30" s="7">
        <v>1</v>
      </c>
      <c r="AI30" s="27"/>
      <c r="AJ30" s="7"/>
      <c r="AK30" s="7"/>
      <c r="AL30" s="7"/>
      <c r="AM30" s="7"/>
      <c r="AN30" s="7"/>
      <c r="AO30" s="7"/>
      <c r="AP30" s="7"/>
      <c r="AQ30" s="27"/>
      <c r="AR30" s="7">
        <v>1</v>
      </c>
      <c r="AS30" s="7">
        <v>0</v>
      </c>
      <c r="AT30" s="7">
        <v>0</v>
      </c>
      <c r="AU30" s="7">
        <v>2</v>
      </c>
      <c r="AV30" s="7">
        <v>0</v>
      </c>
      <c r="AW30" s="7">
        <v>3</v>
      </c>
      <c r="AX30" s="7">
        <v>2</v>
      </c>
      <c r="AY30" s="7">
        <v>0</v>
      </c>
      <c r="AZ30" s="7">
        <v>2</v>
      </c>
      <c r="BA30" s="7">
        <v>1</v>
      </c>
      <c r="BB30" s="7">
        <v>1</v>
      </c>
      <c r="BC30" s="7">
        <v>3</v>
      </c>
      <c r="BD30" s="7">
        <v>1</v>
      </c>
      <c r="BE30" s="7">
        <v>2</v>
      </c>
      <c r="BF30" s="7">
        <v>2</v>
      </c>
      <c r="BG30" s="7">
        <v>0</v>
      </c>
      <c r="BH30" s="7">
        <v>1</v>
      </c>
      <c r="BI30" s="27"/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1</v>
      </c>
      <c r="BQ30" s="7">
        <v>0</v>
      </c>
      <c r="BR30" s="7">
        <v>0</v>
      </c>
      <c r="BS30" s="27"/>
      <c r="BT30" s="7">
        <v>1</v>
      </c>
      <c r="BU30" s="7">
        <v>0</v>
      </c>
      <c r="BV30" s="27"/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15"/>
      <c r="CC30" s="7">
        <v>0</v>
      </c>
      <c r="CD30" s="7"/>
      <c r="CE30" s="27"/>
      <c r="CF30" s="7">
        <v>0</v>
      </c>
      <c r="CG30" s="7">
        <v>0</v>
      </c>
      <c r="CH30" s="7"/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8">
        <v>0</v>
      </c>
      <c r="CP30" s="7">
        <v>0</v>
      </c>
      <c r="CQ30" s="8">
        <v>0</v>
      </c>
      <c r="CR30" s="7">
        <v>0</v>
      </c>
      <c r="CS30" s="2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</row>
    <row r="31" spans="2:130" x14ac:dyDescent="0.2">
      <c r="B31" s="7" t="s">
        <v>71</v>
      </c>
      <c r="C31" s="7">
        <v>10</v>
      </c>
      <c r="D31" s="7">
        <v>243</v>
      </c>
      <c r="E31" s="7">
        <v>686</v>
      </c>
      <c r="F31" s="7">
        <v>45</v>
      </c>
      <c r="G31" s="27"/>
      <c r="H31" s="59">
        <v>14</v>
      </c>
      <c r="I31" s="59">
        <v>4</v>
      </c>
      <c r="J31" s="59">
        <v>11</v>
      </c>
      <c r="K31" s="59">
        <v>9</v>
      </c>
      <c r="L31" s="59">
        <v>1</v>
      </c>
      <c r="M31" s="59">
        <v>0</v>
      </c>
      <c r="N31" s="59">
        <v>0</v>
      </c>
      <c r="O31" s="59">
        <v>0</v>
      </c>
      <c r="P31" s="59">
        <v>0</v>
      </c>
      <c r="Q31" s="27"/>
      <c r="R31" s="59">
        <v>1</v>
      </c>
      <c r="T31" s="59">
        <v>2</v>
      </c>
      <c r="U31" s="59">
        <v>1</v>
      </c>
      <c r="V31" s="59">
        <v>1</v>
      </c>
      <c r="W31" s="59">
        <v>3</v>
      </c>
      <c r="X31" s="59">
        <v>3</v>
      </c>
      <c r="Y31" s="59">
        <v>3</v>
      </c>
      <c r="Z31" s="59">
        <v>2</v>
      </c>
      <c r="AA31" s="27"/>
      <c r="AB31" s="7">
        <v>16</v>
      </c>
      <c r="AC31" s="75">
        <v>20</v>
      </c>
      <c r="AD31" s="7">
        <v>0</v>
      </c>
      <c r="AE31" s="7">
        <v>2</v>
      </c>
      <c r="AF31" s="7">
        <v>3</v>
      </c>
      <c r="AH31" s="7">
        <v>2</v>
      </c>
      <c r="AI31" s="27"/>
      <c r="AQ31" s="27"/>
      <c r="AR31" s="7">
        <v>61</v>
      </c>
      <c r="AS31" s="7">
        <v>23</v>
      </c>
      <c r="AT31" s="7">
        <v>5</v>
      </c>
      <c r="AU31" s="7">
        <v>11</v>
      </c>
      <c r="AV31" s="7">
        <v>28</v>
      </c>
      <c r="AW31" s="7">
        <v>92</v>
      </c>
      <c r="AX31" s="7">
        <v>168</v>
      </c>
      <c r="AY31" s="7">
        <v>29</v>
      </c>
      <c r="AZ31" s="7">
        <v>69</v>
      </c>
      <c r="BA31" s="7">
        <v>54</v>
      </c>
      <c r="BB31" s="7">
        <v>19</v>
      </c>
      <c r="BC31" s="7">
        <v>73</v>
      </c>
      <c r="BD31" s="7">
        <v>59</v>
      </c>
      <c r="BE31" s="7">
        <v>37</v>
      </c>
      <c r="BF31" s="7">
        <v>43</v>
      </c>
      <c r="BG31" s="7">
        <v>25</v>
      </c>
      <c r="BH31" s="7">
        <v>30</v>
      </c>
      <c r="BI31" s="27"/>
      <c r="BJ31" s="7">
        <v>3</v>
      </c>
      <c r="BK31" s="7">
        <v>3</v>
      </c>
      <c r="BL31" s="7">
        <v>12</v>
      </c>
      <c r="BM31" s="7">
        <v>11</v>
      </c>
      <c r="BN31" s="7">
        <v>5</v>
      </c>
      <c r="BO31" s="7">
        <v>2</v>
      </c>
      <c r="BP31" s="7">
        <v>8</v>
      </c>
      <c r="BQ31" s="7">
        <v>1</v>
      </c>
      <c r="BR31" s="7">
        <v>1</v>
      </c>
      <c r="BS31" s="27"/>
      <c r="BT31" s="7">
        <v>45</v>
      </c>
      <c r="BU31" s="7">
        <v>13</v>
      </c>
      <c r="BV31" s="27"/>
      <c r="BW31" s="7">
        <v>7</v>
      </c>
      <c r="BX31" s="7">
        <v>2</v>
      </c>
      <c r="BY31" s="7">
        <v>0</v>
      </c>
      <c r="BZ31" s="7">
        <v>0</v>
      </c>
      <c r="CA31" s="7">
        <v>2</v>
      </c>
      <c r="CB31" s="97" t="s">
        <v>342</v>
      </c>
      <c r="CC31" s="7">
        <v>0</v>
      </c>
      <c r="CE31" s="27"/>
      <c r="CF31" s="8">
        <v>1</v>
      </c>
      <c r="CG31" s="8">
        <v>350</v>
      </c>
      <c r="CH31" s="8"/>
      <c r="CI31" s="8">
        <v>3</v>
      </c>
      <c r="CJ31" s="8">
        <v>15</v>
      </c>
      <c r="CK31" s="8">
        <v>115314</v>
      </c>
      <c r="CL31" s="8">
        <v>19</v>
      </c>
      <c r="CM31" s="7">
        <v>225290</v>
      </c>
      <c r="CN31" s="7">
        <v>4</v>
      </c>
      <c r="CO31" s="8">
        <v>8</v>
      </c>
      <c r="CP31" s="8">
        <v>7738</v>
      </c>
      <c r="CQ31" s="8">
        <v>1</v>
      </c>
      <c r="CR31" s="8">
        <v>468</v>
      </c>
      <c r="CS31" s="27"/>
    </row>
    <row r="32" spans="2:130" x14ac:dyDescent="0.2">
      <c r="B32" s="7" t="s">
        <v>72</v>
      </c>
      <c r="C32" s="7">
        <v>6</v>
      </c>
      <c r="D32" s="7">
        <v>92</v>
      </c>
      <c r="E32" s="7">
        <v>201</v>
      </c>
      <c r="F32" s="7">
        <v>11</v>
      </c>
      <c r="G32" s="27"/>
      <c r="H32" s="59">
        <v>3</v>
      </c>
      <c r="I32" s="59">
        <v>0</v>
      </c>
      <c r="J32" s="59">
        <v>1</v>
      </c>
      <c r="K32" s="59">
        <v>4</v>
      </c>
      <c r="L32" s="59">
        <v>1</v>
      </c>
      <c r="M32" s="59">
        <v>0</v>
      </c>
      <c r="N32" s="59">
        <v>0</v>
      </c>
      <c r="O32" s="59">
        <v>0</v>
      </c>
      <c r="P32" s="59">
        <v>0</v>
      </c>
      <c r="Q32" s="27"/>
      <c r="R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3</v>
      </c>
      <c r="Z32" s="59">
        <v>0</v>
      </c>
      <c r="AA32" s="27"/>
      <c r="AB32" s="7">
        <v>8</v>
      </c>
      <c r="AC32" s="7">
        <v>4</v>
      </c>
      <c r="AD32" s="7">
        <v>0</v>
      </c>
      <c r="AE32" s="7">
        <v>0</v>
      </c>
      <c r="AF32" s="7">
        <v>0</v>
      </c>
      <c r="AG32" s="7">
        <v>0</v>
      </c>
      <c r="AH32" s="7">
        <v>1</v>
      </c>
      <c r="AI32" s="27"/>
      <c r="AJ32" s="7">
        <v>1</v>
      </c>
      <c r="AK32" s="7">
        <v>2</v>
      </c>
      <c r="AL32" s="7">
        <v>0</v>
      </c>
      <c r="AM32" s="7">
        <v>0</v>
      </c>
      <c r="AN32" s="7">
        <v>0</v>
      </c>
      <c r="AO32" s="7">
        <v>0</v>
      </c>
      <c r="AP32" s="7">
        <v>1</v>
      </c>
      <c r="AQ32" s="27"/>
      <c r="AR32" s="7">
        <v>17</v>
      </c>
      <c r="AS32" s="7">
        <v>6</v>
      </c>
      <c r="AT32" s="7">
        <v>0</v>
      </c>
      <c r="AU32" s="7">
        <v>4</v>
      </c>
      <c r="AV32" s="7">
        <v>5</v>
      </c>
      <c r="AW32" s="7">
        <v>39</v>
      </c>
      <c r="AX32" s="7">
        <v>41</v>
      </c>
      <c r="AY32" s="7">
        <v>12</v>
      </c>
      <c r="AZ32" s="7">
        <v>20</v>
      </c>
      <c r="BA32" s="7">
        <v>17</v>
      </c>
      <c r="BB32" s="7">
        <v>3</v>
      </c>
      <c r="BC32" s="7">
        <v>12</v>
      </c>
      <c r="BD32" s="7">
        <v>24</v>
      </c>
      <c r="BE32" s="7">
        <v>7</v>
      </c>
      <c r="BF32" s="7">
        <v>13</v>
      </c>
      <c r="BG32" s="7">
        <v>11</v>
      </c>
      <c r="BH32" s="7">
        <v>12</v>
      </c>
      <c r="BI32" s="27"/>
      <c r="BJ32" s="7">
        <v>0</v>
      </c>
      <c r="BK32" s="7">
        <v>2</v>
      </c>
      <c r="BL32" s="7">
        <v>3</v>
      </c>
      <c r="BM32" s="7">
        <v>2</v>
      </c>
      <c r="BN32" s="7">
        <v>1</v>
      </c>
      <c r="BO32" s="7">
        <v>0</v>
      </c>
      <c r="BP32" s="7">
        <v>3</v>
      </c>
      <c r="BQ32" s="7">
        <v>0</v>
      </c>
      <c r="BR32" s="7">
        <v>0</v>
      </c>
      <c r="BS32" s="27"/>
      <c r="BT32" s="7">
        <v>11</v>
      </c>
      <c r="BU32" s="7">
        <v>4</v>
      </c>
      <c r="BV32" s="27"/>
      <c r="BW32" s="7">
        <v>3</v>
      </c>
      <c r="BX32" s="7">
        <v>0</v>
      </c>
      <c r="BY32" s="7">
        <v>0</v>
      </c>
      <c r="BZ32" s="7">
        <v>0</v>
      </c>
      <c r="CA32" s="7">
        <v>0</v>
      </c>
      <c r="CC32" s="7">
        <v>0</v>
      </c>
      <c r="CE32" s="27"/>
      <c r="CF32" s="11">
        <v>2</v>
      </c>
      <c r="CG32" s="7">
        <v>148</v>
      </c>
      <c r="CH32" s="7">
        <v>0</v>
      </c>
      <c r="CI32" s="7">
        <v>0</v>
      </c>
      <c r="CJ32" s="7">
        <v>4</v>
      </c>
      <c r="CK32" s="7">
        <v>3437</v>
      </c>
      <c r="CL32" s="7">
        <v>18</v>
      </c>
      <c r="CM32" s="7">
        <v>21493</v>
      </c>
      <c r="CN32" s="7">
        <v>0</v>
      </c>
      <c r="CO32" s="11">
        <v>6</v>
      </c>
      <c r="CP32" s="11">
        <v>7115</v>
      </c>
      <c r="CQ32" s="11">
        <v>0</v>
      </c>
      <c r="CR32" s="11">
        <v>0</v>
      </c>
      <c r="CS32" s="27"/>
    </row>
    <row r="33" spans="2:130" x14ac:dyDescent="0.2">
      <c r="B33" s="8" t="s">
        <v>73</v>
      </c>
      <c r="C33" s="7">
        <v>12</v>
      </c>
      <c r="D33" s="7">
        <v>482</v>
      </c>
      <c r="E33" s="7">
        <v>1285</v>
      </c>
      <c r="F33" s="7">
        <v>59</v>
      </c>
      <c r="G33" s="27"/>
      <c r="H33" s="59">
        <v>15</v>
      </c>
      <c r="I33" s="59">
        <v>3</v>
      </c>
      <c r="J33" s="59">
        <v>15</v>
      </c>
      <c r="K33" s="59">
        <v>18</v>
      </c>
      <c r="L33" s="59">
        <v>7</v>
      </c>
      <c r="M33" s="59">
        <v>0</v>
      </c>
      <c r="N33" s="59">
        <v>0</v>
      </c>
      <c r="O33" s="59">
        <v>0</v>
      </c>
      <c r="P33" s="59">
        <v>0</v>
      </c>
      <c r="Q33" s="27"/>
      <c r="R33" s="59">
        <v>1</v>
      </c>
      <c r="T33" s="59">
        <v>1</v>
      </c>
      <c r="U33" s="59">
        <v>0</v>
      </c>
      <c r="V33" s="59">
        <v>0</v>
      </c>
      <c r="W33" s="59">
        <v>1</v>
      </c>
      <c r="X33" s="59">
        <v>1</v>
      </c>
      <c r="Y33" s="59">
        <v>10</v>
      </c>
      <c r="Z33" s="59">
        <v>3</v>
      </c>
      <c r="AA33" s="27"/>
      <c r="AB33" s="7">
        <v>40</v>
      </c>
      <c r="AC33" s="7">
        <v>17</v>
      </c>
      <c r="AD33" s="7">
        <v>0</v>
      </c>
      <c r="AE33" s="7">
        <v>0</v>
      </c>
      <c r="AF33" s="7">
        <v>5</v>
      </c>
      <c r="AH33" s="7">
        <v>2</v>
      </c>
      <c r="AI33" s="27"/>
      <c r="AQ33" s="27"/>
      <c r="AR33" s="7">
        <v>90</v>
      </c>
      <c r="AS33" s="7">
        <v>50</v>
      </c>
      <c r="AT33" s="7">
        <v>4</v>
      </c>
      <c r="AU33" s="7">
        <v>39</v>
      </c>
      <c r="AV33" s="7">
        <v>58</v>
      </c>
      <c r="AW33" s="7">
        <v>151</v>
      </c>
      <c r="AX33" s="7">
        <v>302</v>
      </c>
      <c r="AY33" s="7">
        <v>52</v>
      </c>
      <c r="AZ33" s="7">
        <v>188</v>
      </c>
      <c r="BA33" s="7">
        <v>136</v>
      </c>
      <c r="BB33" s="7">
        <v>33</v>
      </c>
      <c r="BC33" s="7">
        <v>129</v>
      </c>
      <c r="BD33" s="7">
        <v>104</v>
      </c>
      <c r="BE33" s="7">
        <v>58</v>
      </c>
      <c r="BF33" s="7">
        <v>68</v>
      </c>
      <c r="BG33" s="7">
        <v>42</v>
      </c>
      <c r="BH33" s="7">
        <v>52</v>
      </c>
      <c r="BI33" s="27"/>
      <c r="BJ33" s="7">
        <v>0</v>
      </c>
      <c r="BK33" s="7">
        <v>4</v>
      </c>
      <c r="BL33" s="7">
        <v>21</v>
      </c>
      <c r="BM33" s="7">
        <v>11</v>
      </c>
      <c r="BN33" s="7">
        <v>9</v>
      </c>
      <c r="BO33" s="7">
        <v>4</v>
      </c>
      <c r="BP33" s="7">
        <v>10</v>
      </c>
      <c r="BQ33" s="7">
        <v>2</v>
      </c>
      <c r="BR33" s="7">
        <v>2</v>
      </c>
      <c r="BS33" s="27"/>
      <c r="BT33" s="7">
        <v>59</v>
      </c>
      <c r="BU33" s="7">
        <v>19</v>
      </c>
      <c r="BV33" s="27"/>
      <c r="BW33" s="7">
        <v>6</v>
      </c>
      <c r="BX33" s="7">
        <v>8</v>
      </c>
      <c r="BY33" s="7">
        <v>1</v>
      </c>
      <c r="BZ33" s="7">
        <v>0</v>
      </c>
      <c r="CA33" s="7">
        <v>1</v>
      </c>
      <c r="CB33" s="15" t="s">
        <v>343</v>
      </c>
      <c r="CC33" s="7">
        <v>2</v>
      </c>
      <c r="CD33" s="85" t="s">
        <v>344</v>
      </c>
      <c r="CE33" s="27"/>
      <c r="CF33" s="11">
        <v>1</v>
      </c>
      <c r="CG33" s="7">
        <v>851</v>
      </c>
      <c r="CI33" s="7">
        <v>3</v>
      </c>
      <c r="CJ33" s="7">
        <v>37</v>
      </c>
      <c r="CK33" s="7">
        <v>37039</v>
      </c>
      <c r="CL33" s="7">
        <v>65</v>
      </c>
      <c r="CM33" s="7">
        <v>91056</v>
      </c>
      <c r="CN33" s="7">
        <v>14</v>
      </c>
      <c r="CO33" s="7">
        <v>22</v>
      </c>
      <c r="CP33" s="7">
        <v>44370</v>
      </c>
      <c r="CQ33" s="11">
        <v>8</v>
      </c>
      <c r="CR33" s="11">
        <v>2126</v>
      </c>
      <c r="CS33" s="27"/>
      <c r="DX33" s="8"/>
      <c r="DY33" s="8"/>
      <c r="DZ33" s="8"/>
    </row>
    <row r="34" spans="2:130" s="8" customFormat="1" x14ac:dyDescent="0.2">
      <c r="B34" s="7" t="s">
        <v>74</v>
      </c>
      <c r="C34" s="7">
        <v>11</v>
      </c>
      <c r="D34" s="7">
        <v>347</v>
      </c>
      <c r="E34" s="7">
        <v>1508</v>
      </c>
      <c r="F34" s="7">
        <v>29</v>
      </c>
      <c r="G34" s="27"/>
      <c r="H34" s="59">
        <v>0</v>
      </c>
      <c r="I34" s="59">
        <v>2</v>
      </c>
      <c r="J34" s="59">
        <v>7</v>
      </c>
      <c r="K34" s="59">
        <v>15</v>
      </c>
      <c r="L34" s="59">
        <v>4</v>
      </c>
      <c r="M34" s="59">
        <v>3</v>
      </c>
      <c r="N34" s="59">
        <v>0</v>
      </c>
      <c r="O34" s="59">
        <v>0</v>
      </c>
      <c r="P34" s="59">
        <v>0</v>
      </c>
      <c r="Q34" s="27"/>
      <c r="R34" s="59">
        <v>2</v>
      </c>
      <c r="S34" s="59"/>
      <c r="T34" s="59">
        <v>2</v>
      </c>
      <c r="U34" s="59">
        <v>1</v>
      </c>
      <c r="V34" s="59">
        <v>1</v>
      </c>
      <c r="W34" s="59">
        <v>2</v>
      </c>
      <c r="X34" s="59">
        <v>3</v>
      </c>
      <c r="Y34" s="59">
        <v>8</v>
      </c>
      <c r="Z34" s="59">
        <v>3</v>
      </c>
      <c r="AA34" s="27"/>
      <c r="AB34" s="7">
        <v>26</v>
      </c>
      <c r="AC34" s="7">
        <v>1</v>
      </c>
      <c r="AD34" s="7">
        <v>0</v>
      </c>
      <c r="AE34" s="7">
        <v>0</v>
      </c>
      <c r="AF34" s="7">
        <v>3</v>
      </c>
      <c r="AG34" s="7"/>
      <c r="AH34" s="7">
        <v>4</v>
      </c>
      <c r="AI34" s="27"/>
      <c r="AJ34" s="7"/>
      <c r="AK34" s="7"/>
      <c r="AL34" s="7"/>
      <c r="AM34" s="7"/>
      <c r="AN34" s="7"/>
      <c r="AO34" s="7"/>
      <c r="AP34" s="7"/>
      <c r="AQ34" s="27"/>
      <c r="AR34" s="8">
        <v>45</v>
      </c>
      <c r="AS34" s="8">
        <v>56</v>
      </c>
      <c r="AT34" s="8">
        <v>8</v>
      </c>
      <c r="AU34" s="8">
        <v>16</v>
      </c>
      <c r="AV34" s="8">
        <v>67</v>
      </c>
      <c r="AW34" s="8">
        <v>142</v>
      </c>
      <c r="AX34" s="8">
        <v>345</v>
      </c>
      <c r="AY34" s="8">
        <v>69</v>
      </c>
      <c r="AZ34" s="8">
        <v>245</v>
      </c>
      <c r="BA34" s="8">
        <v>134</v>
      </c>
      <c r="BB34" s="8">
        <v>18</v>
      </c>
      <c r="BC34" s="8">
        <v>134</v>
      </c>
      <c r="BD34" s="8">
        <v>120</v>
      </c>
      <c r="BE34" s="8">
        <v>94</v>
      </c>
      <c r="BF34" s="8">
        <v>102</v>
      </c>
      <c r="BG34" s="8">
        <v>56</v>
      </c>
      <c r="BH34" s="8">
        <v>57</v>
      </c>
      <c r="BI34" s="27"/>
      <c r="BJ34" s="7">
        <v>0</v>
      </c>
      <c r="BK34" s="7">
        <v>3</v>
      </c>
      <c r="BL34" s="7">
        <v>7</v>
      </c>
      <c r="BM34" s="7">
        <v>11</v>
      </c>
      <c r="BN34" s="7">
        <v>4</v>
      </c>
      <c r="BO34" s="7">
        <v>1</v>
      </c>
      <c r="BP34" s="7">
        <v>8</v>
      </c>
      <c r="BQ34" s="7">
        <v>1</v>
      </c>
      <c r="BR34" s="7">
        <v>0</v>
      </c>
      <c r="BS34" s="27"/>
      <c r="BT34" s="7">
        <v>27</v>
      </c>
      <c r="BU34" s="7">
        <v>17</v>
      </c>
      <c r="BV34" s="27"/>
      <c r="BW34" s="7">
        <v>14</v>
      </c>
      <c r="BX34" s="7">
        <v>4</v>
      </c>
      <c r="BY34" s="7">
        <v>1</v>
      </c>
      <c r="BZ34" s="7">
        <v>0</v>
      </c>
      <c r="CA34" s="7">
        <v>0</v>
      </c>
      <c r="CB34" s="15"/>
      <c r="CC34" s="7">
        <v>2</v>
      </c>
      <c r="CD34" s="85" t="s">
        <v>345</v>
      </c>
      <c r="CE34" s="27"/>
      <c r="CF34" s="11">
        <v>4</v>
      </c>
      <c r="CG34" s="8">
        <v>1296</v>
      </c>
      <c r="CI34" s="8">
        <v>1</v>
      </c>
      <c r="CJ34" s="8">
        <v>22</v>
      </c>
      <c r="CK34" s="8">
        <v>93701</v>
      </c>
      <c r="CL34" s="8">
        <v>42</v>
      </c>
      <c r="CM34" s="8">
        <v>273473</v>
      </c>
      <c r="CN34" s="8">
        <v>9</v>
      </c>
      <c r="CO34" s="11">
        <v>21</v>
      </c>
      <c r="CP34" s="11">
        <v>38190</v>
      </c>
      <c r="CQ34" s="11">
        <v>1</v>
      </c>
      <c r="CR34" s="11">
        <v>2000</v>
      </c>
      <c r="CS34" s="2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</row>
    <row r="35" spans="2:130" x14ac:dyDescent="0.2">
      <c r="B35" s="7" t="s">
        <v>75</v>
      </c>
      <c r="C35" s="8">
        <v>5</v>
      </c>
      <c r="D35" s="7">
        <v>229</v>
      </c>
      <c r="E35" s="7">
        <v>459</v>
      </c>
      <c r="F35" s="7">
        <v>17</v>
      </c>
      <c r="G35" s="27"/>
      <c r="H35" s="59">
        <v>1</v>
      </c>
      <c r="I35" s="59">
        <v>0</v>
      </c>
      <c r="J35" s="59">
        <v>7</v>
      </c>
      <c r="K35" s="59">
        <v>7</v>
      </c>
      <c r="L35" s="59">
        <v>1</v>
      </c>
      <c r="M35" s="59">
        <v>0</v>
      </c>
      <c r="N35" s="59">
        <v>0</v>
      </c>
      <c r="O35" s="59">
        <v>0</v>
      </c>
      <c r="P35" s="59">
        <v>0</v>
      </c>
      <c r="Q35" s="27"/>
      <c r="R35" s="59">
        <v>1</v>
      </c>
      <c r="T35" s="59">
        <v>1</v>
      </c>
      <c r="U35" s="59">
        <v>0</v>
      </c>
      <c r="V35" s="59">
        <v>0</v>
      </c>
      <c r="W35" s="59">
        <v>1</v>
      </c>
      <c r="X35" s="59">
        <v>1</v>
      </c>
      <c r="Y35" s="59">
        <v>3</v>
      </c>
      <c r="Z35" s="59">
        <v>1</v>
      </c>
      <c r="AA35" s="27"/>
      <c r="AB35" s="7">
        <v>13</v>
      </c>
      <c r="AC35" s="7">
        <v>1</v>
      </c>
      <c r="AD35" s="7">
        <v>0</v>
      </c>
      <c r="AE35" s="7">
        <v>0</v>
      </c>
      <c r="AF35" s="7">
        <v>2</v>
      </c>
      <c r="AH35" s="7">
        <v>0</v>
      </c>
      <c r="AI35" s="27"/>
      <c r="AQ35" s="27"/>
      <c r="AR35" s="8">
        <v>32</v>
      </c>
      <c r="AS35" s="8">
        <v>15</v>
      </c>
      <c r="AT35" s="8">
        <v>1</v>
      </c>
      <c r="AU35" s="8">
        <v>12</v>
      </c>
      <c r="AV35" s="8">
        <v>18</v>
      </c>
      <c r="AW35" s="8">
        <v>43</v>
      </c>
      <c r="AX35" s="8">
        <v>66</v>
      </c>
      <c r="AY35" s="8">
        <v>19</v>
      </c>
      <c r="AZ35" s="8">
        <v>80</v>
      </c>
      <c r="BA35" s="8">
        <v>51</v>
      </c>
      <c r="BB35" s="8">
        <v>26</v>
      </c>
      <c r="BC35" s="8">
        <v>53</v>
      </c>
      <c r="BD35" s="8">
        <v>51</v>
      </c>
      <c r="BE35" s="8">
        <v>17</v>
      </c>
      <c r="BF35" s="8">
        <v>20</v>
      </c>
      <c r="BG35" s="8">
        <v>18</v>
      </c>
      <c r="BH35" s="8">
        <v>26</v>
      </c>
      <c r="BI35" s="27"/>
      <c r="BJ35" s="7">
        <v>0</v>
      </c>
      <c r="BK35" s="7">
        <v>8</v>
      </c>
      <c r="BL35" s="7">
        <v>4</v>
      </c>
      <c r="BM35" s="7">
        <v>2</v>
      </c>
      <c r="BN35" s="7">
        <v>0</v>
      </c>
      <c r="BO35" s="7">
        <v>1</v>
      </c>
      <c r="BP35" s="7">
        <v>3</v>
      </c>
      <c r="BQ35" s="7">
        <v>0</v>
      </c>
      <c r="BR35" s="7">
        <v>0</v>
      </c>
      <c r="BS35" s="27"/>
      <c r="BT35" s="7">
        <v>17</v>
      </c>
      <c r="BU35" s="7">
        <v>6</v>
      </c>
      <c r="BV35" s="27"/>
      <c r="BW35" s="7">
        <v>1</v>
      </c>
      <c r="BX35" s="7">
        <v>3</v>
      </c>
      <c r="BY35" s="7">
        <v>0</v>
      </c>
      <c r="BZ35" s="7">
        <v>0</v>
      </c>
      <c r="CA35" s="7">
        <v>0</v>
      </c>
      <c r="CC35" s="7">
        <v>0</v>
      </c>
      <c r="CE35" s="27"/>
      <c r="CF35" s="8">
        <v>3</v>
      </c>
      <c r="CG35" s="8">
        <v>397</v>
      </c>
      <c r="CH35" s="8"/>
      <c r="CI35" s="8">
        <v>0</v>
      </c>
      <c r="CJ35" s="8">
        <v>52</v>
      </c>
      <c r="CK35" s="8">
        <v>32656</v>
      </c>
      <c r="CL35" s="8">
        <v>79</v>
      </c>
      <c r="CM35" s="8">
        <v>100406</v>
      </c>
      <c r="CN35" s="7">
        <v>0</v>
      </c>
      <c r="CO35" s="8">
        <v>16</v>
      </c>
      <c r="CP35" s="8">
        <v>8662</v>
      </c>
      <c r="CQ35" s="8">
        <v>0</v>
      </c>
      <c r="CR35" s="8">
        <v>0</v>
      </c>
      <c r="CS35" s="27"/>
    </row>
    <row r="36" spans="2:130" x14ac:dyDescent="0.2">
      <c r="B36" s="7" t="s">
        <v>76</v>
      </c>
      <c r="C36" s="7">
        <v>13</v>
      </c>
      <c r="D36" s="7">
        <v>635</v>
      </c>
      <c r="E36" s="7">
        <v>1577</v>
      </c>
      <c r="F36" s="7">
        <v>60</v>
      </c>
      <c r="G36" s="27"/>
      <c r="H36" s="59">
        <v>10</v>
      </c>
      <c r="I36" s="59">
        <v>7</v>
      </c>
      <c r="J36" s="59">
        <v>13</v>
      </c>
      <c r="K36" s="59">
        <v>27</v>
      </c>
      <c r="L36" s="59">
        <v>6</v>
      </c>
      <c r="M36" s="59">
        <v>1</v>
      </c>
      <c r="N36" s="59">
        <v>0</v>
      </c>
      <c r="O36" s="59">
        <v>0</v>
      </c>
      <c r="P36" s="59">
        <v>0</v>
      </c>
      <c r="Q36" s="27"/>
      <c r="R36" s="59">
        <v>4</v>
      </c>
      <c r="T36" s="59">
        <v>4</v>
      </c>
      <c r="U36" s="59">
        <v>4</v>
      </c>
      <c r="V36" s="59">
        <v>3</v>
      </c>
      <c r="W36" s="59">
        <v>2</v>
      </c>
      <c r="X36" s="59">
        <v>5</v>
      </c>
      <c r="Y36" s="59">
        <v>9</v>
      </c>
      <c r="Z36" s="59">
        <v>4</v>
      </c>
      <c r="AA36" s="27"/>
      <c r="AB36" s="7">
        <v>60</v>
      </c>
      <c r="AC36" s="7">
        <v>3</v>
      </c>
      <c r="AD36" s="7">
        <v>0</v>
      </c>
      <c r="AE36" s="7">
        <v>1</v>
      </c>
      <c r="AF36" s="7">
        <v>1</v>
      </c>
      <c r="AH36" s="7">
        <v>2</v>
      </c>
      <c r="AI36" s="27"/>
      <c r="AQ36" s="27"/>
      <c r="AR36" s="7">
        <v>91</v>
      </c>
      <c r="AS36" s="7">
        <v>54</v>
      </c>
      <c r="AT36" s="7">
        <v>11</v>
      </c>
      <c r="AU36" s="7">
        <v>25</v>
      </c>
      <c r="AV36" s="7">
        <v>77</v>
      </c>
      <c r="AW36" s="7">
        <v>148</v>
      </c>
      <c r="AX36" s="7">
        <v>358</v>
      </c>
      <c r="AY36" s="7">
        <v>54</v>
      </c>
      <c r="AZ36" s="7">
        <v>217</v>
      </c>
      <c r="BA36" s="7">
        <v>152</v>
      </c>
      <c r="BB36" s="7">
        <v>49</v>
      </c>
      <c r="BC36" s="7">
        <v>146</v>
      </c>
      <c r="BD36" s="7">
        <v>121</v>
      </c>
      <c r="BE36" s="7">
        <v>95</v>
      </c>
      <c r="BF36" s="7">
        <v>160</v>
      </c>
      <c r="BG36" s="7">
        <v>47</v>
      </c>
      <c r="BH36" s="7">
        <v>64</v>
      </c>
      <c r="BI36" s="27"/>
      <c r="BJ36" s="7">
        <v>3</v>
      </c>
      <c r="BK36" s="7">
        <v>13</v>
      </c>
      <c r="BL36" s="7">
        <v>17</v>
      </c>
      <c r="BM36" s="7">
        <v>8</v>
      </c>
      <c r="BN36" s="7">
        <v>4</v>
      </c>
      <c r="BO36" s="7">
        <v>1</v>
      </c>
      <c r="BP36" s="7">
        <v>14</v>
      </c>
      <c r="BQ36" s="7">
        <v>1</v>
      </c>
      <c r="BR36" s="7">
        <v>0</v>
      </c>
      <c r="BS36" s="27"/>
      <c r="BT36" s="7">
        <v>60</v>
      </c>
      <c r="BU36" s="7">
        <v>28</v>
      </c>
      <c r="BV36" s="27"/>
      <c r="BW36" s="7">
        <v>20</v>
      </c>
      <c r="BX36" s="7">
        <v>1</v>
      </c>
      <c r="BY36" s="7">
        <v>0</v>
      </c>
      <c r="BZ36" s="7">
        <v>1</v>
      </c>
      <c r="CA36" s="7">
        <v>5</v>
      </c>
      <c r="CB36" s="88" t="s">
        <v>346</v>
      </c>
      <c r="CC36" s="7">
        <v>0</v>
      </c>
      <c r="CE36" s="27"/>
      <c r="CF36" s="7">
        <v>6</v>
      </c>
      <c r="CG36" s="7">
        <v>1086</v>
      </c>
      <c r="CI36" s="7">
        <v>2</v>
      </c>
      <c r="CJ36" s="7">
        <v>38</v>
      </c>
      <c r="CK36" s="7">
        <v>254535</v>
      </c>
      <c r="CL36" s="7">
        <v>82</v>
      </c>
      <c r="CM36" s="7">
        <v>457167</v>
      </c>
      <c r="CN36" s="7">
        <v>12</v>
      </c>
      <c r="CO36" s="7">
        <v>22</v>
      </c>
      <c r="CP36" s="7">
        <v>48603</v>
      </c>
      <c r="CQ36" s="7">
        <v>6</v>
      </c>
      <c r="CR36" s="7">
        <v>28612</v>
      </c>
      <c r="CS36" s="27"/>
    </row>
    <row r="37" spans="2:130" x14ac:dyDescent="0.2">
      <c r="B37" s="7" t="s">
        <v>77</v>
      </c>
      <c r="C37" s="7">
        <v>2</v>
      </c>
      <c r="D37" s="7">
        <v>34</v>
      </c>
      <c r="E37" s="7">
        <v>65</v>
      </c>
      <c r="F37" s="7">
        <v>4</v>
      </c>
      <c r="G37" s="27"/>
      <c r="H37" s="59">
        <v>0</v>
      </c>
      <c r="I37" s="59">
        <v>0</v>
      </c>
      <c r="J37" s="59">
        <v>1</v>
      </c>
      <c r="K37" s="59">
        <v>3</v>
      </c>
      <c r="L37" s="59">
        <v>0</v>
      </c>
      <c r="M37" s="59">
        <v>0</v>
      </c>
      <c r="N37" s="59">
        <v>0</v>
      </c>
      <c r="O37" s="59">
        <v>0</v>
      </c>
      <c r="P37" s="59">
        <v>0</v>
      </c>
      <c r="Q37" s="27"/>
      <c r="R37" s="59">
        <v>2</v>
      </c>
      <c r="T37" s="59">
        <v>2</v>
      </c>
      <c r="U37" s="59">
        <v>1</v>
      </c>
      <c r="V37" s="59">
        <v>1</v>
      </c>
      <c r="W37" s="59">
        <v>3</v>
      </c>
      <c r="X37" s="59">
        <v>1</v>
      </c>
      <c r="Y37" s="59">
        <v>2</v>
      </c>
      <c r="Z37" s="59">
        <v>3</v>
      </c>
      <c r="AA37" s="27"/>
      <c r="AB37" s="7">
        <v>4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27"/>
      <c r="AJ37" s="7">
        <v>1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27"/>
      <c r="AR37" s="7">
        <v>5</v>
      </c>
      <c r="AS37" s="7">
        <v>3</v>
      </c>
      <c r="AT37" s="7">
        <v>0</v>
      </c>
      <c r="AU37" s="7">
        <v>1</v>
      </c>
      <c r="AV37" s="7">
        <v>3</v>
      </c>
      <c r="AW37" s="7">
        <v>4</v>
      </c>
      <c r="AX37" s="7">
        <v>13</v>
      </c>
      <c r="AY37" s="7">
        <v>7</v>
      </c>
      <c r="AZ37" s="7">
        <v>10</v>
      </c>
      <c r="BA37" s="7">
        <v>6</v>
      </c>
      <c r="BB37" s="7">
        <v>5</v>
      </c>
      <c r="BC37" s="7">
        <v>6</v>
      </c>
      <c r="BD37" s="7">
        <v>2</v>
      </c>
      <c r="BE37" s="7">
        <v>3</v>
      </c>
      <c r="BF37" s="7">
        <v>3</v>
      </c>
      <c r="BG37" s="7">
        <v>7</v>
      </c>
      <c r="BH37" s="7">
        <v>3</v>
      </c>
      <c r="BI37" s="27"/>
      <c r="BJ37" s="7">
        <v>0</v>
      </c>
      <c r="BK37" s="7">
        <v>0</v>
      </c>
      <c r="BL37" s="7">
        <v>1</v>
      </c>
      <c r="BM37" s="7">
        <v>1</v>
      </c>
      <c r="BN37" s="7">
        <v>0</v>
      </c>
      <c r="BO37" s="7">
        <v>0</v>
      </c>
      <c r="BP37" s="7">
        <v>2</v>
      </c>
      <c r="BQ37" s="7">
        <v>0</v>
      </c>
      <c r="BR37" s="7">
        <v>0</v>
      </c>
      <c r="BS37" s="27"/>
      <c r="BT37" s="7">
        <v>3</v>
      </c>
      <c r="BU37" s="7">
        <v>4</v>
      </c>
      <c r="BV37" s="27"/>
      <c r="BW37" s="7">
        <v>1</v>
      </c>
      <c r="BX37" s="7">
        <v>1</v>
      </c>
      <c r="BY37" s="7">
        <v>1</v>
      </c>
      <c r="BZ37" s="7">
        <v>0</v>
      </c>
      <c r="CA37" s="7">
        <v>1</v>
      </c>
      <c r="CB37" s="15" t="s">
        <v>347</v>
      </c>
      <c r="CC37" s="7">
        <v>0</v>
      </c>
      <c r="CE37" s="27"/>
      <c r="CF37" s="11">
        <v>1</v>
      </c>
      <c r="CG37" s="7">
        <v>50</v>
      </c>
      <c r="CH37" s="7">
        <v>0</v>
      </c>
      <c r="CI37" s="7">
        <v>0</v>
      </c>
      <c r="CJ37" s="7">
        <v>4</v>
      </c>
      <c r="CK37" s="7">
        <v>54724</v>
      </c>
      <c r="CL37" s="7">
        <v>4</v>
      </c>
      <c r="CM37" s="7">
        <v>121006</v>
      </c>
      <c r="CN37" s="7">
        <v>0</v>
      </c>
      <c r="CO37" s="11">
        <v>0</v>
      </c>
      <c r="CP37" s="11">
        <v>0</v>
      </c>
      <c r="CQ37" s="11">
        <v>0</v>
      </c>
      <c r="CR37" s="11">
        <v>0</v>
      </c>
      <c r="CS37" s="27"/>
    </row>
    <row r="38" spans="2:130" x14ac:dyDescent="0.2">
      <c r="B38" s="7" t="s">
        <v>78</v>
      </c>
      <c r="C38" s="7">
        <v>3</v>
      </c>
      <c r="D38" s="7">
        <v>239</v>
      </c>
      <c r="E38" s="7">
        <v>443</v>
      </c>
      <c r="F38" s="7">
        <v>11</v>
      </c>
      <c r="G38" s="27"/>
      <c r="H38" s="59">
        <v>0</v>
      </c>
      <c r="I38" s="59">
        <v>1</v>
      </c>
      <c r="J38" s="59">
        <v>5</v>
      </c>
      <c r="K38" s="59">
        <v>2</v>
      </c>
      <c r="L38" s="59">
        <v>2</v>
      </c>
      <c r="M38" s="59">
        <v>1</v>
      </c>
      <c r="N38" s="59">
        <v>0</v>
      </c>
      <c r="O38" s="59">
        <v>0</v>
      </c>
      <c r="P38" s="59">
        <v>0</v>
      </c>
      <c r="Q38" s="27"/>
      <c r="R38" s="59">
        <v>0</v>
      </c>
      <c r="T38" s="59">
        <v>0</v>
      </c>
      <c r="U38" s="59">
        <v>0</v>
      </c>
      <c r="V38" s="59">
        <v>0</v>
      </c>
      <c r="W38" s="59">
        <v>0</v>
      </c>
      <c r="X38" s="59">
        <v>0</v>
      </c>
      <c r="Y38" s="59">
        <v>3</v>
      </c>
      <c r="Z38" s="59">
        <v>0</v>
      </c>
      <c r="AA38" s="27"/>
      <c r="AB38" s="7">
        <v>11</v>
      </c>
      <c r="AC38" s="7">
        <v>0</v>
      </c>
      <c r="AD38" s="7">
        <v>0</v>
      </c>
      <c r="AE38" s="7">
        <v>0</v>
      </c>
      <c r="AF38" s="7">
        <v>0</v>
      </c>
      <c r="AH38" s="7">
        <v>0</v>
      </c>
      <c r="AI38" s="27"/>
      <c r="AQ38" s="27"/>
      <c r="AR38" s="7">
        <v>19</v>
      </c>
      <c r="AS38" s="7">
        <v>10</v>
      </c>
      <c r="AT38" s="7">
        <v>1</v>
      </c>
      <c r="AU38" s="7">
        <v>11</v>
      </c>
      <c r="AV38" s="7">
        <v>22</v>
      </c>
      <c r="AW38" s="7">
        <v>65</v>
      </c>
      <c r="AX38" s="7">
        <v>106</v>
      </c>
      <c r="AY38" s="7">
        <v>22</v>
      </c>
      <c r="AZ38" s="7">
        <v>51</v>
      </c>
      <c r="BA38" s="7">
        <v>45</v>
      </c>
      <c r="BB38" s="7">
        <v>22</v>
      </c>
      <c r="BC38" s="7">
        <v>40</v>
      </c>
      <c r="BD38" s="7">
        <v>38</v>
      </c>
      <c r="BE38" s="7">
        <v>22</v>
      </c>
      <c r="BF38" s="7">
        <v>28</v>
      </c>
      <c r="BG38" s="7">
        <v>15</v>
      </c>
      <c r="BH38" s="7">
        <v>23</v>
      </c>
      <c r="BI38" s="27"/>
      <c r="BJ38" s="7">
        <v>0</v>
      </c>
      <c r="BK38" s="7">
        <v>0</v>
      </c>
      <c r="BL38" s="7">
        <v>4</v>
      </c>
      <c r="BM38" s="7">
        <v>1</v>
      </c>
      <c r="BN38" s="7">
        <v>1</v>
      </c>
      <c r="BO38" s="7">
        <v>0</v>
      </c>
      <c r="BP38" s="7">
        <v>5</v>
      </c>
      <c r="BQ38" s="7">
        <v>0</v>
      </c>
      <c r="BR38" s="7">
        <v>0</v>
      </c>
      <c r="BS38" s="27"/>
      <c r="BT38" s="7">
        <v>11</v>
      </c>
      <c r="BU38" s="7">
        <v>4</v>
      </c>
      <c r="BV38" s="27"/>
      <c r="BW38" s="7">
        <v>3</v>
      </c>
      <c r="BX38" s="7">
        <v>1</v>
      </c>
      <c r="BY38" s="7">
        <v>0</v>
      </c>
      <c r="BZ38" s="7">
        <v>0</v>
      </c>
      <c r="CA38" s="7">
        <v>0</v>
      </c>
      <c r="CC38" s="7">
        <v>1</v>
      </c>
      <c r="CD38" s="15" t="s">
        <v>348</v>
      </c>
      <c r="CE38" s="27"/>
      <c r="CF38" s="11">
        <v>0</v>
      </c>
      <c r="CG38" s="7">
        <v>388</v>
      </c>
      <c r="CI38" s="7">
        <v>0</v>
      </c>
      <c r="CJ38" s="7">
        <v>1</v>
      </c>
      <c r="CK38" s="7">
        <v>12400</v>
      </c>
      <c r="CL38" s="7">
        <v>0</v>
      </c>
      <c r="CM38" s="7">
        <v>0</v>
      </c>
      <c r="CN38" s="7">
        <v>0</v>
      </c>
      <c r="CO38" s="11">
        <v>0</v>
      </c>
      <c r="CP38" s="11">
        <v>0</v>
      </c>
      <c r="CQ38" s="11">
        <v>0</v>
      </c>
      <c r="CR38" s="11">
        <v>0</v>
      </c>
      <c r="CS38" s="27"/>
    </row>
    <row r="39" spans="2:130" x14ac:dyDescent="0.2">
      <c r="B39" s="7" t="s">
        <v>79</v>
      </c>
      <c r="C39" s="7">
        <v>6</v>
      </c>
      <c r="D39" s="7">
        <v>205</v>
      </c>
      <c r="E39" s="7">
        <v>445</v>
      </c>
      <c r="F39" s="7">
        <v>18</v>
      </c>
      <c r="G39" s="27"/>
      <c r="H39" s="59">
        <v>3</v>
      </c>
      <c r="I39" s="59">
        <v>2</v>
      </c>
      <c r="J39" s="59">
        <v>3</v>
      </c>
      <c r="K39" s="59">
        <v>5</v>
      </c>
      <c r="L39" s="59">
        <v>3</v>
      </c>
      <c r="M39" s="59">
        <v>0</v>
      </c>
      <c r="N39" s="59">
        <v>0</v>
      </c>
      <c r="O39" s="59">
        <v>0</v>
      </c>
      <c r="P39" s="59">
        <v>0</v>
      </c>
      <c r="Q39" s="27"/>
      <c r="R39" s="59">
        <v>2</v>
      </c>
      <c r="T39" s="59">
        <v>2</v>
      </c>
      <c r="U39" s="59">
        <v>1</v>
      </c>
      <c r="V39" s="59">
        <v>1</v>
      </c>
      <c r="W39" s="59">
        <v>3</v>
      </c>
      <c r="X39" s="59">
        <v>2</v>
      </c>
      <c r="Y39" s="59">
        <v>6</v>
      </c>
      <c r="Z39" s="59">
        <v>4</v>
      </c>
      <c r="AA39" s="27"/>
      <c r="AB39" s="7">
        <v>15</v>
      </c>
      <c r="AC39" s="7">
        <v>1</v>
      </c>
      <c r="AD39" s="7">
        <v>1</v>
      </c>
      <c r="AE39" s="7">
        <v>0</v>
      </c>
      <c r="AF39" s="7">
        <v>1</v>
      </c>
      <c r="AH39" s="7">
        <v>2</v>
      </c>
      <c r="AI39" s="27"/>
      <c r="AQ39" s="27"/>
      <c r="AR39" s="7">
        <v>34</v>
      </c>
      <c r="AS39" s="7">
        <v>22</v>
      </c>
      <c r="AT39" s="7">
        <v>2</v>
      </c>
      <c r="AU39" s="7">
        <v>13</v>
      </c>
      <c r="AV39" s="7">
        <v>15</v>
      </c>
      <c r="AW39" s="7">
        <v>58</v>
      </c>
      <c r="AX39" s="7">
        <v>117</v>
      </c>
      <c r="AY39" s="7">
        <v>14</v>
      </c>
      <c r="AZ39" s="7">
        <v>50</v>
      </c>
      <c r="BA39" s="7">
        <v>29</v>
      </c>
      <c r="BB39" s="7">
        <v>7</v>
      </c>
      <c r="BC39" s="7">
        <v>38</v>
      </c>
      <c r="BD39" s="7">
        <v>38</v>
      </c>
      <c r="BE39" s="7">
        <v>25</v>
      </c>
      <c r="BF39" s="7">
        <v>30</v>
      </c>
      <c r="BG39" s="7">
        <v>9</v>
      </c>
      <c r="BH39" s="7">
        <v>17</v>
      </c>
      <c r="BI39" s="27"/>
      <c r="BJ39" s="7">
        <v>0</v>
      </c>
      <c r="BK39" s="7">
        <v>2</v>
      </c>
      <c r="BL39" s="7">
        <v>7</v>
      </c>
      <c r="BM39" s="7">
        <v>1</v>
      </c>
      <c r="BN39" s="7">
        <v>3</v>
      </c>
      <c r="BO39" s="7">
        <v>1</v>
      </c>
      <c r="BP39" s="7">
        <v>4</v>
      </c>
      <c r="BQ39" s="7">
        <v>1</v>
      </c>
      <c r="BR39" s="7">
        <v>1</v>
      </c>
      <c r="BS39" s="27"/>
      <c r="BT39" s="7">
        <v>18</v>
      </c>
      <c r="BU39" s="7">
        <v>9</v>
      </c>
      <c r="BV39" s="27"/>
      <c r="BW39" s="7">
        <v>4</v>
      </c>
      <c r="BX39" s="7">
        <v>1</v>
      </c>
      <c r="BY39" s="7">
        <v>1</v>
      </c>
      <c r="BZ39" s="7">
        <v>0</v>
      </c>
      <c r="CA39" s="7">
        <v>1</v>
      </c>
      <c r="CC39" s="7">
        <v>2</v>
      </c>
      <c r="CD39" s="94" t="s">
        <v>349</v>
      </c>
      <c r="CE39" s="27"/>
      <c r="CF39" s="11">
        <v>4</v>
      </c>
      <c r="CG39" s="7">
        <v>303</v>
      </c>
      <c r="CI39" s="7">
        <v>3</v>
      </c>
      <c r="CJ39" s="7">
        <v>28</v>
      </c>
      <c r="CK39" s="7">
        <v>132939</v>
      </c>
      <c r="CL39" s="7">
        <v>32</v>
      </c>
      <c r="CM39" s="7">
        <v>90592</v>
      </c>
      <c r="CN39" s="7">
        <v>4</v>
      </c>
      <c r="CO39" s="7">
        <v>9</v>
      </c>
      <c r="CP39" s="7">
        <v>19652</v>
      </c>
      <c r="CQ39" s="11">
        <v>0</v>
      </c>
      <c r="CR39" s="11">
        <v>0</v>
      </c>
      <c r="CS39" s="27"/>
    </row>
    <row r="40" spans="2:130" s="9" customFormat="1" x14ac:dyDescent="0.2">
      <c r="B40" s="7" t="s">
        <v>80</v>
      </c>
      <c r="C40" s="7">
        <v>3</v>
      </c>
      <c r="D40" s="7">
        <v>45</v>
      </c>
      <c r="E40" s="7">
        <v>68</v>
      </c>
      <c r="F40" s="7">
        <v>4</v>
      </c>
      <c r="G40" s="27"/>
      <c r="H40" s="59">
        <v>0</v>
      </c>
      <c r="I40" s="59">
        <v>2</v>
      </c>
      <c r="J40" s="59">
        <v>0</v>
      </c>
      <c r="K40" s="59">
        <v>1</v>
      </c>
      <c r="L40" s="59">
        <v>0</v>
      </c>
      <c r="M40" s="59">
        <v>0</v>
      </c>
      <c r="N40" s="59">
        <v>0</v>
      </c>
      <c r="O40" s="59">
        <v>0</v>
      </c>
      <c r="P40" s="59">
        <v>0</v>
      </c>
      <c r="Q40" s="27"/>
      <c r="R40" s="59">
        <v>0</v>
      </c>
      <c r="S40" s="59"/>
      <c r="T40" s="59">
        <v>0</v>
      </c>
      <c r="U40" s="59">
        <v>0</v>
      </c>
      <c r="V40" s="59">
        <v>0</v>
      </c>
      <c r="W40" s="59">
        <v>0</v>
      </c>
      <c r="X40" s="59">
        <v>0</v>
      </c>
      <c r="Y40" s="59">
        <v>2</v>
      </c>
      <c r="Z40" s="59">
        <v>1</v>
      </c>
      <c r="AA40" s="27"/>
      <c r="AB40" s="7">
        <v>4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27"/>
      <c r="AJ40" s="7">
        <v>14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27"/>
      <c r="AR40" s="7">
        <v>6</v>
      </c>
      <c r="AS40" s="7">
        <v>14</v>
      </c>
      <c r="AT40" s="7">
        <v>0</v>
      </c>
      <c r="AU40" s="7">
        <v>2</v>
      </c>
      <c r="AV40" s="7">
        <v>1</v>
      </c>
      <c r="AW40" s="7">
        <v>12</v>
      </c>
      <c r="AX40" s="7">
        <v>8</v>
      </c>
      <c r="AY40" s="7">
        <v>2</v>
      </c>
      <c r="AZ40" s="7">
        <v>6</v>
      </c>
      <c r="BA40" s="7">
        <v>5</v>
      </c>
      <c r="BB40" s="7">
        <v>4</v>
      </c>
      <c r="BC40" s="7">
        <v>3</v>
      </c>
      <c r="BD40" s="7">
        <v>5</v>
      </c>
      <c r="BE40" s="7">
        <v>3</v>
      </c>
      <c r="BF40" s="7">
        <v>5</v>
      </c>
      <c r="BG40" s="7">
        <v>2</v>
      </c>
      <c r="BH40" s="7">
        <v>5</v>
      </c>
      <c r="BI40" s="27"/>
      <c r="BJ40" s="7">
        <v>0</v>
      </c>
      <c r="BK40" s="7">
        <v>1</v>
      </c>
      <c r="BL40" s="7">
        <v>0</v>
      </c>
      <c r="BM40" s="7">
        <v>0</v>
      </c>
      <c r="BN40" s="7">
        <v>0</v>
      </c>
      <c r="BO40" s="7">
        <v>0</v>
      </c>
      <c r="BP40" s="7">
        <v>2</v>
      </c>
      <c r="BQ40" s="7">
        <v>0</v>
      </c>
      <c r="BR40" s="7">
        <v>0</v>
      </c>
      <c r="BS40" s="27"/>
      <c r="BT40" s="7">
        <v>4</v>
      </c>
      <c r="BU40" s="7">
        <v>2</v>
      </c>
      <c r="BV40" s="27"/>
      <c r="BW40" s="7">
        <v>1</v>
      </c>
      <c r="BX40" s="7">
        <v>0</v>
      </c>
      <c r="BY40" s="7">
        <v>1</v>
      </c>
      <c r="BZ40" s="7">
        <v>0</v>
      </c>
      <c r="CA40" s="7">
        <v>1</v>
      </c>
      <c r="CB40" s="15"/>
      <c r="CC40" s="7">
        <v>0</v>
      </c>
      <c r="CD40" s="7"/>
      <c r="CE40" s="27"/>
      <c r="CF40" s="11">
        <v>1</v>
      </c>
      <c r="CG40" s="7">
        <v>55</v>
      </c>
      <c r="CH40" s="7">
        <v>0</v>
      </c>
      <c r="CI40" s="7">
        <v>0</v>
      </c>
      <c r="CJ40" s="7">
        <v>5</v>
      </c>
      <c r="CK40" s="7">
        <v>2021</v>
      </c>
      <c r="CL40" s="7">
        <v>7</v>
      </c>
      <c r="CM40" s="7">
        <v>7683</v>
      </c>
      <c r="CN40" s="7">
        <v>1</v>
      </c>
      <c r="CO40" s="11">
        <v>4</v>
      </c>
      <c r="CP40" s="11">
        <v>1597</v>
      </c>
      <c r="CQ40" s="11">
        <v>1</v>
      </c>
      <c r="CR40" s="11">
        <v>195</v>
      </c>
      <c r="CS40" s="2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</row>
    <row r="41" spans="2:130" x14ac:dyDescent="0.2">
      <c r="B41" s="8" t="s">
        <v>81</v>
      </c>
      <c r="C41" s="7">
        <v>4</v>
      </c>
      <c r="D41" s="7">
        <v>128</v>
      </c>
      <c r="E41" s="7">
        <v>420</v>
      </c>
      <c r="F41" s="7">
        <v>27</v>
      </c>
      <c r="G41" s="27"/>
      <c r="H41" s="59">
        <v>6</v>
      </c>
      <c r="I41" s="59">
        <v>3</v>
      </c>
      <c r="J41" s="59">
        <v>6</v>
      </c>
      <c r="K41" s="59">
        <v>11</v>
      </c>
      <c r="L41" s="59">
        <v>0</v>
      </c>
      <c r="M41" s="59">
        <v>0</v>
      </c>
      <c r="N41" s="59">
        <v>0</v>
      </c>
      <c r="O41" s="59">
        <v>0</v>
      </c>
      <c r="P41" s="59">
        <v>0</v>
      </c>
      <c r="Q41" s="27"/>
      <c r="R41" s="59">
        <v>1</v>
      </c>
      <c r="T41" s="59">
        <v>1</v>
      </c>
      <c r="U41" s="59">
        <v>2</v>
      </c>
      <c r="V41" s="59">
        <v>1</v>
      </c>
      <c r="W41" s="59">
        <v>1</v>
      </c>
      <c r="X41" s="59">
        <v>1</v>
      </c>
      <c r="Y41" s="59">
        <v>5</v>
      </c>
      <c r="Z41" s="59">
        <v>2</v>
      </c>
      <c r="AA41" s="27"/>
      <c r="AB41" s="7">
        <v>14</v>
      </c>
      <c r="AC41" s="7">
        <v>10</v>
      </c>
      <c r="AD41" s="7">
        <v>0</v>
      </c>
      <c r="AE41" s="7">
        <v>2</v>
      </c>
      <c r="AF41" s="7">
        <v>1</v>
      </c>
      <c r="AH41" s="7">
        <v>0</v>
      </c>
      <c r="AI41" s="27"/>
      <c r="AQ41" s="27"/>
      <c r="AR41" s="8">
        <v>36</v>
      </c>
      <c r="AS41" s="8">
        <v>23</v>
      </c>
      <c r="AT41" s="8">
        <v>3</v>
      </c>
      <c r="AU41" s="8">
        <v>6</v>
      </c>
      <c r="AV41" s="8">
        <v>15</v>
      </c>
      <c r="AW41" s="8">
        <v>66</v>
      </c>
      <c r="AX41" s="8">
        <v>83</v>
      </c>
      <c r="AY41" s="8">
        <v>21</v>
      </c>
      <c r="AZ41" s="8">
        <v>54</v>
      </c>
      <c r="BA41" s="8">
        <v>41</v>
      </c>
      <c r="BB41" s="8">
        <v>11</v>
      </c>
      <c r="BC41" s="8">
        <v>39</v>
      </c>
      <c r="BD41" s="8">
        <v>34</v>
      </c>
      <c r="BE41" s="8">
        <v>8</v>
      </c>
      <c r="BF41" s="8">
        <v>22</v>
      </c>
      <c r="BG41" s="8">
        <v>16</v>
      </c>
      <c r="BH41" s="8">
        <v>19</v>
      </c>
      <c r="BI41" s="27"/>
      <c r="BJ41" s="7">
        <v>0</v>
      </c>
      <c r="BK41" s="7">
        <v>5</v>
      </c>
      <c r="BL41" s="7">
        <v>8</v>
      </c>
      <c r="BM41" s="7">
        <v>5</v>
      </c>
      <c r="BN41" s="7">
        <v>2</v>
      </c>
      <c r="BO41" s="7">
        <v>1</v>
      </c>
      <c r="BP41" s="7">
        <v>6</v>
      </c>
      <c r="BQ41" s="7">
        <v>1</v>
      </c>
      <c r="BR41" s="7">
        <v>1</v>
      </c>
      <c r="BS41" s="27"/>
      <c r="BT41" s="7">
        <v>27</v>
      </c>
      <c r="BU41" s="7">
        <v>7</v>
      </c>
      <c r="BV41" s="27"/>
      <c r="BW41" s="7">
        <v>7</v>
      </c>
      <c r="BX41" s="7">
        <v>2</v>
      </c>
      <c r="BY41" s="7">
        <v>0</v>
      </c>
      <c r="BZ41" s="7">
        <v>0</v>
      </c>
      <c r="CA41" s="7">
        <v>2</v>
      </c>
      <c r="CB41" s="15" t="s">
        <v>350</v>
      </c>
      <c r="CC41" s="7">
        <v>0</v>
      </c>
      <c r="CE41" s="27"/>
      <c r="CF41" s="8">
        <v>1</v>
      </c>
      <c r="CG41" s="7">
        <v>254</v>
      </c>
      <c r="CI41" s="7">
        <v>2</v>
      </c>
      <c r="CJ41" s="7">
        <v>10</v>
      </c>
      <c r="CK41" s="7">
        <v>18983</v>
      </c>
      <c r="CL41" s="7">
        <v>11</v>
      </c>
      <c r="CM41" s="7">
        <v>11252</v>
      </c>
      <c r="CN41" s="7">
        <v>7</v>
      </c>
      <c r="CO41" s="7">
        <v>4</v>
      </c>
      <c r="CP41" s="7">
        <v>2885</v>
      </c>
      <c r="CQ41" s="8">
        <v>1</v>
      </c>
      <c r="CR41" s="8">
        <v>1007</v>
      </c>
      <c r="CS41" s="27"/>
    </row>
    <row r="42" spans="2:130" s="8" customFormat="1" x14ac:dyDescent="0.2">
      <c r="B42" s="7" t="s">
        <v>82</v>
      </c>
      <c r="C42" s="7">
        <v>0</v>
      </c>
      <c r="D42" s="7">
        <v>19</v>
      </c>
      <c r="E42" s="7">
        <v>218</v>
      </c>
      <c r="F42" s="7">
        <v>5</v>
      </c>
      <c r="G42" s="27"/>
      <c r="H42" s="59">
        <v>0</v>
      </c>
      <c r="I42" s="59">
        <v>2</v>
      </c>
      <c r="J42" s="59">
        <v>0</v>
      </c>
      <c r="K42" s="59">
        <v>3</v>
      </c>
      <c r="L42" s="59">
        <v>0</v>
      </c>
      <c r="M42" s="59">
        <v>1</v>
      </c>
      <c r="N42" s="59">
        <v>0</v>
      </c>
      <c r="O42" s="59">
        <v>0</v>
      </c>
      <c r="P42" s="59">
        <v>0</v>
      </c>
      <c r="Q42" s="27"/>
      <c r="R42" s="59">
        <v>1</v>
      </c>
      <c r="S42" s="59"/>
      <c r="T42" s="59">
        <v>1</v>
      </c>
      <c r="U42" s="59">
        <v>1</v>
      </c>
      <c r="V42" s="59">
        <v>1</v>
      </c>
      <c r="W42" s="59">
        <v>1</v>
      </c>
      <c r="X42" s="59">
        <v>1</v>
      </c>
      <c r="Y42" s="59">
        <v>2</v>
      </c>
      <c r="Z42" s="59">
        <v>1</v>
      </c>
      <c r="AA42" s="27"/>
      <c r="AB42" s="7">
        <v>4</v>
      </c>
      <c r="AC42" s="7">
        <v>0</v>
      </c>
      <c r="AD42" s="7">
        <v>0</v>
      </c>
      <c r="AE42" s="7">
        <v>0</v>
      </c>
      <c r="AF42" s="7">
        <v>1</v>
      </c>
      <c r="AG42" s="7"/>
      <c r="AH42" s="7">
        <v>0</v>
      </c>
      <c r="AI42" s="27"/>
      <c r="AJ42" s="7"/>
      <c r="AK42" s="7"/>
      <c r="AL42" s="7"/>
      <c r="AM42" s="7"/>
      <c r="AN42" s="7"/>
      <c r="AO42" s="7"/>
      <c r="AP42" s="7"/>
      <c r="AQ42" s="27"/>
      <c r="AR42" s="7">
        <v>8</v>
      </c>
      <c r="AS42" s="7">
        <v>4</v>
      </c>
      <c r="AT42" s="7">
        <v>0</v>
      </c>
      <c r="AU42" s="7">
        <v>0</v>
      </c>
      <c r="AV42" s="7">
        <v>3</v>
      </c>
      <c r="AW42" s="7">
        <v>41</v>
      </c>
      <c r="AX42" s="7">
        <v>65</v>
      </c>
      <c r="AY42" s="7">
        <v>8</v>
      </c>
      <c r="AZ42" s="7">
        <v>31</v>
      </c>
      <c r="BA42" s="7">
        <v>11</v>
      </c>
      <c r="BB42" s="7">
        <v>4</v>
      </c>
      <c r="BC42" s="7">
        <v>15</v>
      </c>
      <c r="BD42" s="7">
        <v>13</v>
      </c>
      <c r="BE42" s="7">
        <v>19</v>
      </c>
      <c r="BF42" s="7">
        <v>28</v>
      </c>
      <c r="BG42" s="7">
        <v>4</v>
      </c>
      <c r="BH42" s="7">
        <v>8</v>
      </c>
      <c r="BI42" s="27"/>
      <c r="BJ42" s="7">
        <v>0</v>
      </c>
      <c r="BK42" s="7">
        <v>1</v>
      </c>
      <c r="BL42" s="7">
        <v>0</v>
      </c>
      <c r="BM42" s="7">
        <v>0</v>
      </c>
      <c r="BN42" s="7">
        <v>0</v>
      </c>
      <c r="BO42" s="7">
        <v>3</v>
      </c>
      <c r="BP42" s="7">
        <v>1</v>
      </c>
      <c r="BQ42" s="7">
        <v>2</v>
      </c>
      <c r="BR42" s="7">
        <v>0</v>
      </c>
      <c r="BS42" s="27"/>
      <c r="BT42" s="7">
        <v>5</v>
      </c>
      <c r="BU42" s="7">
        <v>3</v>
      </c>
      <c r="BV42" s="27"/>
      <c r="BW42" s="7">
        <v>1</v>
      </c>
      <c r="BX42" s="7">
        <v>0</v>
      </c>
      <c r="BY42" s="7">
        <v>0</v>
      </c>
      <c r="BZ42" s="7">
        <v>0</v>
      </c>
      <c r="CA42" s="7">
        <v>0</v>
      </c>
      <c r="CB42" s="15"/>
      <c r="CC42" s="7">
        <v>0</v>
      </c>
      <c r="CD42" s="7"/>
      <c r="CE42" s="27"/>
      <c r="CF42" s="11">
        <v>1</v>
      </c>
      <c r="CG42" s="7">
        <v>28</v>
      </c>
      <c r="CH42" s="7"/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11">
        <v>0</v>
      </c>
      <c r="CP42" s="11">
        <v>0</v>
      </c>
      <c r="CQ42" s="11">
        <v>0</v>
      </c>
      <c r="CR42" s="11">
        <v>0</v>
      </c>
      <c r="CS42" s="2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</row>
    <row r="43" spans="2:130" s="9" customFormat="1" x14ac:dyDescent="0.2">
      <c r="B43" s="8" t="s">
        <v>83</v>
      </c>
      <c r="C43" s="8">
        <v>16</v>
      </c>
      <c r="D43" s="7">
        <v>402</v>
      </c>
      <c r="E43" s="7">
        <v>1044</v>
      </c>
      <c r="F43" s="7">
        <v>56</v>
      </c>
      <c r="G43" s="27"/>
      <c r="H43" s="59">
        <v>19</v>
      </c>
      <c r="I43" s="59">
        <v>8</v>
      </c>
      <c r="J43" s="59">
        <v>8</v>
      </c>
      <c r="K43" s="59">
        <v>16</v>
      </c>
      <c r="L43" s="59">
        <v>3</v>
      </c>
      <c r="M43" s="59">
        <v>0</v>
      </c>
      <c r="N43" s="59">
        <v>1</v>
      </c>
      <c r="O43" s="59">
        <v>0</v>
      </c>
      <c r="P43" s="59">
        <v>0</v>
      </c>
      <c r="Q43" s="27"/>
      <c r="R43" s="59">
        <v>0</v>
      </c>
      <c r="S43" s="59"/>
      <c r="T43" s="59">
        <v>1</v>
      </c>
      <c r="U43" s="59">
        <v>0</v>
      </c>
      <c r="V43" s="59">
        <v>1</v>
      </c>
      <c r="W43" s="59">
        <v>1</v>
      </c>
      <c r="X43" s="59">
        <v>1</v>
      </c>
      <c r="Y43" s="59">
        <v>3</v>
      </c>
      <c r="Z43" s="59">
        <v>2</v>
      </c>
      <c r="AA43" s="27"/>
      <c r="AB43" s="7">
        <v>34</v>
      </c>
      <c r="AC43" s="7">
        <v>17</v>
      </c>
      <c r="AD43" s="7">
        <v>1</v>
      </c>
      <c r="AE43" s="7">
        <v>2</v>
      </c>
      <c r="AF43" s="7">
        <v>2</v>
      </c>
      <c r="AG43" s="7"/>
      <c r="AH43" s="7">
        <v>3</v>
      </c>
      <c r="AI43" s="27"/>
      <c r="AJ43" s="7"/>
      <c r="AK43" s="7"/>
      <c r="AL43" s="7"/>
      <c r="AM43" s="7"/>
      <c r="AN43" s="7"/>
      <c r="AO43" s="7"/>
      <c r="AP43" s="7"/>
      <c r="AQ43" s="27"/>
      <c r="AR43" s="7">
        <v>95</v>
      </c>
      <c r="AS43" s="7">
        <v>47</v>
      </c>
      <c r="AT43" s="7">
        <v>7</v>
      </c>
      <c r="AU43" s="7">
        <v>23</v>
      </c>
      <c r="AV43" s="7">
        <v>79</v>
      </c>
      <c r="AW43" s="7">
        <v>217</v>
      </c>
      <c r="AX43" s="7">
        <v>212</v>
      </c>
      <c r="AY43" s="7">
        <v>23</v>
      </c>
      <c r="AZ43" s="7">
        <v>98</v>
      </c>
      <c r="BA43" s="7">
        <v>61</v>
      </c>
      <c r="BB43" s="7">
        <v>16</v>
      </c>
      <c r="BC43" s="7">
        <v>84</v>
      </c>
      <c r="BD43" s="7">
        <v>78</v>
      </c>
      <c r="BE43" s="7">
        <v>43</v>
      </c>
      <c r="BF43" s="7">
        <v>86</v>
      </c>
      <c r="BG43" s="7">
        <v>20</v>
      </c>
      <c r="BH43" s="7">
        <v>33</v>
      </c>
      <c r="BI43" s="27"/>
      <c r="BJ43" s="7">
        <v>1</v>
      </c>
      <c r="BK43" s="7">
        <v>4</v>
      </c>
      <c r="BL43" s="7">
        <v>26</v>
      </c>
      <c r="BM43" s="7">
        <v>8</v>
      </c>
      <c r="BN43" s="7">
        <v>2</v>
      </c>
      <c r="BO43" s="7">
        <v>2</v>
      </c>
      <c r="BP43" s="7">
        <v>13</v>
      </c>
      <c r="BQ43" s="7">
        <v>1</v>
      </c>
      <c r="BR43" s="7">
        <v>0</v>
      </c>
      <c r="BS43" s="27"/>
      <c r="BT43" s="7">
        <v>56</v>
      </c>
      <c r="BU43" s="7">
        <v>21</v>
      </c>
      <c r="BV43" s="27"/>
      <c r="BW43" s="7">
        <v>13</v>
      </c>
      <c r="BX43" s="7">
        <v>5</v>
      </c>
      <c r="BY43" s="7">
        <v>0</v>
      </c>
      <c r="BZ43" s="7">
        <v>0</v>
      </c>
      <c r="CA43" s="7">
        <v>5</v>
      </c>
      <c r="CB43" s="15" t="s">
        <v>351</v>
      </c>
      <c r="CC43" s="7">
        <v>2</v>
      </c>
      <c r="CD43" s="85" t="s">
        <v>352</v>
      </c>
      <c r="CE43" s="27"/>
      <c r="CF43" s="8">
        <v>4</v>
      </c>
      <c r="CG43" s="7">
        <v>693</v>
      </c>
      <c r="CH43" s="7"/>
      <c r="CI43" s="7">
        <v>2</v>
      </c>
      <c r="CJ43" s="7">
        <v>43</v>
      </c>
      <c r="CK43" s="7">
        <v>108411</v>
      </c>
      <c r="CL43" s="7">
        <v>57</v>
      </c>
      <c r="CM43" s="7">
        <v>108299</v>
      </c>
      <c r="CN43" s="7">
        <v>16</v>
      </c>
      <c r="CO43" s="7">
        <v>25</v>
      </c>
      <c r="CP43" s="7">
        <v>75061</v>
      </c>
      <c r="CQ43" s="8">
        <v>5</v>
      </c>
      <c r="CR43" s="8">
        <v>649</v>
      </c>
      <c r="CS43" s="2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</row>
    <row r="44" spans="2:130" s="8" customFormat="1" x14ac:dyDescent="0.2">
      <c r="B44" s="8" t="s">
        <v>84</v>
      </c>
      <c r="C44" s="8">
        <v>23</v>
      </c>
      <c r="D44" s="7">
        <v>972</v>
      </c>
      <c r="E44" s="7">
        <v>2401</v>
      </c>
      <c r="F44" s="7">
        <v>92</v>
      </c>
      <c r="G44" s="27"/>
      <c r="H44" s="59">
        <v>7</v>
      </c>
      <c r="I44" s="59">
        <v>4</v>
      </c>
      <c r="J44" s="59">
        <v>32</v>
      </c>
      <c r="K44" s="59">
        <v>36</v>
      </c>
      <c r="L44" s="59">
        <v>13</v>
      </c>
      <c r="M44" s="59">
        <v>0</v>
      </c>
      <c r="N44" s="59">
        <v>0</v>
      </c>
      <c r="O44" s="59">
        <v>0</v>
      </c>
      <c r="P44" s="59">
        <v>0</v>
      </c>
      <c r="Q44" s="27"/>
      <c r="R44" s="59">
        <v>1</v>
      </c>
      <c r="S44" s="59"/>
      <c r="T44" s="59">
        <v>2</v>
      </c>
      <c r="U44" s="59">
        <v>1</v>
      </c>
      <c r="V44" s="59">
        <v>3</v>
      </c>
      <c r="W44" s="59">
        <v>3</v>
      </c>
      <c r="X44" s="59">
        <v>4</v>
      </c>
      <c r="Y44" s="59">
        <v>12</v>
      </c>
      <c r="Z44" s="59">
        <v>8</v>
      </c>
      <c r="AA44" s="27"/>
      <c r="AB44" s="7">
        <v>76</v>
      </c>
      <c r="AC44" s="7">
        <v>12</v>
      </c>
      <c r="AD44" s="7">
        <v>0</v>
      </c>
      <c r="AE44" s="7">
        <v>0</v>
      </c>
      <c r="AF44" s="7">
        <v>4</v>
      </c>
      <c r="AG44" s="7">
        <v>0</v>
      </c>
      <c r="AH44" s="7">
        <v>3</v>
      </c>
      <c r="AI44" s="27"/>
      <c r="AJ44" s="7">
        <v>0</v>
      </c>
      <c r="AK44" s="7">
        <v>19</v>
      </c>
      <c r="AL44" s="7">
        <v>3</v>
      </c>
      <c r="AM44" s="7">
        <v>1</v>
      </c>
      <c r="AN44" s="7">
        <v>1</v>
      </c>
      <c r="AO44" s="7">
        <v>1</v>
      </c>
      <c r="AP44" s="7">
        <v>0</v>
      </c>
      <c r="AQ44" s="27"/>
      <c r="AR44" s="7">
        <v>153</v>
      </c>
      <c r="AS44" s="7">
        <v>149</v>
      </c>
      <c r="AT44" s="7">
        <v>9</v>
      </c>
      <c r="AU44" s="7">
        <v>78</v>
      </c>
      <c r="AV44" s="7">
        <v>84</v>
      </c>
      <c r="AW44" s="7">
        <v>290</v>
      </c>
      <c r="AX44" s="7">
        <v>466</v>
      </c>
      <c r="AY44" s="7">
        <v>111</v>
      </c>
      <c r="AZ44" s="7">
        <v>330</v>
      </c>
      <c r="BA44" s="7">
        <v>227</v>
      </c>
      <c r="BB44" s="7">
        <v>66</v>
      </c>
      <c r="BC44" s="7">
        <v>185</v>
      </c>
      <c r="BD44" s="7">
        <v>223</v>
      </c>
      <c r="BE44" s="7">
        <v>117</v>
      </c>
      <c r="BF44" s="7">
        <v>154</v>
      </c>
      <c r="BG44" s="7">
        <v>92</v>
      </c>
      <c r="BH44" s="7">
        <v>106</v>
      </c>
      <c r="BI44" s="27"/>
      <c r="BJ44" s="7">
        <v>1</v>
      </c>
      <c r="BK44" s="7">
        <v>26</v>
      </c>
      <c r="BL44" s="7">
        <v>29</v>
      </c>
      <c r="BM44" s="7">
        <v>17</v>
      </c>
      <c r="BN44" s="7">
        <v>7</v>
      </c>
      <c r="BO44" s="7">
        <v>3</v>
      </c>
      <c r="BP44" s="7">
        <v>10</v>
      </c>
      <c r="BQ44" s="7">
        <v>3</v>
      </c>
      <c r="BR44" s="7">
        <v>3</v>
      </c>
      <c r="BS44" s="27"/>
      <c r="BT44" s="7">
        <v>92</v>
      </c>
      <c r="BU44" s="7">
        <v>42</v>
      </c>
      <c r="BV44" s="27"/>
      <c r="BW44" s="7">
        <v>24</v>
      </c>
      <c r="BX44" s="7">
        <v>9</v>
      </c>
      <c r="BY44" s="7">
        <v>1</v>
      </c>
      <c r="BZ44" s="7">
        <v>2</v>
      </c>
      <c r="CA44" s="7">
        <v>2</v>
      </c>
      <c r="CB44" s="88" t="s">
        <v>369</v>
      </c>
      <c r="CC44" s="7">
        <v>3</v>
      </c>
      <c r="CD44" s="95" t="s">
        <v>353</v>
      </c>
      <c r="CE44" s="27"/>
      <c r="CF44" s="7">
        <v>6</v>
      </c>
      <c r="CG44" s="7">
        <v>1716</v>
      </c>
      <c r="CH44" s="7">
        <v>4</v>
      </c>
      <c r="CI44" s="7">
        <v>6</v>
      </c>
      <c r="CJ44" s="7">
        <v>117</v>
      </c>
      <c r="CK44" s="7">
        <v>635970</v>
      </c>
      <c r="CL44" s="7">
        <v>150</v>
      </c>
      <c r="CM44" s="7">
        <v>796973</v>
      </c>
      <c r="CN44" s="7">
        <v>23</v>
      </c>
      <c r="CO44" s="31">
        <v>74</v>
      </c>
      <c r="CP44" s="7">
        <v>552969</v>
      </c>
      <c r="CQ44" s="7">
        <v>0</v>
      </c>
      <c r="CR44" s="7">
        <v>0</v>
      </c>
      <c r="CS44" s="2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</row>
    <row r="45" spans="2:130" x14ac:dyDescent="0.2">
      <c r="B45" s="7" t="s">
        <v>85</v>
      </c>
      <c r="C45" s="7">
        <v>2</v>
      </c>
      <c r="D45" s="7">
        <v>49</v>
      </c>
      <c r="E45" s="7">
        <v>128</v>
      </c>
      <c r="F45" s="7">
        <v>6</v>
      </c>
      <c r="G45" s="27"/>
      <c r="H45" s="59">
        <v>0</v>
      </c>
      <c r="I45" s="59">
        <v>1</v>
      </c>
      <c r="J45" s="59">
        <v>3</v>
      </c>
      <c r="K45" s="59">
        <v>2</v>
      </c>
      <c r="L45" s="59">
        <v>0</v>
      </c>
      <c r="M45" s="59">
        <v>0</v>
      </c>
      <c r="N45" s="59">
        <v>0</v>
      </c>
      <c r="O45" s="59">
        <v>0</v>
      </c>
      <c r="P45" s="59">
        <v>0</v>
      </c>
      <c r="Q45" s="27"/>
      <c r="R45" s="59">
        <v>0</v>
      </c>
      <c r="T45" s="59">
        <v>0</v>
      </c>
      <c r="U45" s="59">
        <v>0</v>
      </c>
      <c r="V45" s="59">
        <v>0</v>
      </c>
      <c r="W45" s="59">
        <v>0</v>
      </c>
      <c r="X45" s="59">
        <v>0</v>
      </c>
      <c r="Y45" s="59">
        <v>3</v>
      </c>
      <c r="Z45" s="59">
        <v>0</v>
      </c>
      <c r="AA45" s="27"/>
      <c r="AB45" s="7">
        <v>6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27"/>
      <c r="AJ45" s="7">
        <v>3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27"/>
      <c r="AR45" s="7">
        <v>11</v>
      </c>
      <c r="AS45" s="7">
        <v>2</v>
      </c>
      <c r="AT45" s="7">
        <v>2</v>
      </c>
      <c r="AU45" s="7">
        <v>5</v>
      </c>
      <c r="AV45" s="7">
        <v>4</v>
      </c>
      <c r="AW45" s="7">
        <v>17</v>
      </c>
      <c r="AX45" s="7">
        <v>19</v>
      </c>
      <c r="AY45" s="7">
        <v>5</v>
      </c>
      <c r="AZ45" s="7">
        <v>18</v>
      </c>
      <c r="BA45" s="7">
        <v>12</v>
      </c>
      <c r="BB45" s="7">
        <v>9</v>
      </c>
      <c r="BC45" s="7">
        <v>7</v>
      </c>
      <c r="BD45" s="7">
        <v>15</v>
      </c>
      <c r="BE45" s="7">
        <v>6</v>
      </c>
      <c r="BF45" s="7">
        <v>7</v>
      </c>
      <c r="BG45" s="7">
        <v>2</v>
      </c>
      <c r="BH45" s="7">
        <v>4</v>
      </c>
      <c r="BI45" s="27"/>
      <c r="BJ45" s="7">
        <v>0</v>
      </c>
      <c r="BK45" s="7">
        <v>0</v>
      </c>
      <c r="BL45" s="7">
        <v>5</v>
      </c>
      <c r="BM45" s="7">
        <v>0</v>
      </c>
      <c r="BN45" s="7">
        <v>0</v>
      </c>
      <c r="BO45" s="7">
        <v>0</v>
      </c>
      <c r="BP45" s="7">
        <v>1</v>
      </c>
      <c r="BQ45" s="7">
        <v>0</v>
      </c>
      <c r="BR45" s="7">
        <v>0</v>
      </c>
      <c r="BS45" s="27"/>
      <c r="BT45" s="7">
        <v>6</v>
      </c>
      <c r="BU45" s="7">
        <v>3</v>
      </c>
      <c r="BV45" s="27"/>
      <c r="BW45" s="7">
        <v>3</v>
      </c>
      <c r="BX45" s="7">
        <v>0</v>
      </c>
      <c r="BY45" s="7">
        <v>0</v>
      </c>
      <c r="BZ45" s="7">
        <v>0</v>
      </c>
      <c r="CA45" s="7">
        <v>0</v>
      </c>
      <c r="CC45" s="7">
        <v>0</v>
      </c>
      <c r="CE45" s="27"/>
      <c r="CF45" s="8">
        <v>0</v>
      </c>
      <c r="CG45" s="7">
        <v>86</v>
      </c>
      <c r="CH45" s="7">
        <v>0</v>
      </c>
      <c r="CI45" s="7">
        <v>0</v>
      </c>
      <c r="CJ45" s="7">
        <v>1</v>
      </c>
      <c r="CK45" s="7">
        <v>361</v>
      </c>
      <c r="CL45" s="7">
        <v>0</v>
      </c>
      <c r="CM45" s="7">
        <v>0</v>
      </c>
      <c r="CN45" s="7">
        <v>1</v>
      </c>
      <c r="CO45" s="8">
        <v>0</v>
      </c>
      <c r="CP45" s="8">
        <v>0</v>
      </c>
      <c r="CQ45" s="8">
        <v>0</v>
      </c>
      <c r="CR45" s="8">
        <v>0</v>
      </c>
      <c r="CS45" s="27"/>
    </row>
    <row r="46" spans="2:130" s="8" customFormat="1" x14ac:dyDescent="0.2">
      <c r="B46" s="8" t="s">
        <v>86</v>
      </c>
      <c r="C46" s="75">
        <v>34</v>
      </c>
      <c r="D46" s="7">
        <v>821</v>
      </c>
      <c r="E46" s="7">
        <v>2131</v>
      </c>
      <c r="F46" s="7">
        <v>79</v>
      </c>
      <c r="G46" s="27"/>
      <c r="H46" s="59">
        <v>12</v>
      </c>
      <c r="I46" s="59">
        <v>5</v>
      </c>
      <c r="J46" s="59">
        <v>22</v>
      </c>
      <c r="K46" s="59">
        <v>27</v>
      </c>
      <c r="L46" s="59">
        <v>7</v>
      </c>
      <c r="M46" s="59">
        <v>4</v>
      </c>
      <c r="N46" s="59">
        <v>0</v>
      </c>
      <c r="O46" s="59">
        <v>0</v>
      </c>
      <c r="P46" s="59">
        <v>1</v>
      </c>
      <c r="Q46" s="27"/>
      <c r="R46" s="59">
        <v>3</v>
      </c>
      <c r="S46" s="59"/>
      <c r="T46" s="59">
        <v>3</v>
      </c>
      <c r="U46" s="59">
        <v>1</v>
      </c>
      <c r="V46" s="59">
        <v>1</v>
      </c>
      <c r="W46" s="59">
        <v>1</v>
      </c>
      <c r="X46" s="59">
        <v>4</v>
      </c>
      <c r="Y46" s="59">
        <v>18</v>
      </c>
      <c r="Z46" s="59">
        <v>5</v>
      </c>
      <c r="AA46" s="27"/>
      <c r="AB46" s="7">
        <v>65</v>
      </c>
      <c r="AC46" s="7">
        <v>9</v>
      </c>
      <c r="AD46" s="7">
        <v>0</v>
      </c>
      <c r="AE46" s="7">
        <v>1</v>
      </c>
      <c r="AF46" s="7">
        <v>4</v>
      </c>
      <c r="AG46" s="7">
        <v>0</v>
      </c>
      <c r="AH46" s="7">
        <v>6</v>
      </c>
      <c r="AI46" s="27"/>
      <c r="AJ46" s="7">
        <v>0</v>
      </c>
      <c r="AK46" s="7">
        <v>28</v>
      </c>
      <c r="AL46" s="7">
        <v>1</v>
      </c>
      <c r="AM46" s="7">
        <v>1</v>
      </c>
      <c r="AN46" s="7">
        <v>0</v>
      </c>
      <c r="AO46" s="7">
        <v>0</v>
      </c>
      <c r="AP46" s="7">
        <v>4</v>
      </c>
      <c r="AQ46" s="27"/>
      <c r="AR46" s="7">
        <v>136</v>
      </c>
      <c r="AS46" s="7">
        <v>99</v>
      </c>
      <c r="AT46" s="7">
        <v>13</v>
      </c>
      <c r="AU46" s="7">
        <v>45</v>
      </c>
      <c r="AV46" s="7">
        <v>87</v>
      </c>
      <c r="AW46" s="7">
        <v>285</v>
      </c>
      <c r="AX46" s="7">
        <v>468</v>
      </c>
      <c r="AY46" s="7">
        <v>86</v>
      </c>
      <c r="AZ46" s="7">
        <v>300</v>
      </c>
      <c r="BA46" s="7">
        <v>184</v>
      </c>
      <c r="BB46" s="7">
        <v>51</v>
      </c>
      <c r="BC46" s="7">
        <v>234</v>
      </c>
      <c r="BD46" s="7">
        <v>162</v>
      </c>
      <c r="BE46" s="7">
        <v>113</v>
      </c>
      <c r="BF46" s="7">
        <v>148</v>
      </c>
      <c r="BG46" s="7">
        <v>64</v>
      </c>
      <c r="BH46" s="7">
        <v>87</v>
      </c>
      <c r="BI46" s="27"/>
      <c r="BJ46" s="7">
        <v>7</v>
      </c>
      <c r="BK46" s="7">
        <v>17</v>
      </c>
      <c r="BL46" s="7">
        <v>18</v>
      </c>
      <c r="BM46" s="7">
        <v>24</v>
      </c>
      <c r="BN46" s="7">
        <v>6</v>
      </c>
      <c r="BO46" s="7">
        <v>1</v>
      </c>
      <c r="BP46" s="7">
        <v>16</v>
      </c>
      <c r="BQ46" s="7">
        <v>1</v>
      </c>
      <c r="BR46" s="7">
        <v>2</v>
      </c>
      <c r="BS46" s="27"/>
      <c r="BT46" s="7">
        <v>79</v>
      </c>
      <c r="BU46" s="7">
        <v>33</v>
      </c>
      <c r="BV46" s="27"/>
      <c r="BW46" s="7">
        <v>14</v>
      </c>
      <c r="BX46" s="7">
        <v>9</v>
      </c>
      <c r="BY46" s="7">
        <v>0</v>
      </c>
      <c r="BZ46" s="7">
        <v>0</v>
      </c>
      <c r="CA46" s="7">
        <v>2</v>
      </c>
      <c r="CB46" s="15" t="s">
        <v>354</v>
      </c>
      <c r="CC46" s="7">
        <v>1</v>
      </c>
      <c r="CD46" s="85" t="s">
        <v>285</v>
      </c>
      <c r="CE46" s="27"/>
      <c r="CF46" s="11">
        <v>2</v>
      </c>
      <c r="CG46" s="7">
        <v>1475</v>
      </c>
      <c r="CH46" s="7">
        <v>0</v>
      </c>
      <c r="CI46" s="7">
        <v>2</v>
      </c>
      <c r="CJ46" s="7">
        <v>54</v>
      </c>
      <c r="CK46" s="7">
        <v>53389</v>
      </c>
      <c r="CL46" s="7">
        <v>73</v>
      </c>
      <c r="CM46" s="7">
        <v>162066</v>
      </c>
      <c r="CN46" s="7">
        <v>8</v>
      </c>
      <c r="CO46" s="7">
        <v>33</v>
      </c>
      <c r="CP46" s="7">
        <v>31216</v>
      </c>
      <c r="CQ46" s="11">
        <v>0</v>
      </c>
      <c r="CR46" s="11">
        <v>0</v>
      </c>
      <c r="CS46" s="2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</row>
    <row r="47" spans="2:130" x14ac:dyDescent="0.2">
      <c r="B47" s="7" t="s">
        <v>87</v>
      </c>
      <c r="C47" s="8">
        <v>16</v>
      </c>
      <c r="D47" s="7">
        <v>497</v>
      </c>
      <c r="E47" s="7">
        <v>1076</v>
      </c>
      <c r="F47" s="7">
        <v>40</v>
      </c>
      <c r="G47" s="27"/>
      <c r="H47" s="59">
        <v>5</v>
      </c>
      <c r="I47" s="59">
        <v>6</v>
      </c>
      <c r="J47" s="59">
        <v>9</v>
      </c>
      <c r="K47" s="59">
        <v>19</v>
      </c>
      <c r="L47" s="59">
        <v>4</v>
      </c>
      <c r="M47" s="59">
        <v>0</v>
      </c>
      <c r="N47" s="59">
        <v>0</v>
      </c>
      <c r="O47" s="59">
        <v>0</v>
      </c>
      <c r="P47" s="59">
        <v>0</v>
      </c>
      <c r="Q47" s="27"/>
      <c r="R47" s="59">
        <v>2</v>
      </c>
      <c r="T47" s="59">
        <v>3</v>
      </c>
      <c r="U47" s="59">
        <v>1</v>
      </c>
      <c r="V47" s="59">
        <v>1</v>
      </c>
      <c r="W47" s="59">
        <v>2</v>
      </c>
      <c r="X47" s="59">
        <v>2</v>
      </c>
      <c r="Y47" s="59">
        <v>5</v>
      </c>
      <c r="Z47" s="59">
        <v>0</v>
      </c>
      <c r="AA47" s="27"/>
      <c r="AB47" s="7">
        <v>41</v>
      </c>
      <c r="AC47" s="7">
        <v>1</v>
      </c>
      <c r="AD47" s="7">
        <v>0</v>
      </c>
      <c r="AE47" s="7">
        <v>0</v>
      </c>
      <c r="AF47" s="7">
        <v>2</v>
      </c>
      <c r="AH47" s="7">
        <v>5</v>
      </c>
      <c r="AI47" s="27"/>
      <c r="AQ47" s="27"/>
      <c r="AR47" s="8">
        <v>73</v>
      </c>
      <c r="AS47" s="8">
        <v>82</v>
      </c>
      <c r="AT47" s="8">
        <v>5</v>
      </c>
      <c r="AU47" s="8">
        <v>33</v>
      </c>
      <c r="AV47" s="8">
        <v>38</v>
      </c>
      <c r="AW47" s="8">
        <v>115</v>
      </c>
      <c r="AX47" s="8">
        <v>196</v>
      </c>
      <c r="AY47" s="8">
        <v>29</v>
      </c>
      <c r="AZ47" s="8">
        <v>175</v>
      </c>
      <c r="BA47" s="8">
        <v>121</v>
      </c>
      <c r="BB47" s="8">
        <v>32</v>
      </c>
      <c r="BC47" s="8">
        <v>103</v>
      </c>
      <c r="BD47" s="8">
        <v>104</v>
      </c>
      <c r="BE47" s="8">
        <v>38</v>
      </c>
      <c r="BF47" s="8">
        <v>71</v>
      </c>
      <c r="BG47" s="8">
        <v>20</v>
      </c>
      <c r="BH47" s="8">
        <v>50</v>
      </c>
      <c r="BI47" s="27"/>
      <c r="BJ47" s="7">
        <v>1</v>
      </c>
      <c r="BK47" s="7">
        <v>12</v>
      </c>
      <c r="BL47" s="7">
        <v>14</v>
      </c>
      <c r="BM47" s="7">
        <v>6</v>
      </c>
      <c r="BN47" s="7">
        <v>3</v>
      </c>
      <c r="BO47" s="7">
        <v>1</v>
      </c>
      <c r="BP47" s="7">
        <v>9</v>
      </c>
      <c r="BQ47" s="7">
        <v>2</v>
      </c>
      <c r="BR47" s="7">
        <v>0</v>
      </c>
      <c r="BS47" s="27"/>
      <c r="BT47" s="7">
        <v>47</v>
      </c>
      <c r="BU47" s="7">
        <v>16</v>
      </c>
      <c r="BV47" s="27"/>
      <c r="BW47" s="7">
        <v>9</v>
      </c>
      <c r="BX47" s="7">
        <v>3</v>
      </c>
      <c r="BY47" s="7">
        <v>1</v>
      </c>
      <c r="BZ47" s="7">
        <v>1</v>
      </c>
      <c r="CA47" s="7">
        <v>4</v>
      </c>
      <c r="CB47" s="88" t="s">
        <v>355</v>
      </c>
      <c r="CC47" s="7">
        <v>2</v>
      </c>
      <c r="CD47" s="96" t="s">
        <v>356</v>
      </c>
      <c r="CE47" s="27"/>
      <c r="CF47" s="8">
        <v>2</v>
      </c>
      <c r="CG47" s="8">
        <v>744</v>
      </c>
      <c r="CH47" s="8"/>
      <c r="CI47" s="8">
        <v>5</v>
      </c>
      <c r="CJ47" s="8">
        <v>85</v>
      </c>
      <c r="CK47" s="8">
        <v>136714</v>
      </c>
      <c r="CL47" s="8">
        <v>109</v>
      </c>
      <c r="CM47" s="8">
        <v>154634</v>
      </c>
      <c r="CN47" s="8">
        <v>2</v>
      </c>
      <c r="CO47" s="7">
        <v>33</v>
      </c>
      <c r="CP47" s="7">
        <v>70290</v>
      </c>
      <c r="CQ47" s="8">
        <v>0</v>
      </c>
      <c r="CR47" s="8">
        <v>0</v>
      </c>
      <c r="CS47" s="27"/>
    </row>
    <row r="48" spans="2:130" s="9" customFormat="1" x14ac:dyDescent="0.2">
      <c r="B48" s="7" t="s">
        <v>88</v>
      </c>
      <c r="C48" s="7">
        <v>18</v>
      </c>
      <c r="D48" s="7">
        <v>477</v>
      </c>
      <c r="E48" s="7">
        <v>1020</v>
      </c>
      <c r="F48" s="7">
        <v>44</v>
      </c>
      <c r="G48" s="27"/>
      <c r="H48" s="59">
        <v>0</v>
      </c>
      <c r="I48" s="59">
        <v>4</v>
      </c>
      <c r="J48" s="59">
        <v>18</v>
      </c>
      <c r="K48" s="59">
        <v>16</v>
      </c>
      <c r="L48" s="59">
        <v>4</v>
      </c>
      <c r="M48" s="59">
        <v>0</v>
      </c>
      <c r="N48" s="59">
        <v>0</v>
      </c>
      <c r="O48" s="59">
        <v>0</v>
      </c>
      <c r="P48" s="59">
        <v>0</v>
      </c>
      <c r="Q48" s="27"/>
      <c r="R48" s="59">
        <v>1</v>
      </c>
      <c r="S48" s="59">
        <v>0</v>
      </c>
      <c r="T48" s="59">
        <v>2</v>
      </c>
      <c r="U48" s="59">
        <v>1</v>
      </c>
      <c r="V48" s="59">
        <v>1</v>
      </c>
      <c r="W48" s="59">
        <v>2</v>
      </c>
      <c r="X48" s="59">
        <v>3</v>
      </c>
      <c r="Y48" s="59">
        <v>19</v>
      </c>
      <c r="Z48" s="59">
        <v>7</v>
      </c>
      <c r="AA48" s="27"/>
      <c r="AB48" s="7">
        <v>43</v>
      </c>
      <c r="AC48" s="7">
        <v>2</v>
      </c>
      <c r="AD48" s="7">
        <v>1</v>
      </c>
      <c r="AE48" s="7">
        <v>0</v>
      </c>
      <c r="AF48" s="7">
        <v>0</v>
      </c>
      <c r="AG48" s="7"/>
      <c r="AH48" s="7">
        <v>1</v>
      </c>
      <c r="AI48" s="27"/>
      <c r="AJ48" s="7"/>
      <c r="AK48" s="7"/>
      <c r="AL48" s="7"/>
      <c r="AM48" s="7"/>
      <c r="AN48" s="7"/>
      <c r="AO48" s="7"/>
      <c r="AP48" s="7"/>
      <c r="AQ48" s="27"/>
      <c r="AR48" s="7">
        <v>60</v>
      </c>
      <c r="AS48" s="7">
        <v>34</v>
      </c>
      <c r="AT48" s="7">
        <v>11</v>
      </c>
      <c r="AU48" s="7">
        <v>21</v>
      </c>
      <c r="AV48" s="7">
        <v>32</v>
      </c>
      <c r="AW48" s="7">
        <v>134</v>
      </c>
      <c r="AX48" s="7">
        <v>210</v>
      </c>
      <c r="AY48" s="7">
        <v>72</v>
      </c>
      <c r="AZ48" s="7">
        <v>148</v>
      </c>
      <c r="BA48" s="7">
        <v>116</v>
      </c>
      <c r="BB48" s="7">
        <v>33</v>
      </c>
      <c r="BC48" s="7">
        <v>118</v>
      </c>
      <c r="BD48" s="7">
        <v>87</v>
      </c>
      <c r="BE48" s="7">
        <v>37</v>
      </c>
      <c r="BF48" s="7">
        <v>72</v>
      </c>
      <c r="BG48" s="7">
        <v>38</v>
      </c>
      <c r="BH48" s="7">
        <v>58</v>
      </c>
      <c r="BI48" s="27"/>
      <c r="BJ48" s="7">
        <v>2</v>
      </c>
      <c r="BK48" s="7">
        <v>14</v>
      </c>
      <c r="BL48" s="7">
        <v>9</v>
      </c>
      <c r="BM48" s="7">
        <v>2</v>
      </c>
      <c r="BN48" s="7">
        <v>0</v>
      </c>
      <c r="BO48" s="7">
        <v>0</v>
      </c>
      <c r="BP48" s="7">
        <v>15</v>
      </c>
      <c r="BQ48" s="7">
        <v>0</v>
      </c>
      <c r="BR48" s="7">
        <v>0</v>
      </c>
      <c r="BS48" s="27"/>
      <c r="BT48" s="7">
        <v>44</v>
      </c>
      <c r="BU48" s="7">
        <v>15</v>
      </c>
      <c r="BV48" s="27"/>
      <c r="BW48" s="7">
        <v>7</v>
      </c>
      <c r="BX48" s="7">
        <v>2</v>
      </c>
      <c r="BY48" s="7">
        <v>0</v>
      </c>
      <c r="BZ48" s="7">
        <v>0</v>
      </c>
      <c r="CA48" s="7">
        <v>2</v>
      </c>
      <c r="CB48" s="15" t="s">
        <v>357</v>
      </c>
      <c r="CC48" s="7">
        <v>0</v>
      </c>
      <c r="CD48" s="7"/>
      <c r="CE48" s="27"/>
      <c r="CF48" s="11">
        <v>3</v>
      </c>
      <c r="CG48" s="7">
        <v>778</v>
      </c>
      <c r="CH48" s="7"/>
      <c r="CI48" s="7">
        <v>1</v>
      </c>
      <c r="CJ48" s="7">
        <v>36</v>
      </c>
      <c r="CK48" s="7">
        <v>31396</v>
      </c>
      <c r="CL48" s="7">
        <v>60</v>
      </c>
      <c r="CM48" s="7">
        <v>54990</v>
      </c>
      <c r="CN48" s="7">
        <v>3</v>
      </c>
      <c r="CO48" s="7">
        <v>20</v>
      </c>
      <c r="CP48" s="7">
        <v>13219</v>
      </c>
      <c r="CQ48" s="11">
        <v>0</v>
      </c>
      <c r="CR48" s="11">
        <v>0</v>
      </c>
      <c r="CS48" s="2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8"/>
      <c r="DY48" s="8"/>
      <c r="DZ48" s="8"/>
    </row>
    <row r="49" spans="2:130" s="9" customFormat="1" x14ac:dyDescent="0.2">
      <c r="B49" s="8" t="s">
        <v>89</v>
      </c>
      <c r="C49" s="8">
        <v>14</v>
      </c>
      <c r="D49" s="7">
        <v>584</v>
      </c>
      <c r="E49" s="7">
        <v>1417</v>
      </c>
      <c r="F49" s="7">
        <v>55</v>
      </c>
      <c r="G49" s="27"/>
      <c r="H49" s="59">
        <v>10</v>
      </c>
      <c r="I49" s="59">
        <v>6</v>
      </c>
      <c r="J49" s="59">
        <v>14</v>
      </c>
      <c r="K49" s="59">
        <v>19</v>
      </c>
      <c r="L49" s="59">
        <v>5</v>
      </c>
      <c r="M49" s="59">
        <v>0</v>
      </c>
      <c r="N49" s="59">
        <v>1</v>
      </c>
      <c r="O49" s="59">
        <v>0</v>
      </c>
      <c r="P49" s="59">
        <v>0</v>
      </c>
      <c r="Q49" s="27"/>
      <c r="R49" s="59">
        <v>0</v>
      </c>
      <c r="S49" s="59"/>
      <c r="T49" s="59">
        <v>0</v>
      </c>
      <c r="U49" s="59">
        <v>1</v>
      </c>
      <c r="V49" s="59">
        <v>0</v>
      </c>
      <c r="W49" s="59">
        <v>1</v>
      </c>
      <c r="X49" s="59">
        <v>1</v>
      </c>
      <c r="Y49" s="59">
        <v>4</v>
      </c>
      <c r="Z49" s="59">
        <v>3</v>
      </c>
      <c r="AA49" s="27"/>
      <c r="AB49" s="7">
        <v>44</v>
      </c>
      <c r="AC49" s="7">
        <v>9</v>
      </c>
      <c r="AD49" s="7">
        <v>0</v>
      </c>
      <c r="AE49" s="7">
        <v>0</v>
      </c>
      <c r="AF49" s="7">
        <v>2</v>
      </c>
      <c r="AG49" s="7"/>
      <c r="AH49" s="7">
        <v>2</v>
      </c>
      <c r="AI49" s="27"/>
      <c r="AJ49" s="7"/>
      <c r="AK49" s="7"/>
      <c r="AL49" s="7"/>
      <c r="AM49" s="7"/>
      <c r="AN49" s="7"/>
      <c r="AO49" s="7"/>
      <c r="AP49" s="7"/>
      <c r="AQ49" s="27"/>
      <c r="AR49" s="7">
        <v>79</v>
      </c>
      <c r="AS49" s="7">
        <v>50</v>
      </c>
      <c r="AT49" s="7">
        <v>8</v>
      </c>
      <c r="AU49" s="7">
        <v>28</v>
      </c>
      <c r="AV49" s="7">
        <v>63</v>
      </c>
      <c r="AW49" s="7">
        <v>170</v>
      </c>
      <c r="AX49" s="7">
        <v>380</v>
      </c>
      <c r="AY49" s="7">
        <v>55</v>
      </c>
      <c r="AZ49" s="7">
        <v>188</v>
      </c>
      <c r="BA49" s="7">
        <v>137</v>
      </c>
      <c r="BB49" s="7">
        <v>47</v>
      </c>
      <c r="BC49" s="7">
        <v>103</v>
      </c>
      <c r="BD49" s="7">
        <v>134</v>
      </c>
      <c r="BE49" s="7">
        <v>93</v>
      </c>
      <c r="BF49" s="7">
        <v>93</v>
      </c>
      <c r="BG49" s="7">
        <v>42</v>
      </c>
      <c r="BH49" s="7">
        <v>48</v>
      </c>
      <c r="BI49" s="27"/>
      <c r="BJ49" s="7">
        <v>1</v>
      </c>
      <c r="BK49" s="7">
        <v>8</v>
      </c>
      <c r="BL49" s="7">
        <v>27</v>
      </c>
      <c r="BM49" s="7">
        <v>5</v>
      </c>
      <c r="BN49" s="7">
        <v>1</v>
      </c>
      <c r="BO49" s="7">
        <v>1</v>
      </c>
      <c r="BP49" s="7">
        <v>11</v>
      </c>
      <c r="BQ49" s="7">
        <v>1</v>
      </c>
      <c r="BR49" s="7">
        <v>0</v>
      </c>
      <c r="BS49" s="27"/>
      <c r="BT49" s="7">
        <v>55</v>
      </c>
      <c r="BU49" s="7">
        <v>17</v>
      </c>
      <c r="BV49" s="27"/>
      <c r="BW49" s="7">
        <v>9</v>
      </c>
      <c r="BX49" s="7">
        <v>5</v>
      </c>
      <c r="BY49" s="7">
        <v>0</v>
      </c>
      <c r="BZ49" s="7">
        <v>1</v>
      </c>
      <c r="CA49" s="7">
        <v>2</v>
      </c>
      <c r="CB49" s="15" t="s">
        <v>358</v>
      </c>
      <c r="CC49" s="7">
        <v>1</v>
      </c>
      <c r="CD49" s="15" t="s">
        <v>292</v>
      </c>
      <c r="CE49" s="27"/>
      <c r="CF49" s="8">
        <v>2</v>
      </c>
      <c r="CG49" s="7">
        <v>1057</v>
      </c>
      <c r="CH49" s="7"/>
      <c r="CI49" s="7">
        <v>2</v>
      </c>
      <c r="CJ49" s="7">
        <v>39</v>
      </c>
      <c r="CK49" s="7">
        <v>18123</v>
      </c>
      <c r="CL49" s="7">
        <v>66</v>
      </c>
      <c r="CM49" s="7">
        <v>57024</v>
      </c>
      <c r="CN49" s="7">
        <v>3</v>
      </c>
      <c r="CO49" s="7">
        <v>29</v>
      </c>
      <c r="CP49" s="7">
        <v>17092</v>
      </c>
      <c r="CQ49" s="8">
        <v>0</v>
      </c>
      <c r="CR49" s="8">
        <v>0</v>
      </c>
      <c r="CS49" s="2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</row>
    <row r="50" spans="2:130" s="8" customFormat="1" x14ac:dyDescent="0.2">
      <c r="B50" s="8" t="s">
        <v>90</v>
      </c>
      <c r="C50" s="7">
        <v>0</v>
      </c>
      <c r="D50" s="7">
        <v>0</v>
      </c>
      <c r="E50" s="7">
        <v>0</v>
      </c>
      <c r="F50" s="7">
        <v>0</v>
      </c>
      <c r="G50" s="27"/>
      <c r="H50" s="59">
        <v>0</v>
      </c>
      <c r="I50" s="59">
        <v>0</v>
      </c>
      <c r="J50" s="59">
        <v>0</v>
      </c>
      <c r="K50" s="59">
        <v>0</v>
      </c>
      <c r="L50" s="59">
        <v>0</v>
      </c>
      <c r="M50" s="59">
        <v>0</v>
      </c>
      <c r="N50" s="59">
        <v>0</v>
      </c>
      <c r="O50" s="59">
        <v>0</v>
      </c>
      <c r="P50" s="59">
        <v>0</v>
      </c>
      <c r="Q50" s="27"/>
      <c r="R50" s="59">
        <v>0</v>
      </c>
      <c r="S50" s="59">
        <v>0</v>
      </c>
      <c r="T50" s="59">
        <v>0</v>
      </c>
      <c r="U50" s="59">
        <v>0</v>
      </c>
      <c r="V50" s="59">
        <v>0</v>
      </c>
      <c r="W50" s="59">
        <v>0</v>
      </c>
      <c r="X50" s="59">
        <v>0</v>
      </c>
      <c r="Y50" s="59">
        <v>0</v>
      </c>
      <c r="Z50" s="59">
        <v>0</v>
      </c>
      <c r="AA50" s="27"/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/>
      <c r="AH50" s="7">
        <v>0</v>
      </c>
      <c r="AI50" s="27"/>
      <c r="AJ50" s="7"/>
      <c r="AK50" s="7"/>
      <c r="AL50" s="7"/>
      <c r="AM50" s="7"/>
      <c r="AN50" s="7"/>
      <c r="AO50" s="7"/>
      <c r="AP50" s="7"/>
      <c r="AQ50" s="27"/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27"/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27"/>
      <c r="BT50" s="7">
        <v>0</v>
      </c>
      <c r="BU50" s="7">
        <v>0</v>
      </c>
      <c r="BV50" s="27"/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15"/>
      <c r="CC50" s="7">
        <v>0</v>
      </c>
      <c r="CD50" s="7"/>
      <c r="CE50" s="27"/>
      <c r="CF50" s="7">
        <v>0</v>
      </c>
      <c r="CG50" s="7">
        <v>0</v>
      </c>
      <c r="CH50" s="7"/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8">
        <v>0</v>
      </c>
      <c r="CP50" s="7">
        <v>0</v>
      </c>
      <c r="CQ50" s="8">
        <v>0</v>
      </c>
      <c r="CR50" s="7">
        <v>0</v>
      </c>
      <c r="CS50" s="2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</row>
    <row r="51" spans="2:130" x14ac:dyDescent="0.2">
      <c r="B51" s="8" t="s">
        <v>91</v>
      </c>
      <c r="C51" s="8">
        <v>16</v>
      </c>
      <c r="D51" s="7">
        <v>910</v>
      </c>
      <c r="E51" s="7">
        <v>1807</v>
      </c>
      <c r="F51" s="7">
        <v>53</v>
      </c>
      <c r="G51" s="27"/>
      <c r="H51" s="59">
        <v>2</v>
      </c>
      <c r="I51" s="59">
        <v>6</v>
      </c>
      <c r="J51" s="59">
        <v>16</v>
      </c>
      <c r="K51" s="59">
        <v>25</v>
      </c>
      <c r="L51" s="59">
        <v>3</v>
      </c>
      <c r="M51" s="59">
        <v>2</v>
      </c>
      <c r="N51" s="59">
        <v>1</v>
      </c>
      <c r="O51" s="59">
        <v>0</v>
      </c>
      <c r="P51" s="59">
        <v>0</v>
      </c>
      <c r="Q51" s="27"/>
      <c r="R51" s="59">
        <v>2</v>
      </c>
      <c r="T51" s="59">
        <v>0</v>
      </c>
      <c r="U51" s="59">
        <v>1</v>
      </c>
      <c r="V51" s="59">
        <v>1</v>
      </c>
      <c r="W51" s="59">
        <v>1</v>
      </c>
      <c r="X51" s="59">
        <v>2</v>
      </c>
      <c r="Y51" s="59">
        <v>7</v>
      </c>
      <c r="Z51" s="59">
        <v>4</v>
      </c>
      <c r="AA51" s="27"/>
      <c r="AB51" s="7">
        <v>42</v>
      </c>
      <c r="AC51" s="7">
        <v>8</v>
      </c>
      <c r="AD51" s="7">
        <v>0</v>
      </c>
      <c r="AE51" s="7">
        <v>0</v>
      </c>
      <c r="AF51" s="7">
        <v>4</v>
      </c>
      <c r="AH51" s="7">
        <v>0</v>
      </c>
      <c r="AI51" s="27"/>
      <c r="AQ51" s="27"/>
      <c r="AR51" s="7">
        <v>95</v>
      </c>
      <c r="AS51" s="7">
        <v>69</v>
      </c>
      <c r="AT51" s="7">
        <v>11</v>
      </c>
      <c r="AU51" s="7">
        <v>34</v>
      </c>
      <c r="AV51" s="7">
        <v>61</v>
      </c>
      <c r="AW51" s="7">
        <v>259</v>
      </c>
      <c r="AX51" s="7">
        <v>393</v>
      </c>
      <c r="AY51" s="7">
        <v>57</v>
      </c>
      <c r="AZ51" s="7">
        <v>264</v>
      </c>
      <c r="BA51" s="7">
        <v>159</v>
      </c>
      <c r="BB51" s="7">
        <v>35</v>
      </c>
      <c r="BC51" s="7">
        <v>137</v>
      </c>
      <c r="BD51" s="7">
        <v>181</v>
      </c>
      <c r="BE51" s="7">
        <v>77</v>
      </c>
      <c r="BF51" s="7">
        <v>162</v>
      </c>
      <c r="BG51" s="7">
        <v>33</v>
      </c>
      <c r="BH51" s="7">
        <v>61</v>
      </c>
      <c r="BI51" s="27"/>
      <c r="BJ51" s="7">
        <v>0</v>
      </c>
      <c r="BK51" s="7">
        <v>14</v>
      </c>
      <c r="BL51" s="7">
        <v>24</v>
      </c>
      <c r="BM51" s="7">
        <v>5</v>
      </c>
      <c r="BN51" s="7">
        <v>2</v>
      </c>
      <c r="BO51" s="7">
        <v>2</v>
      </c>
      <c r="BP51" s="7">
        <v>8</v>
      </c>
      <c r="BQ51" s="7">
        <v>2</v>
      </c>
      <c r="BR51" s="7">
        <v>3</v>
      </c>
      <c r="BS51" s="27"/>
      <c r="BT51" s="7">
        <v>53</v>
      </c>
      <c r="BU51" s="7">
        <v>16</v>
      </c>
      <c r="BV51" s="27"/>
      <c r="BW51" s="7">
        <v>9</v>
      </c>
      <c r="BX51" s="7">
        <v>4</v>
      </c>
      <c r="BY51" s="7">
        <v>3</v>
      </c>
      <c r="BZ51" s="7">
        <v>0</v>
      </c>
      <c r="CA51" s="7">
        <v>3</v>
      </c>
      <c r="CB51" s="15" t="s">
        <v>359</v>
      </c>
      <c r="CC51" s="7">
        <v>2</v>
      </c>
      <c r="CD51" s="85" t="s">
        <v>360</v>
      </c>
      <c r="CE51" s="27"/>
      <c r="CF51" s="7">
        <v>1</v>
      </c>
      <c r="CG51" s="7">
        <v>1345</v>
      </c>
      <c r="CI51" s="7">
        <v>0</v>
      </c>
      <c r="CJ51" s="7">
        <v>44</v>
      </c>
      <c r="CK51" s="7">
        <v>36609</v>
      </c>
      <c r="CL51" s="7">
        <v>55</v>
      </c>
      <c r="CM51" s="7">
        <v>312733</v>
      </c>
      <c r="CN51" s="7">
        <v>5</v>
      </c>
      <c r="CO51" s="7">
        <v>5</v>
      </c>
      <c r="CP51" s="7">
        <v>3111</v>
      </c>
      <c r="CQ51" s="7">
        <v>1</v>
      </c>
      <c r="CR51" s="7">
        <v>217</v>
      </c>
      <c r="CS51" s="27"/>
    </row>
    <row r="52" spans="2:130" x14ac:dyDescent="0.2">
      <c r="B52" s="7" t="s">
        <v>92</v>
      </c>
      <c r="C52" s="7">
        <v>1</v>
      </c>
      <c r="D52" s="7">
        <v>69</v>
      </c>
      <c r="E52" s="7">
        <v>112</v>
      </c>
      <c r="F52" s="7">
        <v>4</v>
      </c>
      <c r="G52" s="27"/>
      <c r="H52" s="59">
        <v>0</v>
      </c>
      <c r="I52" s="59">
        <v>0</v>
      </c>
      <c r="J52" s="59">
        <v>1</v>
      </c>
      <c r="K52" s="59">
        <v>5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27"/>
      <c r="R52" s="59">
        <v>0</v>
      </c>
      <c r="T52" s="59">
        <v>0</v>
      </c>
      <c r="U52" s="59">
        <v>0</v>
      </c>
      <c r="V52" s="59">
        <v>0</v>
      </c>
      <c r="W52" s="59">
        <v>0</v>
      </c>
      <c r="X52" s="59">
        <v>0</v>
      </c>
      <c r="Y52" s="59">
        <v>4</v>
      </c>
      <c r="Z52" s="59">
        <v>1</v>
      </c>
      <c r="AA52" s="27"/>
      <c r="AB52" s="7">
        <v>3</v>
      </c>
      <c r="AC52" s="7">
        <v>0</v>
      </c>
      <c r="AD52" s="7">
        <v>0</v>
      </c>
      <c r="AE52" s="7">
        <v>0</v>
      </c>
      <c r="AF52" s="7">
        <v>1</v>
      </c>
      <c r="AH52" s="7">
        <v>0</v>
      </c>
      <c r="AI52" s="27"/>
      <c r="AQ52" s="27"/>
      <c r="AR52" s="7">
        <v>8</v>
      </c>
      <c r="AS52" s="7">
        <v>17</v>
      </c>
      <c r="AT52" s="7">
        <v>0</v>
      </c>
      <c r="AU52" s="7">
        <v>3</v>
      </c>
      <c r="AV52" s="7">
        <v>2</v>
      </c>
      <c r="AW52" s="7">
        <v>13</v>
      </c>
      <c r="AX52" s="7">
        <v>21</v>
      </c>
      <c r="AY52" s="7">
        <v>0</v>
      </c>
      <c r="AZ52" s="7">
        <v>17</v>
      </c>
      <c r="BA52" s="7">
        <v>10</v>
      </c>
      <c r="BB52" s="7">
        <v>2</v>
      </c>
      <c r="BC52" s="7">
        <v>9</v>
      </c>
      <c r="BD52" s="7">
        <v>9</v>
      </c>
      <c r="BE52" s="7">
        <v>7</v>
      </c>
      <c r="BF52" s="7">
        <v>12</v>
      </c>
      <c r="BG52" s="7">
        <v>0</v>
      </c>
      <c r="BH52" s="7">
        <v>1</v>
      </c>
      <c r="BI52" s="27"/>
      <c r="BJ52" s="7">
        <v>0</v>
      </c>
      <c r="BK52" s="7">
        <v>2</v>
      </c>
      <c r="BL52" s="7">
        <v>2</v>
      </c>
      <c r="BM52" s="7">
        <v>1</v>
      </c>
      <c r="BN52" s="7">
        <v>0</v>
      </c>
      <c r="BO52" s="7">
        <v>0</v>
      </c>
      <c r="BP52" s="7">
        <v>1</v>
      </c>
      <c r="BQ52" s="7">
        <v>0</v>
      </c>
      <c r="BR52" s="7">
        <v>0</v>
      </c>
      <c r="BS52" s="27"/>
      <c r="BT52" s="7">
        <v>4</v>
      </c>
      <c r="BU52" s="7">
        <v>4</v>
      </c>
      <c r="BV52" s="27"/>
      <c r="BW52" s="7">
        <v>4</v>
      </c>
      <c r="BX52" s="7">
        <v>0</v>
      </c>
      <c r="BY52" s="7">
        <v>0</v>
      </c>
      <c r="BZ52" s="7">
        <v>0</v>
      </c>
      <c r="CA52" s="7">
        <v>0</v>
      </c>
      <c r="CC52" s="7">
        <v>0</v>
      </c>
      <c r="CE52" s="27"/>
      <c r="CF52" s="11">
        <v>1</v>
      </c>
      <c r="CG52" s="7">
        <v>73</v>
      </c>
      <c r="CI52" s="7">
        <v>1</v>
      </c>
      <c r="CJ52" s="7">
        <v>10</v>
      </c>
      <c r="CK52" s="7">
        <v>21280</v>
      </c>
      <c r="CL52" s="7">
        <v>27</v>
      </c>
      <c r="CM52" s="7">
        <v>149447</v>
      </c>
      <c r="CN52" s="8">
        <v>1</v>
      </c>
      <c r="CO52" s="11">
        <v>8</v>
      </c>
      <c r="CP52" s="11">
        <v>25662</v>
      </c>
      <c r="CQ52" s="11">
        <v>0</v>
      </c>
      <c r="CR52" s="11">
        <v>0</v>
      </c>
      <c r="CS52" s="27"/>
    </row>
    <row r="53" spans="2:130" x14ac:dyDescent="0.2">
      <c r="B53" s="7" t="s">
        <v>93</v>
      </c>
      <c r="C53" s="7">
        <v>27</v>
      </c>
      <c r="D53" s="7">
        <v>1344</v>
      </c>
      <c r="E53" s="7">
        <v>2905</v>
      </c>
      <c r="F53" s="7">
        <v>91</v>
      </c>
      <c r="G53" s="27"/>
      <c r="H53" s="59">
        <v>5</v>
      </c>
      <c r="I53" s="59">
        <v>13</v>
      </c>
      <c r="J53" s="59">
        <v>18</v>
      </c>
      <c r="K53" s="59">
        <v>34</v>
      </c>
      <c r="L53" s="59">
        <v>16</v>
      </c>
      <c r="M53" s="59">
        <v>2</v>
      </c>
      <c r="N53" s="59">
        <v>0</v>
      </c>
      <c r="O53" s="59">
        <v>0</v>
      </c>
      <c r="P53" s="59">
        <v>0</v>
      </c>
      <c r="Q53" s="27"/>
      <c r="R53" s="59">
        <v>2</v>
      </c>
      <c r="T53" s="59">
        <v>4</v>
      </c>
      <c r="U53" s="59">
        <v>1</v>
      </c>
      <c r="V53" s="59">
        <v>1</v>
      </c>
      <c r="W53" s="59">
        <v>3</v>
      </c>
      <c r="X53" s="59">
        <v>4</v>
      </c>
      <c r="Y53" s="59">
        <v>13</v>
      </c>
      <c r="Z53" s="59">
        <v>10</v>
      </c>
      <c r="AA53" s="27"/>
      <c r="AB53" s="7">
        <v>74</v>
      </c>
      <c r="AC53" s="7">
        <v>10</v>
      </c>
      <c r="AD53" s="7">
        <v>0</v>
      </c>
      <c r="AE53" s="7">
        <v>0</v>
      </c>
      <c r="AF53" s="7">
        <v>5</v>
      </c>
      <c r="AH53" s="7">
        <v>1</v>
      </c>
      <c r="AI53" s="27"/>
      <c r="AQ53" s="27"/>
      <c r="AR53" s="7">
        <v>140</v>
      </c>
      <c r="AS53" s="7">
        <v>81</v>
      </c>
      <c r="AT53" s="7">
        <v>23</v>
      </c>
      <c r="AU53" s="7">
        <v>46</v>
      </c>
      <c r="AV53" s="7">
        <v>124</v>
      </c>
      <c r="AW53" s="7">
        <v>344</v>
      </c>
      <c r="AX53" s="7">
        <v>597</v>
      </c>
      <c r="AY53" s="7">
        <v>129</v>
      </c>
      <c r="AZ53" s="7">
        <v>458</v>
      </c>
      <c r="BA53" s="7">
        <v>274</v>
      </c>
      <c r="BB53" s="7">
        <v>100</v>
      </c>
      <c r="BC53" s="7">
        <v>286</v>
      </c>
      <c r="BD53" s="7">
        <v>263</v>
      </c>
      <c r="BE53" s="7">
        <v>131</v>
      </c>
      <c r="BF53" s="7">
        <v>225</v>
      </c>
      <c r="BG53" s="7">
        <v>87</v>
      </c>
      <c r="BH53" s="7">
        <v>142</v>
      </c>
      <c r="BI53" s="27"/>
      <c r="BJ53" s="7">
        <v>0</v>
      </c>
      <c r="BK53" s="7">
        <v>30</v>
      </c>
      <c r="BL53" s="7">
        <v>27</v>
      </c>
      <c r="BM53" s="7">
        <v>14</v>
      </c>
      <c r="BN53" s="7">
        <v>6</v>
      </c>
      <c r="BO53" s="7">
        <v>4</v>
      </c>
      <c r="BP53" s="7">
        <v>11</v>
      </c>
      <c r="BQ53" s="7">
        <v>3</v>
      </c>
      <c r="BR53" s="7">
        <v>1</v>
      </c>
      <c r="BS53" s="27"/>
      <c r="BT53" s="7">
        <v>91</v>
      </c>
      <c r="BU53" s="7">
        <v>38</v>
      </c>
      <c r="BV53" s="27"/>
      <c r="BW53" s="7">
        <v>14</v>
      </c>
      <c r="BX53" s="7">
        <v>7</v>
      </c>
      <c r="BY53" s="7">
        <v>0</v>
      </c>
      <c r="BZ53" s="7">
        <v>0</v>
      </c>
      <c r="CA53" s="7">
        <v>3</v>
      </c>
      <c r="CB53" s="88" t="s">
        <v>361</v>
      </c>
      <c r="CC53" s="7">
        <v>5</v>
      </c>
      <c r="CD53" s="85" t="s">
        <v>362</v>
      </c>
      <c r="CE53" s="27"/>
      <c r="CF53" s="7">
        <v>13</v>
      </c>
      <c r="CG53" s="7">
        <v>2510</v>
      </c>
      <c r="CI53" s="7">
        <v>21</v>
      </c>
      <c r="CJ53" s="7">
        <v>243</v>
      </c>
      <c r="CK53" s="7">
        <v>411988</v>
      </c>
      <c r="CL53" s="7">
        <v>303</v>
      </c>
      <c r="CM53" s="7">
        <v>397759</v>
      </c>
      <c r="CN53" s="7">
        <v>37</v>
      </c>
      <c r="CO53" s="7">
        <v>98</v>
      </c>
      <c r="CP53" s="7">
        <v>122578</v>
      </c>
      <c r="CQ53" s="7">
        <v>5</v>
      </c>
      <c r="CR53" s="7">
        <v>2048</v>
      </c>
      <c r="CS53" s="27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9"/>
      <c r="DY53" s="9"/>
      <c r="DZ53" s="9"/>
    </row>
    <row r="54" spans="2:130" x14ac:dyDescent="0.2">
      <c r="B54" s="7" t="s">
        <v>94</v>
      </c>
      <c r="C54" s="75">
        <v>59</v>
      </c>
      <c r="D54" s="78">
        <v>4119</v>
      </c>
      <c r="E54" s="7">
        <v>9707</v>
      </c>
      <c r="F54" s="7">
        <v>319</v>
      </c>
      <c r="G54" s="27"/>
      <c r="H54" s="59">
        <v>35</v>
      </c>
      <c r="I54" s="59">
        <v>24</v>
      </c>
      <c r="J54" s="59">
        <v>52</v>
      </c>
      <c r="K54" s="59">
        <v>122</v>
      </c>
      <c r="L54" s="59">
        <v>40</v>
      </c>
      <c r="M54" s="59">
        <v>10</v>
      </c>
      <c r="N54" s="59">
        <v>2</v>
      </c>
      <c r="O54" s="59">
        <v>0</v>
      </c>
      <c r="P54" s="59">
        <v>0</v>
      </c>
      <c r="Q54" s="27"/>
      <c r="R54" s="59">
        <v>17</v>
      </c>
      <c r="T54" s="59">
        <v>12</v>
      </c>
      <c r="U54" s="59">
        <v>15</v>
      </c>
      <c r="V54" s="59">
        <v>7</v>
      </c>
      <c r="W54" s="59">
        <v>13</v>
      </c>
      <c r="X54" s="59">
        <v>35</v>
      </c>
      <c r="Y54" s="59">
        <v>67</v>
      </c>
      <c r="Z54" s="59">
        <v>11</v>
      </c>
      <c r="AA54" s="27"/>
      <c r="AB54" s="7">
        <v>201</v>
      </c>
      <c r="AC54" s="77">
        <v>40</v>
      </c>
      <c r="AD54" s="7">
        <v>6</v>
      </c>
      <c r="AE54" s="7">
        <v>2</v>
      </c>
      <c r="AF54" s="7">
        <v>11</v>
      </c>
      <c r="AH54" s="7">
        <v>1</v>
      </c>
      <c r="AI54" s="27"/>
      <c r="AQ54" s="27"/>
      <c r="AR54" s="7">
        <v>509</v>
      </c>
      <c r="AS54" s="7">
        <v>241</v>
      </c>
      <c r="AT54" s="7">
        <v>51</v>
      </c>
      <c r="AU54" s="7">
        <v>186</v>
      </c>
      <c r="AV54" s="7">
        <v>410</v>
      </c>
      <c r="AW54" s="7">
        <v>1207</v>
      </c>
      <c r="AX54" s="7">
        <v>2044</v>
      </c>
      <c r="AY54" s="7">
        <v>369</v>
      </c>
      <c r="AZ54" s="7">
        <v>1482</v>
      </c>
      <c r="BA54" s="7">
        <v>833</v>
      </c>
      <c r="BB54" s="7">
        <v>246</v>
      </c>
      <c r="BC54" s="7">
        <v>1011</v>
      </c>
      <c r="BD54" s="7">
        <v>888</v>
      </c>
      <c r="BE54" s="7">
        <v>409</v>
      </c>
      <c r="BF54" s="7">
        <v>688</v>
      </c>
      <c r="BG54" s="7">
        <v>260</v>
      </c>
      <c r="BH54" s="7">
        <v>466</v>
      </c>
      <c r="BI54" s="27"/>
      <c r="BJ54" s="7">
        <v>93</v>
      </c>
      <c r="BK54" s="7">
        <v>93</v>
      </c>
      <c r="BL54" s="7">
        <v>81</v>
      </c>
      <c r="BM54" s="7">
        <v>57</v>
      </c>
      <c r="BN54" s="7">
        <v>34</v>
      </c>
      <c r="BO54" s="7">
        <v>12</v>
      </c>
      <c r="BP54" s="7">
        <v>31</v>
      </c>
      <c r="BQ54" s="7">
        <v>9</v>
      </c>
      <c r="BR54" s="7">
        <v>2</v>
      </c>
      <c r="BS54" s="27"/>
      <c r="BT54" s="7">
        <v>319</v>
      </c>
      <c r="BU54" s="7">
        <v>109</v>
      </c>
      <c r="BV54" s="27"/>
      <c r="BW54" s="7">
        <v>86</v>
      </c>
      <c r="BX54" s="7">
        <v>14</v>
      </c>
      <c r="BY54" s="7">
        <v>1</v>
      </c>
      <c r="BZ54" s="7">
        <v>1</v>
      </c>
      <c r="CA54" s="7">
        <v>2</v>
      </c>
      <c r="CB54" s="88" t="s">
        <v>363</v>
      </c>
      <c r="CC54" s="7">
        <v>5</v>
      </c>
      <c r="CD54" s="88" t="s">
        <v>364</v>
      </c>
      <c r="CE54" s="27"/>
      <c r="CF54" s="7">
        <v>2</v>
      </c>
      <c r="CG54" s="7">
        <v>7135</v>
      </c>
      <c r="CI54" s="7">
        <v>24</v>
      </c>
      <c r="CJ54" s="7">
        <v>475</v>
      </c>
      <c r="CK54" s="7">
        <v>1986783</v>
      </c>
      <c r="CL54" s="7">
        <v>446</v>
      </c>
      <c r="CM54" s="7">
        <v>3984810</v>
      </c>
      <c r="CN54" s="7">
        <v>28</v>
      </c>
      <c r="CO54" s="7">
        <v>142</v>
      </c>
      <c r="CP54" s="7">
        <v>992081</v>
      </c>
      <c r="CQ54" s="7">
        <v>10</v>
      </c>
      <c r="CR54" s="7">
        <v>5104</v>
      </c>
      <c r="CS54" s="27"/>
      <c r="DX54" s="8"/>
      <c r="DY54" s="8"/>
      <c r="DZ54" s="8"/>
    </row>
    <row r="55" spans="2:130" s="9" customFormat="1" x14ac:dyDescent="0.2">
      <c r="B55" s="7" t="s">
        <v>95</v>
      </c>
      <c r="C55" s="7">
        <v>2</v>
      </c>
      <c r="D55" s="7">
        <v>53</v>
      </c>
      <c r="E55" s="7">
        <v>106</v>
      </c>
      <c r="F55" s="7">
        <v>6</v>
      </c>
      <c r="G55" s="27"/>
      <c r="H55" s="59">
        <v>0</v>
      </c>
      <c r="I55" s="59">
        <v>3</v>
      </c>
      <c r="J55" s="59">
        <v>2</v>
      </c>
      <c r="K55" s="59">
        <v>1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27"/>
      <c r="R55" s="59">
        <v>0</v>
      </c>
      <c r="S55" s="59"/>
      <c r="T55" s="59">
        <v>0</v>
      </c>
      <c r="U55" s="59">
        <v>0</v>
      </c>
      <c r="V55" s="59">
        <v>0</v>
      </c>
      <c r="W55" s="59">
        <v>0</v>
      </c>
      <c r="X55" s="59">
        <v>0</v>
      </c>
      <c r="Y55" s="59">
        <v>3</v>
      </c>
      <c r="Z55" s="59">
        <v>0</v>
      </c>
      <c r="AA55" s="27"/>
      <c r="AB55" s="7">
        <v>4</v>
      </c>
      <c r="AC55" s="7">
        <v>0</v>
      </c>
      <c r="AD55" s="7">
        <v>2</v>
      </c>
      <c r="AE55" s="7">
        <v>0</v>
      </c>
      <c r="AF55" s="7">
        <v>0</v>
      </c>
      <c r="AG55" s="7">
        <v>0</v>
      </c>
      <c r="AH55" s="7">
        <v>0</v>
      </c>
      <c r="AI55" s="27"/>
      <c r="AJ55" s="7">
        <v>9</v>
      </c>
      <c r="AK55" s="7">
        <v>0</v>
      </c>
      <c r="AL55" s="7">
        <v>2</v>
      </c>
      <c r="AM55" s="7">
        <v>0</v>
      </c>
      <c r="AN55" s="7">
        <v>0</v>
      </c>
      <c r="AO55" s="7">
        <v>0</v>
      </c>
      <c r="AP55" s="7">
        <v>0</v>
      </c>
      <c r="AQ55" s="27"/>
      <c r="AR55" s="7">
        <v>7</v>
      </c>
      <c r="AS55" s="7">
        <v>12</v>
      </c>
      <c r="AT55" s="7">
        <v>4</v>
      </c>
      <c r="AU55" s="7">
        <v>3</v>
      </c>
      <c r="AV55" s="7">
        <v>3</v>
      </c>
      <c r="AW55" s="7">
        <v>15</v>
      </c>
      <c r="AX55" s="7">
        <v>18</v>
      </c>
      <c r="AY55" s="7">
        <v>2</v>
      </c>
      <c r="AZ55" s="7">
        <v>14</v>
      </c>
      <c r="BA55" s="7">
        <v>12</v>
      </c>
      <c r="BB55" s="7">
        <v>0</v>
      </c>
      <c r="BC55" s="7">
        <v>3</v>
      </c>
      <c r="BD55" s="7">
        <v>12</v>
      </c>
      <c r="BE55" s="7">
        <v>6</v>
      </c>
      <c r="BF55" s="7">
        <v>6</v>
      </c>
      <c r="BG55" s="7">
        <v>5</v>
      </c>
      <c r="BH55" s="7">
        <v>4</v>
      </c>
      <c r="BI55" s="27"/>
      <c r="BJ55" s="7">
        <v>0</v>
      </c>
      <c r="BK55" s="7">
        <v>0</v>
      </c>
      <c r="BL55" s="7">
        <v>1</v>
      </c>
      <c r="BM55" s="7">
        <v>0</v>
      </c>
      <c r="BN55" s="7">
        <v>0</v>
      </c>
      <c r="BO55" s="7">
        <v>0</v>
      </c>
      <c r="BP55" s="7">
        <v>5</v>
      </c>
      <c r="BQ55" s="7">
        <v>0</v>
      </c>
      <c r="BR55" s="7">
        <v>0</v>
      </c>
      <c r="BS55" s="27"/>
      <c r="BT55" s="7">
        <v>6</v>
      </c>
      <c r="BU55" s="7">
        <v>2</v>
      </c>
      <c r="BV55" s="27"/>
      <c r="BW55" s="7">
        <v>1</v>
      </c>
      <c r="BX55" s="7">
        <v>2</v>
      </c>
      <c r="BY55" s="7">
        <v>0</v>
      </c>
      <c r="BZ55" s="7">
        <v>0</v>
      </c>
      <c r="CA55" s="7">
        <v>0</v>
      </c>
      <c r="CB55" s="15"/>
      <c r="CC55" s="7">
        <v>0</v>
      </c>
      <c r="CD55" s="7"/>
      <c r="CE55" s="27"/>
      <c r="CF55" s="7">
        <v>0</v>
      </c>
      <c r="CG55" s="7">
        <v>67</v>
      </c>
      <c r="CH55" s="7">
        <v>0</v>
      </c>
      <c r="CI55" s="7">
        <v>0</v>
      </c>
      <c r="CJ55" s="7">
        <v>1</v>
      </c>
      <c r="CK55" s="7">
        <v>78</v>
      </c>
      <c r="CL55" s="7">
        <v>3</v>
      </c>
      <c r="CM55" s="7">
        <v>3195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2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</row>
    <row r="56" spans="2:130" s="8" customFormat="1" x14ac:dyDescent="0.2">
      <c r="B56" s="7" t="s">
        <v>96</v>
      </c>
      <c r="C56" s="7">
        <v>0</v>
      </c>
      <c r="D56" s="7">
        <v>0</v>
      </c>
      <c r="E56" s="7">
        <v>0</v>
      </c>
      <c r="F56" s="7">
        <v>0</v>
      </c>
      <c r="G56" s="27"/>
      <c r="H56" s="59">
        <v>0</v>
      </c>
      <c r="I56" s="59">
        <v>0</v>
      </c>
      <c r="J56" s="59">
        <v>0</v>
      </c>
      <c r="K56" s="59">
        <v>0</v>
      </c>
      <c r="L56" s="59">
        <v>0</v>
      </c>
      <c r="M56" s="59">
        <v>0</v>
      </c>
      <c r="N56" s="59">
        <v>0</v>
      </c>
      <c r="O56" s="59">
        <v>0</v>
      </c>
      <c r="P56" s="59">
        <v>0</v>
      </c>
      <c r="Q56" s="27"/>
      <c r="R56" s="59">
        <v>0</v>
      </c>
      <c r="S56" s="59">
        <v>0</v>
      </c>
      <c r="T56" s="59">
        <v>0</v>
      </c>
      <c r="U56" s="59">
        <v>0</v>
      </c>
      <c r="V56" s="59">
        <v>0</v>
      </c>
      <c r="W56" s="59">
        <v>0</v>
      </c>
      <c r="X56" s="59">
        <v>0</v>
      </c>
      <c r="Y56" s="59">
        <v>0</v>
      </c>
      <c r="Z56" s="59">
        <v>0</v>
      </c>
      <c r="AA56" s="27"/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/>
      <c r="AH56" s="7">
        <v>0</v>
      </c>
      <c r="AI56" s="27"/>
      <c r="AJ56" s="7"/>
      <c r="AK56" s="7"/>
      <c r="AL56" s="7"/>
      <c r="AM56" s="7"/>
      <c r="AN56" s="7"/>
      <c r="AO56" s="7"/>
      <c r="AP56" s="7"/>
      <c r="AQ56" s="27"/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27"/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27"/>
      <c r="BT56" s="7">
        <v>0</v>
      </c>
      <c r="BU56" s="7">
        <v>0</v>
      </c>
      <c r="BV56" s="27"/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15"/>
      <c r="CC56" s="7">
        <v>0</v>
      </c>
      <c r="CD56" s="7"/>
      <c r="CE56" s="27"/>
      <c r="CF56" s="7">
        <v>0</v>
      </c>
      <c r="CG56" s="7">
        <v>0</v>
      </c>
      <c r="CH56" s="7"/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8">
        <v>0</v>
      </c>
      <c r="CP56" s="7">
        <v>0</v>
      </c>
      <c r="CQ56" s="8">
        <v>0</v>
      </c>
      <c r="CR56" s="7">
        <v>0</v>
      </c>
      <c r="CS56" s="2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</row>
    <row r="57" spans="2:130" x14ac:dyDescent="0.2">
      <c r="B57" s="8" t="s">
        <v>97</v>
      </c>
      <c r="C57" s="8">
        <v>19</v>
      </c>
      <c r="D57" s="7">
        <v>610</v>
      </c>
      <c r="E57" s="7">
        <v>1737</v>
      </c>
      <c r="F57" s="7">
        <v>74</v>
      </c>
      <c r="G57" s="27"/>
      <c r="H57" s="59">
        <v>10</v>
      </c>
      <c r="I57" s="59">
        <v>15</v>
      </c>
      <c r="J57" s="59">
        <v>15</v>
      </c>
      <c r="K57" s="59">
        <v>30</v>
      </c>
      <c r="L57" s="59">
        <v>6</v>
      </c>
      <c r="M57" s="59">
        <v>0</v>
      </c>
      <c r="N57" s="59">
        <v>0</v>
      </c>
      <c r="O57" s="59">
        <v>0</v>
      </c>
      <c r="P57" s="59">
        <v>0</v>
      </c>
      <c r="Q57" s="27"/>
      <c r="R57" s="59">
        <v>3</v>
      </c>
      <c r="T57" s="59">
        <v>4</v>
      </c>
      <c r="U57" s="59">
        <v>4</v>
      </c>
      <c r="V57" s="59">
        <v>3</v>
      </c>
      <c r="W57" s="59">
        <v>3</v>
      </c>
      <c r="X57" s="59">
        <v>6</v>
      </c>
      <c r="Y57" s="59">
        <v>13</v>
      </c>
      <c r="Z57" s="59">
        <v>6</v>
      </c>
      <c r="AA57" s="27"/>
      <c r="AB57" s="7">
        <v>61</v>
      </c>
      <c r="AC57" s="7">
        <v>9</v>
      </c>
      <c r="AD57" s="7">
        <v>0</v>
      </c>
      <c r="AE57" s="7">
        <v>2</v>
      </c>
      <c r="AF57" s="7">
        <v>5</v>
      </c>
      <c r="AH57" s="7">
        <v>3</v>
      </c>
      <c r="AI57" s="27"/>
      <c r="AQ57" s="27"/>
      <c r="AR57" s="7">
        <v>108</v>
      </c>
      <c r="AS57" s="7">
        <v>84</v>
      </c>
      <c r="AT57" s="7">
        <v>10</v>
      </c>
      <c r="AU57" s="7">
        <v>21</v>
      </c>
      <c r="AV57" s="7">
        <v>59</v>
      </c>
      <c r="AW57" s="7">
        <v>240</v>
      </c>
      <c r="AX57" s="7">
        <v>370</v>
      </c>
      <c r="AY57" s="7">
        <v>59</v>
      </c>
      <c r="AZ57" s="7">
        <v>271</v>
      </c>
      <c r="BA57" s="7">
        <v>161</v>
      </c>
      <c r="BB57" s="7">
        <v>35</v>
      </c>
      <c r="BC57" s="7">
        <v>161</v>
      </c>
      <c r="BD57" s="7">
        <v>159</v>
      </c>
      <c r="BE57" s="7">
        <v>72</v>
      </c>
      <c r="BF57" s="7">
        <v>114</v>
      </c>
      <c r="BG57" s="7">
        <v>49</v>
      </c>
      <c r="BH57" s="7">
        <v>74</v>
      </c>
      <c r="BI57" s="27"/>
      <c r="BJ57" s="7">
        <v>2</v>
      </c>
      <c r="BK57" s="7">
        <v>21</v>
      </c>
      <c r="BL57" s="7">
        <v>22</v>
      </c>
      <c r="BM57" s="7">
        <v>7</v>
      </c>
      <c r="BN57" s="7">
        <v>8</v>
      </c>
      <c r="BO57" s="7">
        <v>0</v>
      </c>
      <c r="BP57" s="7">
        <v>16</v>
      </c>
      <c r="BQ57" s="7">
        <v>1</v>
      </c>
      <c r="BR57" s="7">
        <v>1</v>
      </c>
      <c r="BS57" s="27"/>
      <c r="BT57" s="7">
        <v>74</v>
      </c>
      <c r="BU57" s="7">
        <v>26</v>
      </c>
      <c r="BV57" s="27"/>
      <c r="BW57" s="7">
        <v>16</v>
      </c>
      <c r="BX57" s="7">
        <v>6</v>
      </c>
      <c r="BY57" s="7">
        <v>0</v>
      </c>
      <c r="BZ57" s="7">
        <v>0</v>
      </c>
      <c r="CA57" s="7">
        <v>3</v>
      </c>
      <c r="CB57" s="88" t="s">
        <v>365</v>
      </c>
      <c r="CC57" s="7">
        <v>2</v>
      </c>
      <c r="CD57" s="88" t="s">
        <v>366</v>
      </c>
      <c r="CE57" s="27"/>
      <c r="CF57" s="8">
        <v>6</v>
      </c>
      <c r="CG57" s="7">
        <v>1280</v>
      </c>
      <c r="CI57" s="7">
        <v>8</v>
      </c>
      <c r="CJ57" s="7">
        <v>92</v>
      </c>
      <c r="CK57" s="7">
        <v>174951</v>
      </c>
      <c r="CL57" s="7">
        <v>103</v>
      </c>
      <c r="CM57" s="7">
        <v>182459</v>
      </c>
      <c r="CN57" s="7">
        <v>13</v>
      </c>
      <c r="CO57" s="7">
        <v>74</v>
      </c>
      <c r="CP57" s="7">
        <v>111611</v>
      </c>
      <c r="CQ57" s="8">
        <v>2</v>
      </c>
      <c r="CR57" s="8">
        <v>684</v>
      </c>
      <c r="CS57" s="27"/>
    </row>
    <row r="58" spans="2:130" x14ac:dyDescent="0.2">
      <c r="B58" s="7" t="s">
        <v>98</v>
      </c>
      <c r="C58" s="75">
        <v>34</v>
      </c>
      <c r="D58" s="7">
        <v>1018</v>
      </c>
      <c r="E58" s="7">
        <v>2013</v>
      </c>
      <c r="F58" s="7">
        <v>83</v>
      </c>
      <c r="G58" s="27"/>
      <c r="H58" s="59">
        <v>1</v>
      </c>
      <c r="I58" s="59">
        <v>12</v>
      </c>
      <c r="J58" s="59">
        <v>27</v>
      </c>
      <c r="K58" s="59">
        <v>35</v>
      </c>
      <c r="L58" s="59">
        <v>10</v>
      </c>
      <c r="M58" s="59">
        <v>0</v>
      </c>
      <c r="N58" s="59">
        <v>0</v>
      </c>
      <c r="O58" s="59">
        <v>0</v>
      </c>
      <c r="P58" s="59">
        <v>0</v>
      </c>
      <c r="Q58" s="27"/>
      <c r="R58" s="59">
        <v>8</v>
      </c>
      <c r="T58" s="59">
        <v>10</v>
      </c>
      <c r="U58" s="59">
        <v>8</v>
      </c>
      <c r="V58" s="59">
        <v>9</v>
      </c>
      <c r="W58" s="59">
        <v>10</v>
      </c>
      <c r="X58" s="59">
        <v>21</v>
      </c>
      <c r="Y58" s="59">
        <v>36</v>
      </c>
      <c r="Z58" s="59">
        <v>23</v>
      </c>
      <c r="AA58" s="27"/>
      <c r="AB58" s="7">
        <v>79</v>
      </c>
      <c r="AC58" s="7">
        <v>2</v>
      </c>
      <c r="AD58" s="7">
        <v>0</v>
      </c>
      <c r="AE58" s="7">
        <v>2</v>
      </c>
      <c r="AF58" s="7">
        <v>0</v>
      </c>
      <c r="AH58" s="7">
        <v>1</v>
      </c>
      <c r="AI58" s="27"/>
      <c r="AQ58" s="27"/>
      <c r="AR58" s="7">
        <v>130</v>
      </c>
      <c r="AS58" s="7">
        <v>85</v>
      </c>
      <c r="AT58" s="7">
        <v>14</v>
      </c>
      <c r="AU58" s="7">
        <v>42</v>
      </c>
      <c r="AV58" s="7">
        <v>71</v>
      </c>
      <c r="AW58" s="7">
        <v>270</v>
      </c>
      <c r="AX58" s="7">
        <v>397</v>
      </c>
      <c r="AY58" s="7">
        <v>121</v>
      </c>
      <c r="AZ58" s="7">
        <v>307</v>
      </c>
      <c r="BA58" s="7">
        <v>213</v>
      </c>
      <c r="BB58" s="7">
        <v>66</v>
      </c>
      <c r="BC58" s="7">
        <v>219</v>
      </c>
      <c r="BD58" s="7">
        <v>154</v>
      </c>
      <c r="BE58" s="7">
        <v>70</v>
      </c>
      <c r="BF58" s="7">
        <v>168</v>
      </c>
      <c r="BG58" s="7">
        <v>89</v>
      </c>
      <c r="BH58" s="7">
        <v>83</v>
      </c>
      <c r="BI58" s="27"/>
      <c r="BJ58" s="7">
        <v>19</v>
      </c>
      <c r="BK58" s="7">
        <v>15</v>
      </c>
      <c r="BL58" s="7">
        <v>21</v>
      </c>
      <c r="BM58" s="7">
        <v>12</v>
      </c>
      <c r="BN58" s="7">
        <v>3</v>
      </c>
      <c r="BO58" s="7">
        <v>0</v>
      </c>
      <c r="BP58" s="7">
        <v>15</v>
      </c>
      <c r="BQ58" s="7">
        <v>0</v>
      </c>
      <c r="BR58" s="7">
        <v>0</v>
      </c>
      <c r="BS58" s="27"/>
      <c r="BT58" s="7">
        <v>83</v>
      </c>
      <c r="BU58" s="7">
        <v>31</v>
      </c>
      <c r="BV58" s="27"/>
      <c r="BW58" s="7">
        <v>18</v>
      </c>
      <c r="BX58" s="7">
        <v>6</v>
      </c>
      <c r="BY58" s="7">
        <v>0</v>
      </c>
      <c r="BZ58" s="7">
        <v>1</v>
      </c>
      <c r="CA58" s="7">
        <v>2</v>
      </c>
      <c r="CB58" s="88" t="s">
        <v>367</v>
      </c>
      <c r="CC58" s="7">
        <v>1</v>
      </c>
      <c r="CD58" s="91" t="s">
        <v>288</v>
      </c>
      <c r="CE58" s="27"/>
      <c r="CF58" s="11">
        <v>8</v>
      </c>
      <c r="CG58" s="7">
        <v>1563</v>
      </c>
      <c r="CI58" s="7">
        <v>5</v>
      </c>
      <c r="CJ58" s="7">
        <v>98</v>
      </c>
      <c r="CK58" s="7">
        <v>675956</v>
      </c>
      <c r="CL58" s="7">
        <v>194</v>
      </c>
      <c r="CM58" s="7">
        <v>404732</v>
      </c>
      <c r="CN58" s="7">
        <v>11</v>
      </c>
      <c r="CO58" s="11">
        <v>103</v>
      </c>
      <c r="CP58" s="11">
        <v>98646</v>
      </c>
      <c r="CQ58" s="11">
        <v>5</v>
      </c>
      <c r="CR58" s="11">
        <v>1688</v>
      </c>
      <c r="CS58" s="27"/>
    </row>
    <row r="59" spans="2:130" x14ac:dyDescent="0.2">
      <c r="B59" s="7" t="s">
        <v>99</v>
      </c>
      <c r="C59" s="7">
        <v>2</v>
      </c>
      <c r="D59" s="7">
        <v>37</v>
      </c>
      <c r="E59" s="7">
        <v>107</v>
      </c>
      <c r="F59" s="7">
        <v>6</v>
      </c>
      <c r="G59" s="27"/>
      <c r="H59" s="59">
        <v>1</v>
      </c>
      <c r="I59" s="59">
        <v>1</v>
      </c>
      <c r="J59" s="59">
        <v>1</v>
      </c>
      <c r="K59" s="59">
        <v>3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27"/>
      <c r="R59" s="59">
        <v>0</v>
      </c>
      <c r="T59" s="59">
        <v>0</v>
      </c>
      <c r="U59" s="59">
        <v>0</v>
      </c>
      <c r="V59" s="59">
        <v>0</v>
      </c>
      <c r="W59" s="59">
        <v>0</v>
      </c>
      <c r="X59" s="59">
        <v>0</v>
      </c>
      <c r="Y59" s="59">
        <v>4</v>
      </c>
      <c r="Z59" s="59">
        <v>0</v>
      </c>
      <c r="AA59" s="27"/>
      <c r="AB59" s="7">
        <v>6</v>
      </c>
      <c r="AC59" s="7">
        <v>0</v>
      </c>
      <c r="AD59" s="7">
        <v>0</v>
      </c>
      <c r="AE59" s="7">
        <v>0</v>
      </c>
      <c r="AF59" s="7">
        <v>0</v>
      </c>
      <c r="AH59" s="7">
        <v>0</v>
      </c>
      <c r="AI59" s="27"/>
      <c r="AQ59" s="27"/>
      <c r="AR59" s="7">
        <v>7</v>
      </c>
      <c r="AS59" s="7">
        <v>1</v>
      </c>
      <c r="AT59" s="7">
        <v>1</v>
      </c>
      <c r="AU59" s="7">
        <v>2</v>
      </c>
      <c r="AV59" s="7">
        <v>4</v>
      </c>
      <c r="AW59" s="7">
        <v>8</v>
      </c>
      <c r="AX59" s="7">
        <v>18</v>
      </c>
      <c r="AY59" s="7">
        <v>3</v>
      </c>
      <c r="AZ59" s="7">
        <v>18</v>
      </c>
      <c r="BA59" s="7">
        <v>7</v>
      </c>
      <c r="BB59" s="7">
        <v>1</v>
      </c>
      <c r="BC59" s="7">
        <v>11</v>
      </c>
      <c r="BD59" s="7">
        <v>9</v>
      </c>
      <c r="BE59" s="7">
        <v>3</v>
      </c>
      <c r="BF59" s="7">
        <v>9</v>
      </c>
      <c r="BG59" s="7">
        <v>2</v>
      </c>
      <c r="BH59" s="7">
        <v>1</v>
      </c>
      <c r="BI59" s="27"/>
      <c r="BJ59" s="7">
        <v>1</v>
      </c>
      <c r="BK59" s="7">
        <v>0</v>
      </c>
      <c r="BL59" s="7">
        <v>3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27"/>
      <c r="BT59" s="7">
        <v>6</v>
      </c>
      <c r="BU59" s="7">
        <v>0</v>
      </c>
      <c r="BV59" s="27"/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C59" s="7">
        <v>0</v>
      </c>
      <c r="CE59" s="27"/>
      <c r="CF59" s="11">
        <v>0</v>
      </c>
      <c r="CG59" s="7">
        <v>48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11">
        <v>0</v>
      </c>
      <c r="CP59" s="11">
        <v>0</v>
      </c>
      <c r="CQ59" s="11">
        <v>0</v>
      </c>
      <c r="CR59" s="11">
        <v>0</v>
      </c>
      <c r="CS59" s="27"/>
    </row>
    <row r="60" spans="2:130" s="9" customFormat="1" x14ac:dyDescent="0.2">
      <c r="B60" s="7" t="s">
        <v>100</v>
      </c>
      <c r="C60" s="7">
        <v>5</v>
      </c>
      <c r="D60" s="7">
        <v>298</v>
      </c>
      <c r="E60" s="7">
        <v>632</v>
      </c>
      <c r="F60" s="7">
        <v>22</v>
      </c>
      <c r="G60" s="27"/>
      <c r="H60" s="59">
        <v>1</v>
      </c>
      <c r="I60" s="59">
        <v>1</v>
      </c>
      <c r="J60" s="59">
        <v>9</v>
      </c>
      <c r="K60" s="59">
        <v>7</v>
      </c>
      <c r="L60" s="59">
        <v>2</v>
      </c>
      <c r="M60" s="59">
        <v>1</v>
      </c>
      <c r="N60" s="59">
        <v>0</v>
      </c>
      <c r="O60" s="59">
        <v>0</v>
      </c>
      <c r="P60" s="59">
        <v>0</v>
      </c>
      <c r="Q60" s="27"/>
      <c r="R60" s="59">
        <v>2</v>
      </c>
      <c r="S60" s="59"/>
      <c r="T60" s="59">
        <v>2</v>
      </c>
      <c r="U60" s="59">
        <v>2</v>
      </c>
      <c r="V60" s="59">
        <v>1</v>
      </c>
      <c r="W60" s="59">
        <v>0</v>
      </c>
      <c r="X60" s="59">
        <v>2</v>
      </c>
      <c r="Y60" s="59">
        <v>7</v>
      </c>
      <c r="Z60" s="59">
        <v>4</v>
      </c>
      <c r="AA60" s="27"/>
      <c r="AB60" s="7">
        <v>19</v>
      </c>
      <c r="AC60" s="7">
        <v>1</v>
      </c>
      <c r="AD60" s="7">
        <v>0</v>
      </c>
      <c r="AE60" s="7">
        <v>0</v>
      </c>
      <c r="AF60" s="7">
        <v>0</v>
      </c>
      <c r="AG60" s="7"/>
      <c r="AH60" s="7">
        <v>0</v>
      </c>
      <c r="AI60" s="27"/>
      <c r="AJ60" s="7"/>
      <c r="AK60" s="7"/>
      <c r="AL60" s="7"/>
      <c r="AM60" s="7"/>
      <c r="AN60" s="7"/>
      <c r="AO60" s="7"/>
      <c r="AP60" s="7"/>
      <c r="AQ60" s="27"/>
      <c r="AR60" s="7">
        <v>33</v>
      </c>
      <c r="AS60" s="7">
        <v>23</v>
      </c>
      <c r="AT60" s="7">
        <v>3</v>
      </c>
      <c r="AU60" s="7">
        <v>19</v>
      </c>
      <c r="AV60" s="7">
        <v>38</v>
      </c>
      <c r="AW60" s="7">
        <v>84</v>
      </c>
      <c r="AX60" s="7">
        <v>135</v>
      </c>
      <c r="AY60" s="7">
        <v>23</v>
      </c>
      <c r="AZ60" s="7">
        <v>94</v>
      </c>
      <c r="BA60" s="7">
        <v>54</v>
      </c>
      <c r="BB60" s="7">
        <v>10</v>
      </c>
      <c r="BC60" s="7">
        <v>48</v>
      </c>
      <c r="BD60" s="7">
        <v>45</v>
      </c>
      <c r="BE60" s="7">
        <v>30</v>
      </c>
      <c r="BF60" s="7">
        <v>53</v>
      </c>
      <c r="BG60" s="7">
        <v>17</v>
      </c>
      <c r="BH60" s="7">
        <v>32</v>
      </c>
      <c r="BI60" s="27"/>
      <c r="BJ60" s="7">
        <v>0</v>
      </c>
      <c r="BK60" s="7">
        <v>4</v>
      </c>
      <c r="BL60" s="7">
        <v>4</v>
      </c>
      <c r="BM60" s="7">
        <v>4</v>
      </c>
      <c r="BN60" s="7">
        <v>2</v>
      </c>
      <c r="BO60" s="7">
        <v>0</v>
      </c>
      <c r="BP60" s="7">
        <v>8</v>
      </c>
      <c r="BQ60" s="7">
        <v>0</v>
      </c>
      <c r="BR60" s="7">
        <v>0</v>
      </c>
      <c r="BS60" s="27"/>
      <c r="BT60" s="7">
        <v>22</v>
      </c>
      <c r="BU60" s="7">
        <v>10</v>
      </c>
      <c r="BV60" s="27"/>
      <c r="BW60" s="7">
        <v>8</v>
      </c>
      <c r="BX60" s="7">
        <v>0</v>
      </c>
      <c r="BY60" s="7">
        <v>0</v>
      </c>
      <c r="BZ60" s="7">
        <v>0</v>
      </c>
      <c r="CA60" s="7">
        <v>0</v>
      </c>
      <c r="CB60" s="15"/>
      <c r="CC60" s="7">
        <v>1</v>
      </c>
      <c r="CD60" s="15" t="s">
        <v>303</v>
      </c>
      <c r="CE60" s="27"/>
      <c r="CF60" s="11">
        <v>3</v>
      </c>
      <c r="CG60" s="7">
        <v>366</v>
      </c>
      <c r="CH60" s="7"/>
      <c r="CI60" s="7">
        <v>2</v>
      </c>
      <c r="CJ60" s="7">
        <v>29</v>
      </c>
      <c r="CK60" s="7">
        <v>76264</v>
      </c>
      <c r="CL60" s="7">
        <v>59</v>
      </c>
      <c r="CM60" s="7">
        <v>45512</v>
      </c>
      <c r="CN60" s="7">
        <v>4</v>
      </c>
      <c r="CO60" s="7">
        <v>12</v>
      </c>
      <c r="CP60" s="7">
        <v>6859</v>
      </c>
      <c r="CQ60" s="11">
        <v>7</v>
      </c>
      <c r="CR60" s="11">
        <v>2316</v>
      </c>
      <c r="CS60" s="2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</row>
    <row r="61" spans="2:130" s="9" customFormat="1" x14ac:dyDescent="0.2">
      <c r="B61" s="7" t="s">
        <v>101</v>
      </c>
      <c r="C61" s="7">
        <v>2</v>
      </c>
      <c r="D61" s="7">
        <v>30</v>
      </c>
      <c r="E61" s="7">
        <v>71</v>
      </c>
      <c r="F61" s="7">
        <v>3</v>
      </c>
      <c r="G61" s="27"/>
      <c r="H61" s="59">
        <v>0</v>
      </c>
      <c r="I61" s="59">
        <v>0</v>
      </c>
      <c r="J61" s="59">
        <v>1</v>
      </c>
      <c r="K61" s="59">
        <v>2</v>
      </c>
      <c r="L61" s="59">
        <v>0</v>
      </c>
      <c r="M61" s="59">
        <v>0</v>
      </c>
      <c r="N61" s="59">
        <v>0</v>
      </c>
      <c r="O61" s="59">
        <v>0</v>
      </c>
      <c r="P61" s="59">
        <v>0</v>
      </c>
      <c r="Q61" s="27"/>
      <c r="R61" s="59">
        <v>0</v>
      </c>
      <c r="S61" s="59"/>
      <c r="T61" s="59">
        <v>0</v>
      </c>
      <c r="U61" s="59">
        <v>0</v>
      </c>
      <c r="V61" s="59">
        <v>0</v>
      </c>
      <c r="W61" s="59">
        <v>0</v>
      </c>
      <c r="X61" s="59">
        <v>0</v>
      </c>
      <c r="Y61" s="59">
        <v>2</v>
      </c>
      <c r="Z61" s="59">
        <v>0</v>
      </c>
      <c r="AA61" s="27"/>
      <c r="AB61" s="7">
        <v>3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27"/>
      <c r="AJ61" s="7">
        <v>1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27"/>
      <c r="AR61" s="7">
        <v>5</v>
      </c>
      <c r="AS61" s="7">
        <v>1</v>
      </c>
      <c r="AT61" s="7">
        <v>0</v>
      </c>
      <c r="AU61" s="7">
        <v>2</v>
      </c>
      <c r="AV61" s="7">
        <v>7</v>
      </c>
      <c r="AW61" s="7">
        <v>8</v>
      </c>
      <c r="AX61" s="7">
        <v>8</v>
      </c>
      <c r="AY61" s="7">
        <v>2</v>
      </c>
      <c r="AZ61" s="7">
        <v>14</v>
      </c>
      <c r="BA61" s="7">
        <v>9</v>
      </c>
      <c r="BB61" s="7">
        <v>1</v>
      </c>
      <c r="BC61" s="7">
        <v>11</v>
      </c>
      <c r="BD61" s="7">
        <v>4</v>
      </c>
      <c r="BE61" s="7">
        <v>4</v>
      </c>
      <c r="BF61" s="7">
        <v>2</v>
      </c>
      <c r="BG61" s="7">
        <v>3</v>
      </c>
      <c r="BH61" s="7">
        <v>2</v>
      </c>
      <c r="BI61" s="27"/>
      <c r="BJ61" s="7">
        <v>0</v>
      </c>
      <c r="BK61" s="7">
        <v>1</v>
      </c>
      <c r="BL61" s="7">
        <v>1</v>
      </c>
      <c r="BM61" s="7">
        <v>0</v>
      </c>
      <c r="BN61" s="7">
        <v>0</v>
      </c>
      <c r="BO61" s="7">
        <v>0</v>
      </c>
      <c r="BP61" s="7">
        <v>1</v>
      </c>
      <c r="BQ61" s="7">
        <v>0</v>
      </c>
      <c r="BR61" s="7">
        <v>0</v>
      </c>
      <c r="BS61" s="27"/>
      <c r="BT61" s="7">
        <v>3</v>
      </c>
      <c r="BU61" s="7">
        <v>1</v>
      </c>
      <c r="BV61" s="27"/>
      <c r="BW61" s="7">
        <v>1</v>
      </c>
      <c r="BX61" s="7">
        <v>0</v>
      </c>
      <c r="BY61" s="7">
        <v>0</v>
      </c>
      <c r="BZ61" s="7">
        <v>0</v>
      </c>
      <c r="CA61" s="7">
        <v>0</v>
      </c>
      <c r="CB61" s="15"/>
      <c r="CC61" s="7">
        <v>0</v>
      </c>
      <c r="CD61" s="7"/>
      <c r="CE61" s="27"/>
      <c r="CF61" s="8">
        <v>1</v>
      </c>
      <c r="CG61" s="7">
        <v>49</v>
      </c>
      <c r="CH61" s="7">
        <v>0</v>
      </c>
      <c r="CI61" s="7">
        <v>1</v>
      </c>
      <c r="CJ61" s="7">
        <v>3</v>
      </c>
      <c r="CK61" s="7">
        <v>4204</v>
      </c>
      <c r="CL61" s="7">
        <v>1</v>
      </c>
      <c r="CM61" s="7">
        <v>2215</v>
      </c>
      <c r="CN61" s="7">
        <v>1</v>
      </c>
      <c r="CO61" s="8">
        <v>4</v>
      </c>
      <c r="CP61" s="8">
        <v>2434</v>
      </c>
      <c r="CQ61" s="8">
        <v>0</v>
      </c>
      <c r="CR61" s="8">
        <v>0</v>
      </c>
      <c r="CS61" s="2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</row>
    <row r="62" spans="2:130" s="9" customFormat="1" x14ac:dyDescent="0.2">
      <c r="B62" s="7"/>
      <c r="C62" s="7"/>
      <c r="D62" s="7"/>
      <c r="E62" s="7"/>
      <c r="F62" s="7"/>
      <c r="G62" s="27"/>
      <c r="H62" s="59"/>
      <c r="I62" s="59"/>
      <c r="J62" s="59"/>
      <c r="K62" s="59"/>
      <c r="L62" s="59"/>
      <c r="M62" s="59"/>
      <c r="N62" s="59"/>
      <c r="O62" s="59"/>
      <c r="P62" s="59"/>
      <c r="Q62" s="27"/>
      <c r="R62" s="59"/>
      <c r="S62" s="59"/>
      <c r="T62" s="59"/>
      <c r="U62" s="59"/>
      <c r="V62" s="59"/>
      <c r="W62" s="59"/>
      <c r="X62" s="59"/>
      <c r="Y62" s="59"/>
      <c r="Z62" s="59"/>
      <c r="AA62" s="27"/>
      <c r="AB62" s="7"/>
      <c r="AC62" s="7"/>
      <c r="AD62" s="7"/>
      <c r="AE62" s="7"/>
      <c r="AF62" s="7"/>
      <c r="AG62" s="7"/>
      <c r="AH62" s="7"/>
      <c r="AI62" s="27"/>
      <c r="AJ62" s="7"/>
      <c r="AK62" s="7"/>
      <c r="AL62" s="7"/>
      <c r="AM62" s="7"/>
      <c r="AN62" s="7"/>
      <c r="AO62" s="7"/>
      <c r="AP62" s="7"/>
      <c r="AQ62" s="2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27"/>
      <c r="BJ62" s="7"/>
      <c r="BK62" s="7"/>
      <c r="BL62" s="7"/>
      <c r="BM62" s="7"/>
      <c r="BN62" s="7"/>
      <c r="BO62" s="7"/>
      <c r="BP62" s="7"/>
      <c r="BQ62" s="7"/>
      <c r="BR62" s="7"/>
      <c r="BS62" s="27"/>
      <c r="BT62" s="7"/>
      <c r="BU62" s="7"/>
      <c r="BV62" s="27"/>
      <c r="BW62" s="7"/>
      <c r="BX62" s="7"/>
      <c r="BY62" s="7"/>
      <c r="BZ62" s="7"/>
      <c r="CA62" s="7"/>
      <c r="CB62" s="15"/>
      <c r="CC62" s="7"/>
      <c r="CD62" s="7"/>
      <c r="CE62" s="27"/>
      <c r="CF62" s="7"/>
      <c r="CG62" s="7"/>
      <c r="CH62" s="7"/>
      <c r="CI62" s="7"/>
      <c r="CJ62" s="7"/>
      <c r="CK62" s="7"/>
      <c r="CL62" s="7"/>
      <c r="CM62" s="7"/>
      <c r="CN62" s="7"/>
      <c r="CO62" s="8"/>
      <c r="CP62" s="7"/>
      <c r="CQ62" s="8"/>
      <c r="CR62" s="7"/>
      <c r="CS62" s="2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</row>
    <row r="63" spans="2:130" x14ac:dyDescent="0.2">
      <c r="B63" s="8"/>
      <c r="C63" s="8"/>
      <c r="F63" s="13"/>
      <c r="G63" s="27"/>
      <c r="Q63" s="27"/>
      <c r="AA63" s="27"/>
      <c r="AI63" s="27"/>
      <c r="AQ63" s="27"/>
      <c r="AR63" s="13"/>
      <c r="AS63" s="13"/>
      <c r="AT63" s="13"/>
      <c r="AU63" s="13"/>
      <c r="AV63" s="13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27"/>
      <c r="BS63" s="27"/>
      <c r="BT63" s="13"/>
      <c r="BU63" s="13"/>
      <c r="BV63" s="27"/>
      <c r="CE63" s="27"/>
      <c r="CS63" s="27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9"/>
      <c r="DY63" s="9"/>
      <c r="DZ63" s="9"/>
    </row>
    <row r="64" spans="2:130" x14ac:dyDescent="0.2">
      <c r="G64" s="27"/>
      <c r="Q64" s="27"/>
      <c r="AA64" s="27"/>
      <c r="AI64" s="27"/>
      <c r="AQ64" s="27"/>
      <c r="BI64" s="27"/>
      <c r="BS64" s="27"/>
      <c r="BV64" s="27"/>
      <c r="CE64" s="27"/>
      <c r="CS64" s="27"/>
    </row>
    <row r="65" spans="1:96" s="46" customFormat="1" ht="19" x14ac:dyDescent="0.25">
      <c r="A65" s="47"/>
      <c r="B65" s="47"/>
      <c r="C65" s="47">
        <f>SUM(C10:C64)</f>
        <v>660</v>
      </c>
      <c r="D65" s="47">
        <f>SUM(D10:D62)</f>
        <v>25747</v>
      </c>
      <c r="E65" s="48">
        <f>SUM(E10:E63)</f>
        <v>64032</v>
      </c>
      <c r="F65" s="47">
        <f>SUM(F10:F63)</f>
        <v>2403</v>
      </c>
      <c r="G65" s="47"/>
      <c r="H65" s="47">
        <f t="shared" ref="H65:P65" si="0">SUM(H10:H63)</f>
        <v>300</v>
      </c>
      <c r="I65" s="47">
        <f t="shared" si="0"/>
        <v>269</v>
      </c>
      <c r="J65" s="47">
        <f t="shared" si="0"/>
        <v>571</v>
      </c>
      <c r="K65" s="47">
        <f t="shared" si="0"/>
        <v>981</v>
      </c>
      <c r="L65" s="47">
        <f t="shared" si="0"/>
        <v>203</v>
      </c>
      <c r="M65" s="47">
        <f t="shared" si="0"/>
        <v>41</v>
      </c>
      <c r="N65" s="47">
        <f t="shared" si="0"/>
        <v>8</v>
      </c>
      <c r="O65" s="47">
        <f t="shared" si="0"/>
        <v>0</v>
      </c>
      <c r="P65" s="47">
        <f t="shared" si="0"/>
        <v>2</v>
      </c>
      <c r="Q65" s="47"/>
      <c r="R65" s="47">
        <f t="shared" ref="R65:Z65" si="1">SUM(R10:R63)</f>
        <v>121</v>
      </c>
      <c r="S65" s="47">
        <f t="shared" si="1"/>
        <v>0</v>
      </c>
      <c r="T65" s="47">
        <f t="shared" si="1"/>
        <v>115</v>
      </c>
      <c r="U65" s="47">
        <f t="shared" si="1"/>
        <v>89</v>
      </c>
      <c r="V65" s="47">
        <f t="shared" si="1"/>
        <v>69</v>
      </c>
      <c r="W65" s="47">
        <f t="shared" si="1"/>
        <v>115</v>
      </c>
      <c r="X65" s="47">
        <f t="shared" si="1"/>
        <v>188</v>
      </c>
      <c r="Y65" s="47">
        <f t="shared" si="1"/>
        <v>504</v>
      </c>
      <c r="Z65" s="47">
        <f t="shared" si="1"/>
        <v>221</v>
      </c>
      <c r="AA65" s="47"/>
      <c r="AB65" s="48">
        <f t="shared" ref="AB65:CR65" si="2">SUM(AB10:AB63)</f>
        <v>1922</v>
      </c>
      <c r="AC65" s="48">
        <f t="shared" si="2"/>
        <v>305</v>
      </c>
      <c r="AD65" s="48">
        <f t="shared" si="2"/>
        <v>38</v>
      </c>
      <c r="AE65" s="48">
        <f t="shared" si="2"/>
        <v>39</v>
      </c>
      <c r="AF65" s="48">
        <f t="shared" si="2"/>
        <v>103</v>
      </c>
      <c r="AG65" s="48">
        <f t="shared" si="2"/>
        <v>2</v>
      </c>
      <c r="AH65" s="48">
        <f t="shared" si="2"/>
        <v>80</v>
      </c>
      <c r="AI65" s="47"/>
      <c r="AJ65" s="48">
        <f t="shared" si="2"/>
        <v>188</v>
      </c>
      <c r="AK65" s="48">
        <f t="shared" si="2"/>
        <v>91</v>
      </c>
      <c r="AL65" s="48">
        <f t="shared" si="2"/>
        <v>22</v>
      </c>
      <c r="AM65" s="48">
        <f t="shared" si="2"/>
        <v>4</v>
      </c>
      <c r="AN65" s="48">
        <f t="shared" si="2"/>
        <v>2</v>
      </c>
      <c r="AO65" s="48">
        <f t="shared" si="2"/>
        <v>2</v>
      </c>
      <c r="AP65" s="48">
        <f t="shared" si="2"/>
        <v>22</v>
      </c>
      <c r="AQ65" s="47"/>
      <c r="AR65" s="48">
        <f t="shared" si="2"/>
        <v>3814</v>
      </c>
      <c r="AS65" s="48">
        <f t="shared" si="2"/>
        <v>2559</v>
      </c>
      <c r="AT65" s="48">
        <f t="shared" si="2"/>
        <v>381</v>
      </c>
      <c r="AU65" s="48">
        <f t="shared" si="2"/>
        <v>1402</v>
      </c>
      <c r="AV65" s="48">
        <f t="shared" si="2"/>
        <v>2478</v>
      </c>
      <c r="AW65" s="48">
        <f t="shared" si="2"/>
        <v>8384</v>
      </c>
      <c r="AX65" s="48">
        <f t="shared" si="2"/>
        <v>13575</v>
      </c>
      <c r="AY65" s="48">
        <f t="shared" si="2"/>
        <v>2616</v>
      </c>
      <c r="AZ65" s="48">
        <f t="shared" si="2"/>
        <v>9301</v>
      </c>
      <c r="BA65" s="48">
        <f t="shared" si="2"/>
        <v>5828</v>
      </c>
      <c r="BB65" s="48">
        <f t="shared" si="2"/>
        <v>1746</v>
      </c>
      <c r="BC65" s="48">
        <f t="shared" si="2"/>
        <v>5737</v>
      </c>
      <c r="BD65" s="48">
        <f t="shared" si="2"/>
        <v>5538</v>
      </c>
      <c r="BE65" s="48">
        <f t="shared" si="2"/>
        <v>3096</v>
      </c>
      <c r="BF65" s="48">
        <f t="shared" si="2"/>
        <v>4555</v>
      </c>
      <c r="BG65" s="48">
        <f t="shared" si="2"/>
        <v>1913</v>
      </c>
      <c r="BH65" s="48">
        <f t="shared" si="2"/>
        <v>2818</v>
      </c>
      <c r="BI65" s="47"/>
      <c r="BJ65" s="48">
        <f t="shared" si="2"/>
        <v>148</v>
      </c>
      <c r="BK65" s="48">
        <f t="shared" si="2"/>
        <v>548</v>
      </c>
      <c r="BL65" s="48">
        <f t="shared" si="2"/>
        <v>619</v>
      </c>
      <c r="BM65" s="48">
        <f t="shared" si="2"/>
        <v>439</v>
      </c>
      <c r="BN65" s="48">
        <f t="shared" si="2"/>
        <v>209</v>
      </c>
      <c r="BO65" s="48">
        <f t="shared" si="2"/>
        <v>113</v>
      </c>
      <c r="BP65" s="48">
        <f t="shared" si="2"/>
        <v>438</v>
      </c>
      <c r="BQ65" s="48">
        <f t="shared" si="2"/>
        <v>70</v>
      </c>
      <c r="BR65" s="48">
        <f t="shared" si="2"/>
        <v>42</v>
      </c>
      <c r="BS65" s="47"/>
      <c r="BT65" s="48">
        <f t="shared" si="2"/>
        <v>2343</v>
      </c>
      <c r="BU65" s="48">
        <f t="shared" si="2"/>
        <v>911</v>
      </c>
      <c r="BV65" s="47"/>
      <c r="BW65" s="48">
        <f t="shared" si="2"/>
        <v>537</v>
      </c>
      <c r="BX65" s="48">
        <f t="shared" si="2"/>
        <v>175</v>
      </c>
      <c r="BY65" s="48">
        <f t="shared" si="2"/>
        <v>32</v>
      </c>
      <c r="BZ65" s="48">
        <f t="shared" si="2"/>
        <v>12</v>
      </c>
      <c r="CA65" s="48">
        <f t="shared" si="2"/>
        <v>77</v>
      </c>
      <c r="CB65" s="98" t="s">
        <v>175</v>
      </c>
      <c r="CC65" s="48">
        <f t="shared" si="2"/>
        <v>59</v>
      </c>
      <c r="CD65" s="48" t="s">
        <v>275</v>
      </c>
      <c r="CE65" s="47"/>
      <c r="CF65" s="48">
        <f>SUM(CF10:CF63)</f>
        <v>190</v>
      </c>
      <c r="CG65" s="48">
        <f t="shared" si="2"/>
        <v>47100</v>
      </c>
      <c r="CH65" s="48">
        <f t="shared" si="2"/>
        <v>16</v>
      </c>
      <c r="CI65" s="48">
        <f>SUM(CI10:CI63)</f>
        <v>163</v>
      </c>
      <c r="CJ65" s="48">
        <f t="shared" si="2"/>
        <v>2880</v>
      </c>
      <c r="CK65" s="48">
        <f t="shared" si="2"/>
        <v>12505521</v>
      </c>
      <c r="CL65" s="48">
        <f t="shared" si="2"/>
        <v>3627</v>
      </c>
      <c r="CM65" s="48">
        <f t="shared" si="2"/>
        <v>13666744</v>
      </c>
      <c r="CN65" s="48">
        <f t="shared" si="2"/>
        <v>380</v>
      </c>
      <c r="CO65" s="48">
        <f t="shared" si="2"/>
        <v>1444</v>
      </c>
      <c r="CP65" s="48">
        <f t="shared" si="2"/>
        <v>5575135</v>
      </c>
      <c r="CQ65" s="48">
        <f t="shared" si="2"/>
        <v>73</v>
      </c>
      <c r="CR65" s="48">
        <f t="shared" si="2"/>
        <v>475105</v>
      </c>
    </row>
    <row r="66" spans="1:96" x14ac:dyDescent="0.2">
      <c r="C66" s="10">
        <v>0.25</v>
      </c>
      <c r="AB66" s="10">
        <v>0.75</v>
      </c>
      <c r="AC66" s="10">
        <v>0.13</v>
      </c>
      <c r="AD66" s="10">
        <v>0.01</v>
      </c>
      <c r="AE66" s="10">
        <v>0.01</v>
      </c>
      <c r="AF66" s="10">
        <v>0.04</v>
      </c>
      <c r="AG66" s="10"/>
      <c r="AH66" s="10">
        <v>0.01</v>
      </c>
      <c r="BW66" s="10"/>
      <c r="BX66" s="10"/>
      <c r="BY66" s="10"/>
      <c r="BZ66" s="10"/>
      <c r="CA66" s="10"/>
      <c r="CB66" s="99"/>
      <c r="CC66" s="10"/>
      <c r="CD66" s="10"/>
      <c r="CF66" s="10">
        <v>0.09</v>
      </c>
      <c r="CK66" s="14"/>
      <c r="CM66" s="14"/>
      <c r="CP66" s="14"/>
    </row>
    <row r="67" spans="1:96" x14ac:dyDescent="0.2">
      <c r="C67" s="10"/>
      <c r="R67" s="74" t="s">
        <v>231</v>
      </c>
      <c r="S67" s="75"/>
      <c r="T67" s="75"/>
      <c r="U67" s="75"/>
      <c r="V67" s="75"/>
      <c r="AB67" s="10"/>
      <c r="AC67" s="10"/>
      <c r="AD67" s="10"/>
      <c r="AE67" s="10"/>
      <c r="AF67" s="10"/>
      <c r="AG67" s="10"/>
      <c r="AH67" s="10"/>
      <c r="AJ67" s="74" t="s">
        <v>230</v>
      </c>
      <c r="AK67" s="75"/>
      <c r="AL67" s="75"/>
      <c r="AM67" s="75"/>
      <c r="AN67" s="75"/>
      <c r="AO67" s="75"/>
      <c r="AP67" s="75"/>
      <c r="BW67" s="10"/>
      <c r="BX67" s="10"/>
      <c r="BY67" s="10"/>
      <c r="BZ67" s="10"/>
      <c r="CA67" s="10"/>
      <c r="CB67" s="99"/>
      <c r="CC67" s="10"/>
      <c r="CD67" s="10"/>
      <c r="CF67" s="10"/>
      <c r="CK67" s="14"/>
      <c r="CM67" s="14"/>
      <c r="CP67" s="14"/>
    </row>
    <row r="68" spans="1:96" x14ac:dyDescent="0.2">
      <c r="C68" s="10"/>
      <c r="AB68" s="10"/>
      <c r="AC68" s="10"/>
      <c r="AD68" s="10"/>
      <c r="AE68" s="10"/>
      <c r="AF68" s="10"/>
      <c r="AG68" s="10"/>
      <c r="AH68" s="10"/>
      <c r="BW68" s="10"/>
      <c r="BX68" s="10"/>
      <c r="BY68" s="10"/>
      <c r="BZ68" s="10"/>
      <c r="CA68" s="10"/>
      <c r="CB68" s="99"/>
      <c r="CC68" s="10"/>
      <c r="CD68" s="10"/>
      <c r="CF68" s="10"/>
      <c r="CK68" s="14"/>
      <c r="CM68" s="14"/>
      <c r="CP68" s="14"/>
    </row>
    <row r="69" spans="1:96" x14ac:dyDescent="0.2">
      <c r="C69" s="10"/>
      <c r="AB69" s="10"/>
      <c r="AC69" s="10"/>
      <c r="AD69" s="10"/>
      <c r="AE69" s="10"/>
      <c r="AF69" s="10"/>
      <c r="AG69" s="10"/>
      <c r="AH69" s="10"/>
      <c r="BW69" s="10"/>
      <c r="BX69" s="10"/>
      <c r="BY69" s="10"/>
      <c r="BZ69" s="10"/>
      <c r="CA69" s="10"/>
      <c r="CB69" s="99"/>
      <c r="CC69" s="10"/>
      <c r="CD69" s="10"/>
      <c r="CF69" s="10"/>
      <c r="CK69" s="14"/>
      <c r="CM69" s="14"/>
      <c r="CP69" s="14"/>
    </row>
    <row r="70" spans="1:96" x14ac:dyDescent="0.2">
      <c r="A70" s="2"/>
      <c r="B70" s="2"/>
      <c r="C70" s="66" t="s">
        <v>157</v>
      </c>
      <c r="D70" s="1"/>
      <c r="E70" s="1"/>
      <c r="F70" s="1"/>
      <c r="G70" s="1"/>
      <c r="H70" s="57"/>
      <c r="I70" s="57"/>
      <c r="J70" s="57"/>
      <c r="K70" s="57"/>
      <c r="L70" s="57"/>
      <c r="M70" s="57"/>
      <c r="N70" s="57"/>
      <c r="O70" s="57"/>
      <c r="P70" s="57"/>
      <c r="Q70" s="1"/>
      <c r="R70" s="67" t="s">
        <v>227</v>
      </c>
      <c r="S70" s="57"/>
      <c r="T70" s="57"/>
      <c r="U70" s="57"/>
      <c r="V70" s="57"/>
      <c r="W70" s="57"/>
      <c r="X70" s="57"/>
      <c r="Y70" s="57"/>
      <c r="Z70" s="57"/>
      <c r="AA70" s="1"/>
      <c r="AB70" s="66" t="s">
        <v>228</v>
      </c>
      <c r="AC70" s="68"/>
      <c r="AD70" s="1"/>
      <c r="AE70" s="1"/>
      <c r="AF70" s="1"/>
      <c r="AG70" s="1"/>
      <c r="AH70" s="1"/>
      <c r="AI70" s="1"/>
      <c r="AJ70" s="66" t="s">
        <v>229</v>
      </c>
      <c r="AK70" s="68"/>
      <c r="AL70" s="1"/>
      <c r="AM70" s="1"/>
      <c r="AN70" s="1"/>
      <c r="AO70" s="1"/>
      <c r="AP70" s="1"/>
      <c r="AQ70" s="1"/>
      <c r="AR70" s="66" t="s">
        <v>158</v>
      </c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66" t="s">
        <v>163</v>
      </c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66" t="s">
        <v>164</v>
      </c>
      <c r="BX70" s="1"/>
      <c r="BY70" s="1"/>
      <c r="BZ70" s="1"/>
      <c r="CA70" s="1"/>
      <c r="CB70" s="69"/>
      <c r="CC70" s="1"/>
      <c r="CD70" s="1"/>
      <c r="CE70" s="1"/>
      <c r="CF70" s="66" t="s">
        <v>159</v>
      </c>
      <c r="CG70" s="68"/>
      <c r="CH70" s="23"/>
      <c r="CI70" s="1"/>
      <c r="CJ70" s="1"/>
      <c r="CK70" s="1"/>
      <c r="CL70" s="1"/>
      <c r="CM70" s="1"/>
      <c r="CN70" s="1"/>
      <c r="CO70" s="19"/>
      <c r="CP70" s="1"/>
      <c r="CQ70" s="19"/>
      <c r="CR70" s="1"/>
    </row>
    <row r="71" spans="1:96" s="2" customFormat="1" x14ac:dyDescent="0.2">
      <c r="C71" s="2" t="s">
        <v>3</v>
      </c>
      <c r="D71" s="2" t="s">
        <v>3</v>
      </c>
      <c r="F71" s="2" t="s">
        <v>0</v>
      </c>
      <c r="H71" s="3" t="s">
        <v>241</v>
      </c>
      <c r="R71" s="3" t="s">
        <v>198</v>
      </c>
      <c r="S71" s="3"/>
      <c r="Z71" s="2" t="s">
        <v>199</v>
      </c>
      <c r="AB71" s="3" t="s">
        <v>24</v>
      </c>
      <c r="AJ71" s="3" t="s">
        <v>180</v>
      </c>
      <c r="AR71" s="3" t="s">
        <v>1</v>
      </c>
      <c r="AS71" s="3"/>
      <c r="AT71" s="3"/>
      <c r="AU71" s="3"/>
      <c r="AV71" s="3"/>
      <c r="BJ71" s="3" t="s">
        <v>160</v>
      </c>
      <c r="BQ71" s="2" t="s">
        <v>232</v>
      </c>
      <c r="BT71" s="2" t="s">
        <v>0</v>
      </c>
      <c r="BU71" s="2" t="s">
        <v>0</v>
      </c>
      <c r="BW71" s="3" t="s">
        <v>129</v>
      </c>
      <c r="CB71" s="3"/>
      <c r="CF71" s="2" t="s">
        <v>147</v>
      </c>
      <c r="CG71" s="2" t="s">
        <v>2</v>
      </c>
    </row>
    <row r="72" spans="1:96" s="2" customFormat="1" x14ac:dyDescent="0.2">
      <c r="C72" s="2" t="s">
        <v>165</v>
      </c>
      <c r="D72" s="2" t="s">
        <v>165</v>
      </c>
      <c r="E72" s="2" t="s">
        <v>0</v>
      </c>
      <c r="F72" s="2" t="s">
        <v>4</v>
      </c>
      <c r="H72" s="61" t="s">
        <v>200</v>
      </c>
      <c r="I72" s="62"/>
      <c r="J72" s="62"/>
      <c r="K72" s="62"/>
      <c r="L72" s="62"/>
      <c r="M72" s="62"/>
      <c r="N72" s="62"/>
      <c r="O72" s="62"/>
      <c r="P72" s="62"/>
      <c r="R72" s="2" t="s">
        <v>201</v>
      </c>
      <c r="T72" s="2" t="s">
        <v>202</v>
      </c>
      <c r="U72" s="2" t="s">
        <v>203</v>
      </c>
      <c r="V72" s="2" t="s">
        <v>204</v>
      </c>
      <c r="W72" s="2" t="s">
        <v>205</v>
      </c>
      <c r="X72" s="2" t="s">
        <v>206</v>
      </c>
      <c r="Y72" s="2" t="s">
        <v>207</v>
      </c>
      <c r="Z72" s="2" t="s">
        <v>208</v>
      </c>
      <c r="AB72" s="29" t="s">
        <v>141</v>
      </c>
      <c r="AC72" s="29"/>
      <c r="AD72" s="29"/>
      <c r="AE72" s="29"/>
      <c r="AF72" s="29"/>
      <c r="AG72" s="29"/>
      <c r="AH72" s="29"/>
      <c r="AJ72" s="2" t="s">
        <v>141</v>
      </c>
      <c r="AR72" s="2" t="s">
        <v>5</v>
      </c>
      <c r="AS72" s="2" t="s">
        <v>6</v>
      </c>
      <c r="AT72" s="2" t="s">
        <v>7</v>
      </c>
      <c r="AU72" s="2" t="s">
        <v>8</v>
      </c>
      <c r="AV72" s="2" t="s">
        <v>9</v>
      </c>
      <c r="AW72" s="2" t="s">
        <v>10</v>
      </c>
      <c r="AX72" s="2" t="s">
        <v>11</v>
      </c>
      <c r="BA72" s="2" t="s">
        <v>12</v>
      </c>
      <c r="BB72" s="2" t="s">
        <v>13</v>
      </c>
      <c r="BC72" s="2" t="s">
        <v>14</v>
      </c>
      <c r="BD72" s="2" t="s">
        <v>15</v>
      </c>
      <c r="BF72" s="2" t="s">
        <v>16</v>
      </c>
      <c r="BH72" s="2" t="s">
        <v>17</v>
      </c>
      <c r="BJ72" s="3" t="s">
        <v>161</v>
      </c>
      <c r="BQ72" s="2" t="s">
        <v>233</v>
      </c>
      <c r="BR72" s="2" t="s">
        <v>234</v>
      </c>
      <c r="BT72" s="2" t="s">
        <v>4</v>
      </c>
      <c r="BU72" s="2" t="s">
        <v>140</v>
      </c>
      <c r="BW72" s="17" t="s">
        <v>130</v>
      </c>
      <c r="BX72" s="17" t="s">
        <v>131</v>
      </c>
      <c r="BY72" s="17" t="s">
        <v>325</v>
      </c>
      <c r="BZ72" s="17" t="s">
        <v>326</v>
      </c>
      <c r="CA72" s="17" t="s">
        <v>132</v>
      </c>
      <c r="CB72" s="92"/>
      <c r="CC72" s="17" t="s">
        <v>133</v>
      </c>
      <c r="CD72" s="17"/>
      <c r="CF72" s="2" t="s">
        <v>169</v>
      </c>
      <c r="CG72" s="2" t="s">
        <v>181</v>
      </c>
      <c r="CH72" s="2" t="s">
        <v>182</v>
      </c>
      <c r="CI72" s="2" t="s">
        <v>19</v>
      </c>
      <c r="CJ72" s="2" t="s">
        <v>19</v>
      </c>
      <c r="CK72" s="2" t="s">
        <v>19</v>
      </c>
      <c r="CL72" s="2" t="s">
        <v>20</v>
      </c>
      <c r="CM72" s="2" t="s">
        <v>20</v>
      </c>
      <c r="CO72" s="2" t="s">
        <v>21</v>
      </c>
      <c r="CP72" s="2" t="s">
        <v>21</v>
      </c>
      <c r="CQ72" s="2" t="s">
        <v>22</v>
      </c>
      <c r="CR72" s="2" t="s">
        <v>22</v>
      </c>
    </row>
    <row r="73" spans="1:96" s="4" customFormat="1" ht="17" thickBot="1" x14ac:dyDescent="0.25">
      <c r="B73" s="4" t="s">
        <v>23</v>
      </c>
      <c r="C73" s="4" t="s">
        <v>24</v>
      </c>
      <c r="D73" s="4" t="s">
        <v>25</v>
      </c>
      <c r="E73" s="4" t="s">
        <v>25</v>
      </c>
      <c r="F73" s="4" t="s">
        <v>26</v>
      </c>
      <c r="H73" s="63" t="s">
        <v>209</v>
      </c>
      <c r="I73" s="64" t="s">
        <v>210</v>
      </c>
      <c r="J73" s="64" t="s">
        <v>211</v>
      </c>
      <c r="K73" s="64" t="s">
        <v>212</v>
      </c>
      <c r="L73" s="64" t="s">
        <v>213</v>
      </c>
      <c r="M73" s="64" t="s">
        <v>214</v>
      </c>
      <c r="N73" s="64" t="s">
        <v>215</v>
      </c>
      <c r="O73" s="64" t="s">
        <v>216</v>
      </c>
      <c r="P73" s="64" t="s">
        <v>217</v>
      </c>
      <c r="R73" s="65" t="s">
        <v>218</v>
      </c>
      <c r="S73" s="4" t="s">
        <v>219</v>
      </c>
      <c r="T73" s="4" t="s">
        <v>220</v>
      </c>
      <c r="U73" s="4" t="s">
        <v>221</v>
      </c>
      <c r="V73" s="4" t="s">
        <v>222</v>
      </c>
      <c r="W73" s="4" t="s">
        <v>223</v>
      </c>
      <c r="X73" s="4" t="s">
        <v>224</v>
      </c>
      <c r="Y73" s="4" t="s">
        <v>225</v>
      </c>
      <c r="Z73" s="4" t="s">
        <v>226</v>
      </c>
      <c r="AB73" s="30" t="s">
        <v>142</v>
      </c>
      <c r="AC73" s="30" t="s">
        <v>143</v>
      </c>
      <c r="AD73" s="30" t="s">
        <v>144</v>
      </c>
      <c r="AE73" s="30" t="s">
        <v>145</v>
      </c>
      <c r="AF73" s="30" t="s">
        <v>10</v>
      </c>
      <c r="AG73" s="30" t="s">
        <v>22</v>
      </c>
      <c r="AH73" s="30" t="s">
        <v>146</v>
      </c>
      <c r="AJ73" s="4" t="s">
        <v>142</v>
      </c>
      <c r="AK73" s="4" t="s">
        <v>143</v>
      </c>
      <c r="AL73" s="4" t="s">
        <v>144</v>
      </c>
      <c r="AM73" s="4" t="s">
        <v>145</v>
      </c>
      <c r="AN73" s="4" t="s">
        <v>10</v>
      </c>
      <c r="AO73" s="4" t="s">
        <v>22</v>
      </c>
      <c r="AP73" s="4" t="s">
        <v>146</v>
      </c>
      <c r="AR73" s="4" t="s">
        <v>28</v>
      </c>
      <c r="AS73" s="4" t="s">
        <v>29</v>
      </c>
      <c r="AT73" s="4" t="s">
        <v>29</v>
      </c>
      <c r="AU73" s="4" t="s">
        <v>30</v>
      </c>
      <c r="AV73" s="4" t="s">
        <v>31</v>
      </c>
      <c r="AW73" s="4" t="s">
        <v>32</v>
      </c>
      <c r="AX73" s="4" t="s">
        <v>33</v>
      </c>
      <c r="AY73" s="4" t="s">
        <v>34</v>
      </c>
      <c r="AZ73" s="4" t="s">
        <v>35</v>
      </c>
      <c r="BA73" s="4" t="s">
        <v>36</v>
      </c>
      <c r="BB73" s="4" t="s">
        <v>37</v>
      </c>
      <c r="BC73" s="4" t="s">
        <v>38</v>
      </c>
      <c r="BD73" s="4" t="s">
        <v>39</v>
      </c>
      <c r="BE73" s="4" t="s">
        <v>40</v>
      </c>
      <c r="BF73" s="4" t="s">
        <v>41</v>
      </c>
      <c r="BG73" s="4" t="s">
        <v>42</v>
      </c>
      <c r="BH73" s="4" t="s">
        <v>43</v>
      </c>
      <c r="BJ73" s="4" t="s">
        <v>238</v>
      </c>
      <c r="BK73" s="4" t="s">
        <v>239</v>
      </c>
      <c r="BL73" s="4" t="s">
        <v>240</v>
      </c>
      <c r="BM73" s="4" t="s">
        <v>162</v>
      </c>
      <c r="BN73" s="4" t="s">
        <v>236</v>
      </c>
      <c r="BO73" s="4" t="s">
        <v>237</v>
      </c>
      <c r="BP73" s="4" t="s">
        <v>10</v>
      </c>
      <c r="BQ73" s="4" t="s">
        <v>235</v>
      </c>
      <c r="BR73" s="4" t="s">
        <v>235</v>
      </c>
      <c r="BT73" s="4" t="s">
        <v>26</v>
      </c>
      <c r="BU73" s="4" t="s">
        <v>27</v>
      </c>
      <c r="BW73" s="4" t="s">
        <v>134</v>
      </c>
      <c r="BX73" s="4" t="s">
        <v>134</v>
      </c>
      <c r="BY73" s="4" t="s">
        <v>134</v>
      </c>
      <c r="BZ73" s="4" t="s">
        <v>134</v>
      </c>
      <c r="CA73" s="4" t="s">
        <v>23</v>
      </c>
      <c r="CB73" s="65" t="s">
        <v>322</v>
      </c>
      <c r="CC73" s="4" t="s">
        <v>6</v>
      </c>
      <c r="CD73" s="65" t="s">
        <v>275</v>
      </c>
      <c r="CF73" s="4" t="s">
        <v>170</v>
      </c>
      <c r="CG73" s="4" t="s">
        <v>44</v>
      </c>
      <c r="CH73" s="4" t="s">
        <v>44</v>
      </c>
      <c r="CI73" s="4" t="s">
        <v>45</v>
      </c>
      <c r="CJ73" s="4" t="s">
        <v>44</v>
      </c>
      <c r="CK73" s="4" t="s">
        <v>46</v>
      </c>
      <c r="CL73" s="4" t="s">
        <v>44</v>
      </c>
      <c r="CM73" s="4" t="s">
        <v>47</v>
      </c>
      <c r="CN73" s="4" t="s">
        <v>48</v>
      </c>
      <c r="CO73" s="4" t="s">
        <v>44</v>
      </c>
      <c r="CP73" s="4" t="s">
        <v>46</v>
      </c>
      <c r="CQ73" s="4" t="s">
        <v>49</v>
      </c>
      <c r="CR73" s="4" t="s">
        <v>46</v>
      </c>
    </row>
    <row r="74" spans="1:96" x14ac:dyDescent="0.2">
      <c r="CK74" s="14"/>
      <c r="CM74" s="14"/>
      <c r="CO74" s="7"/>
    </row>
    <row r="75" spans="1:96" x14ac:dyDescent="0.2">
      <c r="CH75" s="15"/>
    </row>
    <row r="76" spans="1:96" ht="19" x14ac:dyDescent="0.25">
      <c r="B76" s="25" t="s">
        <v>103</v>
      </c>
      <c r="R76" s="25" t="s">
        <v>258</v>
      </c>
      <c r="AB76" s="25" t="s">
        <v>103</v>
      </c>
      <c r="AC76" s="20"/>
      <c r="AD76" s="20"/>
      <c r="AS76" s="25" t="s">
        <v>255</v>
      </c>
      <c r="AT76" s="16"/>
      <c r="BW76" s="80"/>
      <c r="CB76" s="82"/>
      <c r="CC76" s="80"/>
      <c r="CG76" s="25" t="s">
        <v>257</v>
      </c>
      <c r="CH76" s="20"/>
      <c r="CK76" s="53">
        <f>SUM(CG65, CH65, CK65, CM65, CN65, CP65, CR65)</f>
        <v>32270001</v>
      </c>
    </row>
    <row r="77" spans="1:96" ht="19" x14ac:dyDescent="0.25">
      <c r="B77" s="15" t="s">
        <v>154</v>
      </c>
      <c r="R77" s="73" t="s">
        <v>259</v>
      </c>
      <c r="T77" s="73" t="s">
        <v>266</v>
      </c>
      <c r="AB77" s="15" t="s">
        <v>148</v>
      </c>
      <c r="AS77" s="15" t="s">
        <v>107</v>
      </c>
      <c r="AU77" s="15" t="s">
        <v>243</v>
      </c>
      <c r="BZ77" s="80"/>
      <c r="CA77" s="81" t="s">
        <v>175</v>
      </c>
      <c r="CB77" s="82"/>
      <c r="CC77" s="80"/>
      <c r="CD77" s="82" t="s">
        <v>275</v>
      </c>
      <c r="CK77" s="15" t="s">
        <v>104</v>
      </c>
      <c r="CO77" s="7"/>
      <c r="CQ77" s="7"/>
    </row>
    <row r="78" spans="1:96" x14ac:dyDescent="0.2">
      <c r="B78" s="15" t="s">
        <v>105</v>
      </c>
      <c r="R78" s="73" t="s">
        <v>260</v>
      </c>
      <c r="T78" s="73" t="s">
        <v>267</v>
      </c>
      <c r="AB78" s="15" t="s">
        <v>155</v>
      </c>
      <c r="AS78" s="15" t="s">
        <v>108</v>
      </c>
      <c r="AU78" s="15" t="s">
        <v>254</v>
      </c>
      <c r="BZ78" s="83">
        <v>1</v>
      </c>
      <c r="CA78" s="84" t="s">
        <v>51</v>
      </c>
      <c r="CB78" s="85"/>
      <c r="CC78" s="83">
        <v>1</v>
      </c>
      <c r="CD78" s="85" t="s">
        <v>276</v>
      </c>
      <c r="CK78" s="15" t="s">
        <v>106</v>
      </c>
      <c r="CO78" s="7"/>
      <c r="CQ78" s="7"/>
    </row>
    <row r="79" spans="1:96" x14ac:dyDescent="0.2">
      <c r="B79" s="15" t="s">
        <v>136</v>
      </c>
      <c r="R79" s="73" t="s">
        <v>261</v>
      </c>
      <c r="T79" s="73" t="s">
        <v>268</v>
      </c>
      <c r="AS79" s="15" t="s">
        <v>109</v>
      </c>
      <c r="AU79" s="15" t="s">
        <v>253</v>
      </c>
      <c r="BZ79" s="11">
        <v>3</v>
      </c>
      <c r="CA79" s="86" t="s">
        <v>50</v>
      </c>
      <c r="CC79" s="87">
        <v>3</v>
      </c>
      <c r="CD79" s="15" t="s">
        <v>277</v>
      </c>
      <c r="CO79" s="7"/>
      <c r="CQ79" s="7"/>
    </row>
    <row r="80" spans="1:96" x14ac:dyDescent="0.2">
      <c r="B80" s="15" t="s">
        <v>152</v>
      </c>
      <c r="R80" s="73" t="s">
        <v>262</v>
      </c>
      <c r="T80" s="73" t="s">
        <v>269</v>
      </c>
      <c r="AS80" s="15" t="s">
        <v>110</v>
      </c>
      <c r="AU80" s="15" t="s">
        <v>111</v>
      </c>
      <c r="BZ80" s="11">
        <v>2</v>
      </c>
      <c r="CA80" s="86" t="s">
        <v>53</v>
      </c>
      <c r="CB80" s="88"/>
      <c r="CC80" s="11">
        <v>1</v>
      </c>
      <c r="CD80" s="88" t="s">
        <v>278</v>
      </c>
      <c r="CG80" s="25" t="s">
        <v>256</v>
      </c>
      <c r="CH80" s="16"/>
      <c r="CO80" s="7"/>
      <c r="CQ80" s="7"/>
    </row>
    <row r="81" spans="2:95" x14ac:dyDescent="0.2">
      <c r="B81" s="15" t="s">
        <v>153</v>
      </c>
      <c r="R81" s="73" t="s">
        <v>204</v>
      </c>
      <c r="T81" s="73" t="s">
        <v>270</v>
      </c>
      <c r="AS81" s="15" t="s">
        <v>112</v>
      </c>
      <c r="AU81" s="15" t="s">
        <v>244</v>
      </c>
      <c r="BZ81" s="7">
        <v>3</v>
      </c>
      <c r="CA81" s="13" t="s">
        <v>52</v>
      </c>
      <c r="CB81" s="88"/>
      <c r="CC81" s="11">
        <v>1</v>
      </c>
      <c r="CD81" s="89" t="s">
        <v>279</v>
      </c>
      <c r="CG81" s="15" t="s">
        <v>18</v>
      </c>
      <c r="CH81" s="15"/>
      <c r="CK81" s="15" t="s">
        <v>122</v>
      </c>
      <c r="CO81" s="7"/>
      <c r="CQ81" s="7"/>
    </row>
    <row r="82" spans="2:95" x14ac:dyDescent="0.2">
      <c r="B82" s="15" t="s">
        <v>137</v>
      </c>
      <c r="R82" s="73" t="s">
        <v>205</v>
      </c>
      <c r="T82" s="73" t="s">
        <v>271</v>
      </c>
      <c r="AS82" s="15" t="s">
        <v>10</v>
      </c>
      <c r="AU82" s="15" t="s">
        <v>245</v>
      </c>
      <c r="BZ82" s="11">
        <v>4</v>
      </c>
      <c r="CA82" s="86" t="s">
        <v>54</v>
      </c>
      <c r="CC82" s="11">
        <v>1</v>
      </c>
      <c r="CD82" s="15" t="s">
        <v>280</v>
      </c>
      <c r="CG82" s="13" t="s">
        <v>19</v>
      </c>
      <c r="CH82" s="13"/>
      <c r="CK82" s="15" t="s">
        <v>123</v>
      </c>
      <c r="CO82" s="7"/>
      <c r="CQ82" s="7"/>
    </row>
    <row r="83" spans="2:95" x14ac:dyDescent="0.2">
      <c r="B83" s="15"/>
      <c r="R83" s="73" t="s">
        <v>263</v>
      </c>
      <c r="T83" s="73" t="s">
        <v>272</v>
      </c>
      <c r="AS83" s="15" t="s">
        <v>113</v>
      </c>
      <c r="AU83" s="15" t="s">
        <v>114</v>
      </c>
      <c r="BZ83" s="11">
        <v>6</v>
      </c>
      <c r="CA83" s="86" t="s">
        <v>56</v>
      </c>
      <c r="CB83" s="90"/>
      <c r="CC83" s="87">
        <v>3</v>
      </c>
      <c r="CD83" s="90" t="s">
        <v>55</v>
      </c>
      <c r="CG83" s="13" t="s">
        <v>124</v>
      </c>
      <c r="CH83" s="13"/>
      <c r="CK83" s="18" t="s">
        <v>125</v>
      </c>
      <c r="CO83" s="7"/>
      <c r="CQ83" s="7"/>
    </row>
    <row r="84" spans="2:95" x14ac:dyDescent="0.2">
      <c r="R84" s="73" t="s">
        <v>264</v>
      </c>
      <c r="T84" s="73" t="s">
        <v>273</v>
      </c>
      <c r="AS84" s="15" t="s">
        <v>34</v>
      </c>
      <c r="AU84" s="15" t="s">
        <v>246</v>
      </c>
      <c r="BZ84" s="11">
        <v>4</v>
      </c>
      <c r="CA84" s="86" t="s">
        <v>59</v>
      </c>
      <c r="CC84" s="11">
        <v>1</v>
      </c>
      <c r="CD84" s="15" t="s">
        <v>281</v>
      </c>
      <c r="CG84" s="15" t="s">
        <v>20</v>
      </c>
      <c r="CH84" s="15"/>
      <c r="CK84" s="15" t="s">
        <v>126</v>
      </c>
    </row>
    <row r="85" spans="2:95" x14ac:dyDescent="0.2">
      <c r="B85" s="25" t="s">
        <v>138</v>
      </c>
      <c r="R85" s="73" t="s">
        <v>265</v>
      </c>
      <c r="T85" s="73" t="s">
        <v>274</v>
      </c>
      <c r="AC85" s="15"/>
      <c r="AS85" s="15" t="s">
        <v>35</v>
      </c>
      <c r="AU85" s="15" t="s">
        <v>247</v>
      </c>
      <c r="BZ85" s="11">
        <v>1</v>
      </c>
      <c r="CA85" s="86" t="s">
        <v>58</v>
      </c>
      <c r="CB85" s="88"/>
      <c r="CC85" s="11">
        <v>1</v>
      </c>
      <c r="CD85" s="88" t="s">
        <v>282</v>
      </c>
      <c r="CG85" s="15" t="s">
        <v>48</v>
      </c>
      <c r="CH85" s="15"/>
      <c r="CK85" s="15" t="s">
        <v>127</v>
      </c>
      <c r="CO85" s="7"/>
      <c r="CQ85" s="7"/>
    </row>
    <row r="86" spans="2:95" x14ac:dyDescent="0.2">
      <c r="B86" s="15" t="s">
        <v>167</v>
      </c>
      <c r="AB86" s="15"/>
      <c r="AC86" s="15"/>
      <c r="AS86" s="15" t="s">
        <v>115</v>
      </c>
      <c r="AU86" s="15" t="s">
        <v>116</v>
      </c>
      <c r="BZ86" s="75">
        <v>15</v>
      </c>
      <c r="CA86" s="13" t="s">
        <v>60</v>
      </c>
      <c r="CB86" s="88"/>
      <c r="CC86" s="11">
        <v>1</v>
      </c>
      <c r="CD86" s="88" t="s">
        <v>283</v>
      </c>
      <c r="CG86" s="15" t="s">
        <v>21</v>
      </c>
      <c r="CH86" s="15"/>
      <c r="CK86" s="15" t="s">
        <v>123</v>
      </c>
      <c r="CO86" s="7"/>
      <c r="CQ86" s="7"/>
    </row>
    <row r="87" spans="2:95" x14ac:dyDescent="0.2">
      <c r="B87" s="15" t="s">
        <v>172</v>
      </c>
      <c r="AS87" s="15" t="s">
        <v>117</v>
      </c>
      <c r="AU87" s="15" t="s">
        <v>248</v>
      </c>
      <c r="BZ87" s="7">
        <v>7</v>
      </c>
      <c r="CA87" s="13" t="s">
        <v>61</v>
      </c>
      <c r="CC87" s="11">
        <v>2</v>
      </c>
      <c r="CD87" s="15" t="s">
        <v>284</v>
      </c>
      <c r="CG87" s="15" t="s">
        <v>128</v>
      </c>
      <c r="CH87" s="15"/>
      <c r="CK87" s="15" t="s">
        <v>123</v>
      </c>
      <c r="CO87" s="7"/>
      <c r="CQ87" s="7"/>
    </row>
    <row r="88" spans="2:95" x14ac:dyDescent="0.2">
      <c r="AS88" s="15" t="s">
        <v>118</v>
      </c>
      <c r="AU88" s="15" t="s">
        <v>150</v>
      </c>
      <c r="BZ88" s="7">
        <v>4</v>
      </c>
      <c r="CA88" s="13" t="s">
        <v>62</v>
      </c>
      <c r="CB88" s="88"/>
      <c r="CC88" s="11">
        <v>2</v>
      </c>
      <c r="CD88" s="88" t="s">
        <v>285</v>
      </c>
      <c r="CG88" s="15" t="s">
        <v>139</v>
      </c>
      <c r="CH88" s="15"/>
      <c r="CO88" s="7"/>
      <c r="CQ88" s="7"/>
    </row>
    <row r="89" spans="2:95" x14ac:dyDescent="0.2">
      <c r="B89" s="15" t="s">
        <v>168</v>
      </c>
      <c r="AS89" s="15" t="s">
        <v>15</v>
      </c>
      <c r="AU89" s="15" t="s">
        <v>119</v>
      </c>
      <c r="BZ89" s="7">
        <v>3</v>
      </c>
      <c r="CA89" s="13" t="s">
        <v>66</v>
      </c>
      <c r="CC89" s="11">
        <v>2</v>
      </c>
      <c r="CD89" s="15" t="s">
        <v>286</v>
      </c>
      <c r="CG89" s="21" t="s">
        <v>171</v>
      </c>
      <c r="CH89" s="21"/>
      <c r="CK89" s="18" t="s">
        <v>149</v>
      </c>
      <c r="CO89" s="7"/>
      <c r="CQ89" s="7"/>
    </row>
    <row r="90" spans="2:95" x14ac:dyDescent="0.2">
      <c r="B90" s="22" t="s">
        <v>151</v>
      </c>
      <c r="AS90" s="15" t="s">
        <v>120</v>
      </c>
      <c r="AU90" s="15" t="s">
        <v>249</v>
      </c>
      <c r="BZ90" s="7">
        <v>3</v>
      </c>
      <c r="CA90" s="13" t="s">
        <v>63</v>
      </c>
      <c r="CB90" s="97"/>
      <c r="CC90" s="87">
        <v>3</v>
      </c>
      <c r="CD90" s="86" t="s">
        <v>287</v>
      </c>
      <c r="CO90" s="7"/>
      <c r="CQ90" s="7"/>
    </row>
    <row r="91" spans="2:95" x14ac:dyDescent="0.2">
      <c r="AS91" s="15" t="s">
        <v>121</v>
      </c>
      <c r="AU91" s="15" t="s">
        <v>250</v>
      </c>
      <c r="BZ91" s="7">
        <v>4</v>
      </c>
      <c r="CA91" s="13" t="s">
        <v>64</v>
      </c>
      <c r="CB91" s="91"/>
      <c r="CC91" s="11">
        <v>1</v>
      </c>
      <c r="CD91" s="91" t="s">
        <v>288</v>
      </c>
      <c r="CO91" s="7"/>
      <c r="CQ91" s="7"/>
    </row>
    <row r="92" spans="2:95" x14ac:dyDescent="0.2">
      <c r="B92" s="15"/>
      <c r="BZ92" s="7">
        <v>3</v>
      </c>
      <c r="CA92" s="13" t="s">
        <v>65</v>
      </c>
      <c r="CB92" s="90"/>
      <c r="CC92" s="87">
        <v>4</v>
      </c>
      <c r="CD92" s="90" t="s">
        <v>289</v>
      </c>
    </row>
    <row r="93" spans="2:95" x14ac:dyDescent="0.2">
      <c r="B93" s="15"/>
      <c r="BZ93" s="7">
        <v>6</v>
      </c>
      <c r="CA93" s="13" t="s">
        <v>67</v>
      </c>
      <c r="CC93" s="11">
        <v>1</v>
      </c>
      <c r="CD93" s="15" t="s">
        <v>290</v>
      </c>
    </row>
    <row r="94" spans="2:95" x14ac:dyDescent="0.2">
      <c r="B94" s="71"/>
      <c r="C94" s="15" t="s">
        <v>251</v>
      </c>
      <c r="BZ94" s="7">
        <v>6</v>
      </c>
      <c r="CA94" s="13" t="s">
        <v>68</v>
      </c>
      <c r="CB94" s="88"/>
      <c r="CC94" s="87">
        <v>3</v>
      </c>
      <c r="CD94" s="88" t="s">
        <v>291</v>
      </c>
    </row>
    <row r="95" spans="2:95" x14ac:dyDescent="0.2">
      <c r="B95" s="72"/>
      <c r="C95" s="15" t="s">
        <v>252</v>
      </c>
      <c r="BZ95" s="7">
        <v>2</v>
      </c>
      <c r="CA95" s="13" t="s">
        <v>69</v>
      </c>
      <c r="CB95" s="90"/>
      <c r="CC95" s="11">
        <v>1</v>
      </c>
      <c r="CD95" s="90" t="s">
        <v>292</v>
      </c>
    </row>
    <row r="96" spans="2:95" x14ac:dyDescent="0.2">
      <c r="BZ96" s="7">
        <v>2</v>
      </c>
      <c r="CA96" s="13" t="s">
        <v>293</v>
      </c>
      <c r="CB96" s="97"/>
      <c r="CC96" s="11">
        <v>1</v>
      </c>
      <c r="CD96" s="86" t="s">
        <v>294</v>
      </c>
    </row>
    <row r="97" spans="78:82" x14ac:dyDescent="0.2">
      <c r="BZ97" s="7">
        <v>2</v>
      </c>
      <c r="CA97" s="13" t="s">
        <v>71</v>
      </c>
      <c r="CC97" s="11">
        <v>1</v>
      </c>
      <c r="CD97" s="15" t="s">
        <v>295</v>
      </c>
    </row>
    <row r="98" spans="78:82" x14ac:dyDescent="0.2">
      <c r="BZ98" s="7">
        <v>3</v>
      </c>
      <c r="CA98" s="13" t="s">
        <v>73</v>
      </c>
      <c r="CB98" s="97"/>
      <c r="CC98" s="11">
        <v>1</v>
      </c>
      <c r="CD98" s="86" t="s">
        <v>296</v>
      </c>
    </row>
    <row r="99" spans="78:82" x14ac:dyDescent="0.2">
      <c r="BZ99" s="7">
        <v>2</v>
      </c>
      <c r="CA99" s="13" t="s">
        <v>74</v>
      </c>
      <c r="CC99" s="11">
        <v>1</v>
      </c>
      <c r="CD99" s="15" t="s">
        <v>297</v>
      </c>
    </row>
    <row r="100" spans="78:82" x14ac:dyDescent="0.2">
      <c r="BZ100" s="7">
        <v>7</v>
      </c>
      <c r="CA100" s="13" t="s">
        <v>76</v>
      </c>
      <c r="CC100" s="87">
        <v>3</v>
      </c>
      <c r="CD100" s="15" t="s">
        <v>298</v>
      </c>
    </row>
    <row r="101" spans="78:82" x14ac:dyDescent="0.2">
      <c r="BZ101" s="7">
        <v>2</v>
      </c>
      <c r="CA101" s="13" t="s">
        <v>75</v>
      </c>
      <c r="CC101" s="11">
        <v>1</v>
      </c>
      <c r="CD101" s="15" t="s">
        <v>299</v>
      </c>
    </row>
    <row r="102" spans="78:82" x14ac:dyDescent="0.2">
      <c r="BZ102" s="7">
        <v>1</v>
      </c>
      <c r="CA102" s="13" t="s">
        <v>77</v>
      </c>
      <c r="CB102" s="97"/>
      <c r="CC102" s="11">
        <v>1</v>
      </c>
      <c r="CD102" s="86" t="s">
        <v>300</v>
      </c>
    </row>
    <row r="103" spans="78:82" x14ac:dyDescent="0.2">
      <c r="BZ103" s="75">
        <v>11</v>
      </c>
      <c r="CA103" s="13" t="s">
        <v>84</v>
      </c>
      <c r="CC103" s="11">
        <v>1</v>
      </c>
      <c r="CD103" s="15" t="s">
        <v>301</v>
      </c>
    </row>
    <row r="104" spans="78:82" x14ac:dyDescent="0.2">
      <c r="BZ104" s="7">
        <v>2</v>
      </c>
      <c r="CA104" s="89" t="s">
        <v>302</v>
      </c>
      <c r="CB104" s="90"/>
      <c r="CC104" s="11">
        <v>1</v>
      </c>
      <c r="CD104" s="90" t="s">
        <v>303</v>
      </c>
    </row>
    <row r="105" spans="78:82" x14ac:dyDescent="0.2">
      <c r="BZ105" s="7">
        <v>2</v>
      </c>
      <c r="CA105" s="89" t="s">
        <v>81</v>
      </c>
      <c r="CC105" s="11">
        <v>1</v>
      </c>
      <c r="CD105" s="15" t="s">
        <v>304</v>
      </c>
    </row>
    <row r="106" spans="78:82" x14ac:dyDescent="0.2">
      <c r="BZ106" s="7">
        <v>1</v>
      </c>
      <c r="CA106" s="89" t="s">
        <v>82</v>
      </c>
      <c r="CC106" s="87">
        <v>12</v>
      </c>
      <c r="CD106" s="13" t="s">
        <v>305</v>
      </c>
    </row>
    <row r="107" spans="78:82" x14ac:dyDescent="0.2">
      <c r="BZ107" s="7">
        <v>4</v>
      </c>
      <c r="CA107" s="89" t="s">
        <v>79</v>
      </c>
      <c r="CC107" s="11">
        <v>1</v>
      </c>
      <c r="CD107" s="15" t="s">
        <v>306</v>
      </c>
    </row>
    <row r="108" spans="78:82" x14ac:dyDescent="0.2">
      <c r="BZ108" s="7">
        <v>7</v>
      </c>
      <c r="CA108" s="13" t="s">
        <v>83</v>
      </c>
      <c r="CB108" s="97"/>
      <c r="CC108" s="11">
        <v>2</v>
      </c>
      <c r="CD108" s="86" t="s">
        <v>307</v>
      </c>
    </row>
    <row r="109" spans="78:82" x14ac:dyDescent="0.2">
      <c r="BZ109" s="7">
        <v>2</v>
      </c>
      <c r="CA109" s="13" t="s">
        <v>308</v>
      </c>
      <c r="CC109" s="11">
        <v>1</v>
      </c>
      <c r="CD109" s="15" t="s">
        <v>309</v>
      </c>
    </row>
    <row r="110" spans="78:82" x14ac:dyDescent="0.2">
      <c r="BZ110" s="7">
        <v>1</v>
      </c>
      <c r="CA110" s="13" t="s">
        <v>87</v>
      </c>
      <c r="CB110" s="97"/>
      <c r="CC110" s="11">
        <v>1</v>
      </c>
      <c r="CD110" s="86" t="s">
        <v>310</v>
      </c>
    </row>
    <row r="111" spans="78:82" x14ac:dyDescent="0.2">
      <c r="BZ111" s="7">
        <v>2</v>
      </c>
      <c r="CA111" s="13" t="s">
        <v>88</v>
      </c>
      <c r="CB111" s="97"/>
      <c r="CC111" s="11">
        <v>1</v>
      </c>
      <c r="CD111" s="86" t="s">
        <v>311</v>
      </c>
    </row>
    <row r="112" spans="78:82" x14ac:dyDescent="0.2">
      <c r="BZ112" s="7">
        <v>3</v>
      </c>
      <c r="CA112" s="13" t="s">
        <v>89</v>
      </c>
      <c r="CC112" s="11">
        <v>2</v>
      </c>
      <c r="CD112" s="15" t="s">
        <v>312</v>
      </c>
    </row>
    <row r="113" spans="76:82" x14ac:dyDescent="0.2">
      <c r="BZ113" s="7">
        <v>5</v>
      </c>
      <c r="CA113" s="13" t="s">
        <v>91</v>
      </c>
      <c r="CB113" s="97"/>
      <c r="CC113" s="11">
        <v>1</v>
      </c>
      <c r="CD113" s="86" t="s">
        <v>313</v>
      </c>
    </row>
    <row r="114" spans="76:82" x14ac:dyDescent="0.2">
      <c r="BZ114" s="7">
        <v>5</v>
      </c>
      <c r="CA114" s="13" t="s">
        <v>93</v>
      </c>
      <c r="CC114" s="11">
        <v>1</v>
      </c>
      <c r="CD114" s="15" t="s">
        <v>314</v>
      </c>
    </row>
    <row r="115" spans="76:82" x14ac:dyDescent="0.2">
      <c r="BZ115" s="75">
        <v>16</v>
      </c>
      <c r="CA115" s="13" t="s">
        <v>94</v>
      </c>
      <c r="CC115" s="87">
        <v>3</v>
      </c>
      <c r="CD115" s="15" t="s">
        <v>315</v>
      </c>
    </row>
    <row r="116" spans="76:82" x14ac:dyDescent="0.2">
      <c r="BZ116" s="7">
        <v>2</v>
      </c>
      <c r="CA116" s="13" t="s">
        <v>95</v>
      </c>
      <c r="CB116" s="88"/>
      <c r="CC116" s="11">
        <v>1</v>
      </c>
      <c r="CD116" s="88" t="s">
        <v>316</v>
      </c>
    </row>
    <row r="117" spans="76:82" x14ac:dyDescent="0.2">
      <c r="BZ117" s="79">
        <v>11</v>
      </c>
      <c r="CA117" s="9" t="s">
        <v>97</v>
      </c>
      <c r="CC117" s="87">
        <v>3</v>
      </c>
      <c r="CD117" s="15" t="s">
        <v>317</v>
      </c>
    </row>
    <row r="118" spans="76:82" x14ac:dyDescent="0.2">
      <c r="BZ118" s="7">
        <v>4</v>
      </c>
      <c r="CA118" s="13" t="s">
        <v>98</v>
      </c>
      <c r="CC118" s="11">
        <v>1</v>
      </c>
      <c r="CD118" s="15" t="s">
        <v>318</v>
      </c>
    </row>
    <row r="119" spans="76:82" x14ac:dyDescent="0.2">
      <c r="BZ119" s="7">
        <v>1</v>
      </c>
      <c r="CA119" s="13" t="s">
        <v>100</v>
      </c>
      <c r="CC119" s="11">
        <v>1</v>
      </c>
      <c r="CD119" s="15" t="s">
        <v>319</v>
      </c>
    </row>
    <row r="120" spans="76:82" x14ac:dyDescent="0.2">
      <c r="BZ120" s="7">
        <v>2</v>
      </c>
      <c r="CA120" s="13" t="s">
        <v>101</v>
      </c>
      <c r="CC120" s="11">
        <v>1</v>
      </c>
      <c r="CD120" s="15" t="s">
        <v>320</v>
      </c>
    </row>
    <row r="121" spans="76:82" x14ac:dyDescent="0.2">
      <c r="BX121" s="13"/>
      <c r="CC121" s="11">
        <v>1</v>
      </c>
      <c r="CD121" s="15" t="s">
        <v>321</v>
      </c>
    </row>
  </sheetData>
  <pageMargins left="0.7" right="0.7" top="0.75" bottom="0.75" header="0.3" footer="0.3"/>
  <pageSetup paperSize="5" scale="90" orientation="landscape" horizontalDpi="0" verticalDpi="0"/>
  <headerFooter>
    <oddFooter>&amp;L&amp;"Helvetica,Regular"&amp;K000000For further questions contact Wade Olinger at&amp;R&amp;"Helvetica,Regular"&amp;K000000Connected Churches 425-283-8499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first</vt:lpstr>
      <vt:lpstr>Executive Summary</vt:lpstr>
      <vt:lpstr>State 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Wade Olinger</cp:lastModifiedBy>
  <dcterms:created xsi:type="dcterms:W3CDTF">2017-09-29T00:04:51Z</dcterms:created>
  <dcterms:modified xsi:type="dcterms:W3CDTF">2024-11-06T17:20:12Z</dcterms:modified>
</cp:coreProperties>
</file>