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deolinger/Desktop/Nelson Bible/"/>
    </mc:Choice>
  </mc:AlternateContent>
  <xr:revisionPtr revIDLastSave="0" documentId="13_ncr:1_{889AEA57-6AB4-194A-ACB9-7C7C6D59769F}" xr6:coauthVersionLast="47" xr6:coauthVersionMax="47" xr10:uidLastSave="{00000000-0000-0000-0000-000000000000}"/>
  <bookViews>
    <workbookView xWindow="1320" yWindow="520" windowWidth="32280" windowHeight="19840" xr2:uid="{809463C9-CD8B-3C4A-8AAF-7C61AD05C593}"/>
  </bookViews>
  <sheets>
    <sheet name="ALL Denominations" sheetId="72" r:id="rId1"/>
    <sheet name="Assembly of God Summary" sheetId="2" r:id="rId2"/>
    <sheet name="AG Contacts &amp; Churches" sheetId="13" r:id="rId3"/>
    <sheet name="Foursquare Summary" sheetId="1" r:id="rId4"/>
    <sheet name="Foursquare Churches" sheetId="14" r:id="rId5"/>
    <sheet name="SBC Summary" sheetId="3" r:id="rId6"/>
    <sheet name="SBC Churches" sheetId="15" r:id="rId7"/>
    <sheet name="ECO Summary" sheetId="17" r:id="rId8"/>
    <sheet name="ECO Churches" sheetId="16" r:id="rId9"/>
    <sheet name="Vineyard Summary" sheetId="6" r:id="rId10"/>
    <sheet name="ARC Network" sheetId="12" r:id="rId11"/>
    <sheet name="Covenant" sheetId="11" r:id="rId12"/>
    <sheet name="EV Free" sheetId="10" r:id="rId13"/>
    <sheet name="Open Bible" sheetId="9" r:id="rId14"/>
    <sheet name="Nazarene" sheetId="8" r:id="rId15"/>
    <sheet name="Christian Missionary Aliance" sheetId="7" r:id="rId16"/>
  </sheets>
  <externalReferences>
    <externalReference r:id="rId17"/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7" l="1"/>
  <c r="AR64" i="17"/>
  <c r="AR82" i="3"/>
  <c r="AR86" i="7"/>
  <c r="AG48" i="9"/>
  <c r="AH48" i="9"/>
  <c r="Y48" i="9"/>
  <c r="L48" i="9"/>
  <c r="K48" i="9"/>
  <c r="J48" i="9"/>
  <c r="I48" i="9"/>
  <c r="H48" i="9"/>
  <c r="G48" i="9"/>
  <c r="F48" i="9"/>
  <c r="AR53" i="11"/>
  <c r="AA53" i="11"/>
  <c r="AC53" i="11"/>
  <c r="AD53" i="11"/>
  <c r="AE53" i="11"/>
  <c r="AG53" i="11"/>
  <c r="AH53" i="11"/>
  <c r="AJ53" i="11"/>
  <c r="AL53" i="11"/>
  <c r="AM53" i="11"/>
  <c r="AO53" i="11"/>
  <c r="AP53" i="11"/>
  <c r="Y53" i="11"/>
  <c r="L53" i="11"/>
  <c r="K53" i="11"/>
  <c r="J53" i="11"/>
  <c r="I53" i="11"/>
  <c r="H53" i="11"/>
  <c r="G53" i="11"/>
  <c r="F53" i="11"/>
  <c r="T272" i="72"/>
  <c r="Q272" i="72"/>
  <c r="P272" i="72"/>
  <c r="O272" i="72"/>
  <c r="L272" i="72"/>
  <c r="J272" i="72"/>
  <c r="F272" i="72"/>
  <c r="AP118" i="8" l="1"/>
  <c r="AO118" i="8"/>
  <c r="AM118" i="8"/>
  <c r="AL118" i="8"/>
  <c r="AJ118" i="8"/>
  <c r="AH118" i="8"/>
  <c r="AG118" i="8"/>
  <c r="AE118" i="8"/>
  <c r="AD118" i="8"/>
  <c r="AC118" i="8"/>
  <c r="AR118" i="8"/>
  <c r="AA118" i="8"/>
  <c r="Y118" i="8"/>
  <c r="L118" i="8"/>
  <c r="K118" i="8"/>
  <c r="J118" i="8"/>
  <c r="I118" i="8"/>
  <c r="H118" i="8"/>
  <c r="G118" i="8"/>
  <c r="F118" i="8"/>
  <c r="Y60" i="10"/>
  <c r="L60" i="10"/>
  <c r="K60" i="10"/>
  <c r="J60" i="10"/>
  <c r="I60" i="10"/>
  <c r="H60" i="10"/>
  <c r="G60" i="10"/>
  <c r="F60" i="10"/>
  <c r="L54" i="12"/>
  <c r="K54" i="12"/>
  <c r="J54" i="12"/>
  <c r="I54" i="12"/>
  <c r="H54" i="12"/>
  <c r="G54" i="12"/>
  <c r="F54" i="12"/>
  <c r="AP86" i="7" l="1"/>
  <c r="AO86" i="7"/>
  <c r="AM86" i="7"/>
  <c r="AL86" i="7"/>
  <c r="AJ86" i="7"/>
  <c r="AH86" i="7"/>
  <c r="AG86" i="7"/>
  <c r="AE86" i="7"/>
  <c r="AD86" i="7"/>
  <c r="AC86" i="7"/>
  <c r="AA86" i="7"/>
  <c r="Y86" i="7"/>
  <c r="L86" i="7"/>
  <c r="K86" i="7"/>
  <c r="J86" i="7"/>
  <c r="I86" i="7"/>
  <c r="H86" i="7"/>
  <c r="G86" i="7"/>
  <c r="F86" i="7"/>
  <c r="Y64" i="17"/>
  <c r="F64" i="17"/>
  <c r="G64" i="17"/>
  <c r="H64" i="17"/>
  <c r="I64" i="17"/>
  <c r="L64" i="17"/>
  <c r="K64" i="17"/>
  <c r="J64" i="17"/>
  <c r="L44" i="1"/>
  <c r="K44" i="1"/>
  <c r="J44" i="1"/>
  <c r="I44" i="1"/>
  <c r="H44" i="1"/>
  <c r="G44" i="1"/>
  <c r="F44" i="1"/>
  <c r="L31" i="1"/>
  <c r="K31" i="1"/>
  <c r="J31" i="1"/>
  <c r="I31" i="1"/>
  <c r="H31" i="1"/>
  <c r="G31" i="1"/>
  <c r="F31" i="1"/>
  <c r="AP82" i="3"/>
  <c r="AO82" i="3"/>
  <c r="AM82" i="3"/>
  <c r="AL82" i="3"/>
  <c r="AJ82" i="3"/>
  <c r="AH82" i="3"/>
  <c r="AG82" i="3"/>
  <c r="AE82" i="3"/>
  <c r="AD82" i="3"/>
  <c r="AC82" i="3"/>
  <c r="AA82" i="3"/>
  <c r="Y82" i="3"/>
  <c r="L82" i="3"/>
  <c r="K82" i="3"/>
  <c r="J82" i="3"/>
  <c r="I82" i="3"/>
  <c r="H82" i="3"/>
  <c r="G82" i="3"/>
  <c r="F82" i="3"/>
  <c r="Y139" i="2"/>
  <c r="L139" i="2"/>
  <c r="K139" i="2"/>
  <c r="J139" i="2"/>
  <c r="I139" i="2"/>
  <c r="H139" i="2"/>
  <c r="G139" i="2"/>
  <c r="F139" i="2"/>
  <c r="AR66" i="7"/>
  <c r="AR48" i="9"/>
  <c r="AR58" i="10"/>
  <c r="BA52" i="16" l="1"/>
  <c r="AR52" i="16"/>
  <c r="T52" i="16"/>
  <c r="I52" i="16"/>
  <c r="E52" i="16"/>
  <c r="BL48" i="16"/>
  <c r="BK48" i="16"/>
  <c r="BJ48" i="16"/>
  <c r="BI48" i="16"/>
  <c r="BH48" i="16"/>
  <c r="BG48" i="16"/>
  <c r="BF48" i="16"/>
  <c r="BE48" i="16"/>
  <c r="BD48" i="16"/>
  <c r="BC48" i="16"/>
  <c r="BB48" i="16"/>
  <c r="AY48" i="16"/>
  <c r="AX48" i="16"/>
  <c r="AW48" i="16"/>
  <c r="AV48" i="16"/>
  <c r="AU48" i="16"/>
  <c r="AS48" i="16"/>
  <c r="AP48" i="16"/>
  <c r="AO48" i="16"/>
  <c r="AN48" i="16"/>
  <c r="AM48" i="16"/>
  <c r="AJ48" i="16"/>
  <c r="AI48" i="16"/>
  <c r="AH48" i="16"/>
  <c r="AG48" i="16"/>
  <c r="AF48" i="16"/>
  <c r="AE48" i="16"/>
  <c r="AD48" i="16"/>
  <c r="AB48" i="16"/>
  <c r="AA48" i="16"/>
  <c r="Z48" i="16"/>
  <c r="Y48" i="16"/>
  <c r="X48" i="16"/>
  <c r="W48" i="16"/>
  <c r="V48" i="16"/>
  <c r="U48" i="16"/>
  <c r="R48" i="16"/>
  <c r="Q48" i="16"/>
  <c r="P48" i="16"/>
  <c r="O48" i="16"/>
  <c r="N48" i="16"/>
  <c r="F48" i="16"/>
  <c r="M47" i="16"/>
  <c r="M52" i="16" s="1"/>
  <c r="F47" i="16"/>
  <c r="D47" i="16"/>
  <c r="C47" i="16"/>
  <c r="F46" i="16"/>
  <c r="F45" i="16"/>
  <c r="F44" i="16"/>
  <c r="F43" i="16"/>
  <c r="AI42" i="16"/>
  <c r="F42" i="16"/>
  <c r="F41" i="16"/>
  <c r="D41" i="16"/>
  <c r="C41" i="16"/>
  <c r="F40" i="16"/>
  <c r="F39" i="16"/>
  <c r="C39" i="16"/>
  <c r="F38" i="16"/>
  <c r="C38" i="16"/>
  <c r="AI37" i="16"/>
  <c r="AG37" i="16"/>
  <c r="F37" i="16"/>
  <c r="F36" i="16"/>
  <c r="C36" i="16"/>
  <c r="AL35" i="16"/>
  <c r="AI35" i="16"/>
  <c r="AA35" i="16"/>
  <c r="F35" i="16"/>
  <c r="F34" i="16"/>
  <c r="F33" i="16"/>
  <c r="F32" i="16"/>
  <c r="C32" i="16"/>
  <c r="P31" i="16"/>
  <c r="F31" i="16"/>
  <c r="AJ30" i="16"/>
  <c r="AI30" i="16"/>
  <c r="AE30" i="16"/>
  <c r="AD30" i="16"/>
  <c r="AA30" i="16"/>
  <c r="X30" i="16"/>
  <c r="W30" i="16"/>
  <c r="V30" i="16"/>
  <c r="U30" i="16"/>
  <c r="R30" i="16"/>
  <c r="Q30" i="16"/>
  <c r="P30" i="16"/>
  <c r="O30" i="16"/>
  <c r="N30" i="16"/>
  <c r="J30" i="16"/>
  <c r="F30" i="16"/>
  <c r="C30" i="16"/>
  <c r="J29" i="16"/>
  <c r="F29" i="16"/>
  <c r="C29" i="16"/>
  <c r="F28" i="16"/>
  <c r="D28" i="16"/>
  <c r="C28" i="16"/>
  <c r="AO27" i="16"/>
  <c r="AN27" i="16"/>
  <c r="AM27" i="16"/>
  <c r="AL27" i="16"/>
  <c r="AJ27" i="16"/>
  <c r="AI27" i="16"/>
  <c r="AH27" i="16"/>
  <c r="AG27" i="16"/>
  <c r="AE27" i="16"/>
  <c r="AD27" i="16"/>
  <c r="AA27" i="16"/>
  <c r="X27" i="16"/>
  <c r="W27" i="16"/>
  <c r="V27" i="16"/>
  <c r="U27" i="16"/>
  <c r="R27" i="16"/>
  <c r="Q27" i="16"/>
  <c r="P27" i="16"/>
  <c r="O27" i="16"/>
  <c r="N27" i="16"/>
  <c r="F27" i="16"/>
  <c r="C27" i="16"/>
  <c r="BL26" i="16"/>
  <c r="BK26" i="16"/>
  <c r="BJ26" i="16"/>
  <c r="BI26" i="16"/>
  <c r="BH26" i="16"/>
  <c r="BG26" i="16"/>
  <c r="BF26" i="16"/>
  <c r="BE26" i="16"/>
  <c r="BD26" i="16"/>
  <c r="BC26" i="16"/>
  <c r="BB26" i="16"/>
  <c r="AY26" i="16"/>
  <c r="AX26" i="16"/>
  <c r="AW26" i="16"/>
  <c r="AV26" i="16"/>
  <c r="AU26" i="16"/>
  <c r="AS26" i="16"/>
  <c r="AO26" i="16"/>
  <c r="AN26" i="16"/>
  <c r="AM26" i="16"/>
  <c r="AJ26" i="16"/>
  <c r="AH26" i="16"/>
  <c r="AG26" i="16"/>
  <c r="AD26" i="16"/>
  <c r="X26" i="16"/>
  <c r="W26" i="16"/>
  <c r="V26" i="16"/>
  <c r="U26" i="16"/>
  <c r="R26" i="16"/>
  <c r="Q26" i="16"/>
  <c r="O26" i="16"/>
  <c r="N26" i="16"/>
  <c r="F26" i="16"/>
  <c r="C26" i="16"/>
  <c r="F25" i="16"/>
  <c r="K24" i="16"/>
  <c r="J24" i="16"/>
  <c r="F24" i="16"/>
  <c r="C24" i="16"/>
  <c r="AS23" i="16"/>
  <c r="AP23" i="16"/>
  <c r="AO23" i="16"/>
  <c r="AN23" i="16"/>
  <c r="AM23" i="16"/>
  <c r="AJ23" i="16"/>
  <c r="AI23" i="16"/>
  <c r="AH23" i="16"/>
  <c r="AG23" i="16"/>
  <c r="AE23" i="16"/>
  <c r="AD23" i="16"/>
  <c r="AC23" i="16"/>
  <c r="AA23" i="16"/>
  <c r="Y23" i="16"/>
  <c r="Y52" i="16" s="1"/>
  <c r="X23" i="16"/>
  <c r="W23" i="16"/>
  <c r="V23" i="16"/>
  <c r="U23" i="16"/>
  <c r="Q23" i="16"/>
  <c r="P23" i="16"/>
  <c r="O23" i="16"/>
  <c r="N23" i="16"/>
  <c r="F23" i="16"/>
  <c r="C23" i="16"/>
  <c r="AL22" i="16"/>
  <c r="K22" i="16"/>
  <c r="F22" i="16"/>
  <c r="AM21" i="16"/>
  <c r="AJ21" i="16"/>
  <c r="AI21" i="16"/>
  <c r="AH21" i="16"/>
  <c r="AG21" i="16"/>
  <c r="AE21" i="16"/>
  <c r="AD21" i="16"/>
  <c r="AA21" i="16"/>
  <c r="X21" i="16"/>
  <c r="W21" i="16"/>
  <c r="V21" i="16"/>
  <c r="U21" i="16"/>
  <c r="R21" i="16"/>
  <c r="O21" i="16"/>
  <c r="N21" i="16"/>
  <c r="F21" i="16"/>
  <c r="F20" i="16"/>
  <c r="C20" i="16"/>
  <c r="AJ19" i="16"/>
  <c r="F19" i="16"/>
  <c r="F18" i="16"/>
  <c r="H17" i="16"/>
  <c r="H52" i="16" s="1"/>
  <c r="F17" i="16"/>
  <c r="C17" i="16"/>
  <c r="F16" i="16"/>
  <c r="C16" i="16"/>
  <c r="BG15" i="16"/>
  <c r="BC15" i="16"/>
  <c r="AY15" i="16"/>
  <c r="AX15" i="16"/>
  <c r="AW15" i="16"/>
  <c r="AV15" i="16"/>
  <c r="AU15" i="16"/>
  <c r="AS15" i="16"/>
  <c r="AO15" i="16"/>
  <c r="AN15" i="16"/>
  <c r="AM15" i="16"/>
  <c r="AL15" i="16"/>
  <c r="V15" i="16"/>
  <c r="U15" i="16"/>
  <c r="P15" i="16"/>
  <c r="O15" i="16"/>
  <c r="N15" i="16"/>
  <c r="F15" i="16"/>
  <c r="BL14" i="16"/>
  <c r="BK14" i="16"/>
  <c r="BJ14" i="16"/>
  <c r="BI14" i="16"/>
  <c r="BH14" i="16"/>
  <c r="BF14" i="16"/>
  <c r="BE14" i="16"/>
  <c r="BD14" i="16"/>
  <c r="BC14" i="16"/>
  <c r="BB14" i="16"/>
  <c r="AY14" i="16"/>
  <c r="AX14" i="16"/>
  <c r="AW14" i="16"/>
  <c r="AU14" i="16"/>
  <c r="AO14" i="16"/>
  <c r="AM14" i="16"/>
  <c r="AL14" i="16"/>
  <c r="O14" i="16"/>
  <c r="F14" i="16"/>
  <c r="BD13" i="16"/>
  <c r="BC13" i="16"/>
  <c r="BB13" i="16"/>
  <c r="AY13" i="16"/>
  <c r="AX13" i="16"/>
  <c r="AW13" i="16"/>
  <c r="AV13" i="16"/>
  <c r="AU13" i="16"/>
  <c r="AS13" i="16"/>
  <c r="AP13" i="16"/>
  <c r="AO13" i="16"/>
  <c r="AN13" i="16"/>
  <c r="AM13" i="16"/>
  <c r="AJ13" i="16"/>
  <c r="AI13" i="16"/>
  <c r="AH13" i="16"/>
  <c r="AG13" i="16"/>
  <c r="AF13" i="16"/>
  <c r="AF52" i="16" s="1"/>
  <c r="AE13" i="16"/>
  <c r="AD13" i="16"/>
  <c r="AC13" i="16"/>
  <c r="AB13" i="16"/>
  <c r="AB52" i="16" s="1"/>
  <c r="AA13" i="16"/>
  <c r="Z13" i="16"/>
  <c r="Z52" i="16" s="1"/>
  <c r="X13" i="16"/>
  <c r="W13" i="16"/>
  <c r="V13" i="16"/>
  <c r="U13" i="16"/>
  <c r="R13" i="16"/>
  <c r="Q13" i="16"/>
  <c r="P13" i="16"/>
  <c r="O13" i="16"/>
  <c r="N13" i="16"/>
  <c r="F13" i="16"/>
  <c r="D13" i="16"/>
  <c r="C13" i="16"/>
  <c r="F12" i="16"/>
  <c r="BL11" i="16"/>
  <c r="BK11" i="16"/>
  <c r="BJ11" i="16"/>
  <c r="BI11" i="16"/>
  <c r="BH11" i="16"/>
  <c r="BG11" i="16"/>
  <c r="BG52" i="16" s="1"/>
  <c r="BF11" i="16"/>
  <c r="BE11" i="16"/>
  <c r="BD11" i="16"/>
  <c r="BC11" i="16"/>
  <c r="BB11" i="16"/>
  <c r="AY11" i="16"/>
  <c r="AX11" i="16"/>
  <c r="AX52" i="16" s="1"/>
  <c r="AW11" i="16"/>
  <c r="AV11" i="16"/>
  <c r="AU11" i="16"/>
  <c r="AS11" i="16"/>
  <c r="AP11" i="16"/>
  <c r="AO11" i="16"/>
  <c r="AN11" i="16"/>
  <c r="AM11" i="16"/>
  <c r="AJ11" i="16"/>
  <c r="AI11" i="16"/>
  <c r="AH11" i="16"/>
  <c r="AG11" i="16"/>
  <c r="AF11" i="16"/>
  <c r="AE11" i="16"/>
  <c r="AD11" i="16"/>
  <c r="X11" i="16"/>
  <c r="W11" i="16"/>
  <c r="V11" i="16"/>
  <c r="U11" i="16"/>
  <c r="R11" i="16"/>
  <c r="Q11" i="16"/>
  <c r="O11" i="16"/>
  <c r="N11" i="16"/>
  <c r="F11" i="16"/>
  <c r="F10" i="16"/>
  <c r="F52" i="16" s="1"/>
  <c r="D10" i="16"/>
  <c r="P52" i="16" l="1"/>
  <c r="BE52" i="16"/>
  <c r="AL52" i="16"/>
  <c r="BH52" i="16"/>
  <c r="N52" i="16"/>
  <c r="BD52" i="16"/>
  <c r="O52" i="16"/>
  <c r="AG52" i="16"/>
  <c r="AC52" i="16"/>
  <c r="AY52" i="16"/>
  <c r="J52" i="16"/>
  <c r="AE52" i="16"/>
  <c r="D52" i="16"/>
  <c r="BK52" i="16"/>
  <c r="AA52" i="16"/>
  <c r="BB52" i="16"/>
  <c r="BI52" i="16"/>
  <c r="AS52" i="16"/>
  <c r="R52" i="16"/>
  <c r="AN52" i="16"/>
  <c r="C52" i="16"/>
  <c r="AH52" i="16"/>
  <c r="BF52" i="16"/>
  <c r="V52" i="16"/>
  <c r="AW52" i="16"/>
  <c r="BL52" i="16"/>
  <c r="AU52" i="16"/>
  <c r="AV52" i="16"/>
  <c r="W52" i="16"/>
  <c r="BJ52" i="16"/>
  <c r="X52" i="16"/>
  <c r="Q52" i="16"/>
  <c r="K52" i="16"/>
  <c r="AI52" i="16"/>
  <c r="AJ52" i="16"/>
  <c r="AM52" i="16"/>
  <c r="AO52" i="16"/>
  <c r="AP52" i="16"/>
  <c r="U52" i="16"/>
  <c r="BC52" i="16"/>
  <c r="AD52" i="16"/>
  <c r="BD55" i="16"/>
  <c r="BR72" i="15" l="1"/>
  <c r="AH72" i="15"/>
  <c r="AG72" i="15"/>
  <c r="AF72" i="15"/>
  <c r="AE72" i="15"/>
  <c r="AD72" i="15"/>
  <c r="Q72" i="15"/>
  <c r="P72" i="15"/>
  <c r="O72" i="15"/>
  <c r="N72" i="15"/>
  <c r="H72" i="15"/>
  <c r="CB68" i="15"/>
  <c r="CA68" i="15"/>
  <c r="BO68" i="15"/>
  <c r="BN68" i="15"/>
  <c r="BM68" i="15"/>
  <c r="BL68" i="15"/>
  <c r="BK68" i="15"/>
  <c r="BI68" i="15"/>
  <c r="BE68" i="15"/>
  <c r="BD68" i="15"/>
  <c r="BB68" i="15"/>
  <c r="AY68" i="15"/>
  <c r="AT68" i="15"/>
  <c r="AS68" i="15"/>
  <c r="AQ68" i="15"/>
  <c r="AK68" i="15"/>
  <c r="Z68" i="15"/>
  <c r="W68" i="15"/>
  <c r="V68" i="15"/>
  <c r="U68" i="15"/>
  <c r="M68" i="15"/>
  <c r="K68" i="15"/>
  <c r="J68" i="15"/>
  <c r="CC67" i="15"/>
  <c r="CB67" i="15"/>
  <c r="CA67" i="15"/>
  <c r="BZ67" i="15"/>
  <c r="BY67" i="15"/>
  <c r="BX67" i="15"/>
  <c r="BW67" i="15"/>
  <c r="BV67" i="15"/>
  <c r="BU67" i="15"/>
  <c r="BT67" i="15"/>
  <c r="BS67" i="15"/>
  <c r="BO67" i="15"/>
  <c r="BN67" i="15"/>
  <c r="BM67" i="15"/>
  <c r="BL67" i="15"/>
  <c r="BE67" i="15"/>
  <c r="BD67" i="15"/>
  <c r="BB67" i="15"/>
  <c r="AT67" i="15"/>
  <c r="AL67" i="15"/>
  <c r="Z67" i="15"/>
  <c r="W67" i="15"/>
  <c r="V67" i="15"/>
  <c r="U67" i="15"/>
  <c r="L67" i="15"/>
  <c r="K67" i="15"/>
  <c r="J67" i="15"/>
  <c r="CB66" i="15"/>
  <c r="CA66" i="15"/>
  <c r="BZ66" i="15"/>
  <c r="BY66" i="15"/>
  <c r="BX66" i="15"/>
  <c r="BW66" i="15"/>
  <c r="BV66" i="15"/>
  <c r="BU66" i="15"/>
  <c r="BT66" i="15"/>
  <c r="BS66" i="15"/>
  <c r="BO66" i="15"/>
  <c r="BN66" i="15"/>
  <c r="BM66" i="15"/>
  <c r="BL66" i="15"/>
  <c r="BK66" i="15"/>
  <c r="BI66" i="15"/>
  <c r="BE66" i="15"/>
  <c r="BD66" i="15"/>
  <c r="BC66" i="15"/>
  <c r="AY66" i="15"/>
  <c r="AW66" i="15"/>
  <c r="AT66" i="15"/>
  <c r="AS66" i="15"/>
  <c r="AQ66" i="15"/>
  <c r="AM66" i="15"/>
  <c r="AL66" i="15"/>
  <c r="AK66" i="15"/>
  <c r="Z66" i="15"/>
  <c r="W66" i="15"/>
  <c r="V66" i="15"/>
  <c r="U66" i="15"/>
  <c r="L66" i="15"/>
  <c r="K66" i="15"/>
  <c r="J66" i="15"/>
  <c r="BS65" i="15"/>
  <c r="BO65" i="15"/>
  <c r="BN65" i="15"/>
  <c r="BM65" i="15"/>
  <c r="BF65" i="15"/>
  <c r="BE65" i="15"/>
  <c r="AL65" i="15"/>
  <c r="Z65" i="15"/>
  <c r="X65" i="15"/>
  <c r="W65" i="15"/>
  <c r="V65" i="15"/>
  <c r="U65" i="15"/>
  <c r="J65" i="15"/>
  <c r="BO63" i="15"/>
  <c r="BN63" i="15"/>
  <c r="BM63" i="15"/>
  <c r="BF63" i="15"/>
  <c r="W63" i="15"/>
  <c r="V63" i="15"/>
  <c r="CC62" i="15"/>
  <c r="CB62" i="15"/>
  <c r="CA62" i="15"/>
  <c r="BZ62" i="15"/>
  <c r="BY62" i="15"/>
  <c r="BX62" i="15"/>
  <c r="BW62" i="15"/>
  <c r="BV62" i="15"/>
  <c r="BU62" i="15"/>
  <c r="BT62" i="15"/>
  <c r="BS62" i="15"/>
  <c r="BQ62" i="15"/>
  <c r="BO62" i="15"/>
  <c r="BN62" i="15"/>
  <c r="BM62" i="15"/>
  <c r="BL62" i="15"/>
  <c r="BK62" i="15"/>
  <c r="BI62" i="15"/>
  <c r="BF62" i="15"/>
  <c r="BE62" i="15"/>
  <c r="BD62" i="15"/>
  <c r="BB62" i="15"/>
  <c r="AY62" i="15"/>
  <c r="AV62" i="15"/>
  <c r="AU62" i="15"/>
  <c r="AT62" i="15"/>
  <c r="AQ62" i="15"/>
  <c r="AM62" i="15"/>
  <c r="AL62" i="15"/>
  <c r="Z62" i="15"/>
  <c r="X62" i="15"/>
  <c r="W62" i="15"/>
  <c r="V62" i="15"/>
  <c r="U62" i="15"/>
  <c r="M62" i="15"/>
  <c r="K62" i="15"/>
  <c r="J62" i="15"/>
  <c r="CC60" i="15"/>
  <c r="BO60" i="15"/>
  <c r="BN60" i="15"/>
  <c r="BM60" i="15"/>
  <c r="Z60" i="15"/>
  <c r="BM59" i="15"/>
  <c r="BF59" i="15"/>
  <c r="BB59" i="15"/>
  <c r="Z59" i="15"/>
  <c r="W59" i="15"/>
  <c r="V59" i="15"/>
  <c r="CC58" i="15"/>
  <c r="CB58" i="15"/>
  <c r="CA58" i="15"/>
  <c r="BZ58" i="15"/>
  <c r="BY58" i="15"/>
  <c r="BX58" i="15"/>
  <c r="BW58" i="15"/>
  <c r="BV58" i="15"/>
  <c r="BU58" i="15"/>
  <c r="BT58" i="15"/>
  <c r="BS58" i="15"/>
  <c r="BM58" i="15"/>
  <c r="BK58" i="15"/>
  <c r="BF58" i="15"/>
  <c r="BE58" i="15"/>
  <c r="BD58" i="15"/>
  <c r="BB58" i="15"/>
  <c r="AY58" i="15"/>
  <c r="AQ58" i="15"/>
  <c r="AL58" i="15"/>
  <c r="Z58" i="15"/>
  <c r="X58" i="15"/>
  <c r="W58" i="15"/>
  <c r="V58" i="15"/>
  <c r="U58" i="15"/>
  <c r="L58" i="15"/>
  <c r="K58" i="15"/>
  <c r="J58" i="15"/>
  <c r="CC57" i="15"/>
  <c r="BS57" i="15"/>
  <c r="BO57" i="15"/>
  <c r="BN57" i="15"/>
  <c r="BL57" i="15"/>
  <c r="BB57" i="15"/>
  <c r="Z57" i="15"/>
  <c r="W57" i="15"/>
  <c r="V57" i="15"/>
  <c r="CC56" i="15"/>
  <c r="CB56" i="15"/>
  <c r="CA56" i="15"/>
  <c r="BZ56" i="15"/>
  <c r="BY56" i="15"/>
  <c r="BX56" i="15"/>
  <c r="BW56" i="15"/>
  <c r="BV56" i="15"/>
  <c r="BU56" i="15"/>
  <c r="BT56" i="15"/>
  <c r="BS56" i="15"/>
  <c r="BO56" i="15"/>
  <c r="BN56" i="15"/>
  <c r="BM56" i="15"/>
  <c r="BL56" i="15"/>
  <c r="BF56" i="15"/>
  <c r="BE56" i="15"/>
  <c r="BB56" i="15"/>
  <c r="AY56" i="15"/>
  <c r="AW56" i="15"/>
  <c r="AQ56" i="15"/>
  <c r="AM56" i="15"/>
  <c r="AK56" i="15"/>
  <c r="Z56" i="15"/>
  <c r="X56" i="15"/>
  <c r="W56" i="15"/>
  <c r="V56" i="15"/>
  <c r="T56" i="15"/>
  <c r="M56" i="15"/>
  <c r="CC55" i="15"/>
  <c r="CB55" i="15"/>
  <c r="CA55" i="15"/>
  <c r="BZ55" i="15"/>
  <c r="BY55" i="15"/>
  <c r="BS55" i="15"/>
  <c r="BO55" i="15"/>
  <c r="BN55" i="15"/>
  <c r="BM55" i="15"/>
  <c r="BL55" i="15"/>
  <c r="BE55" i="15"/>
  <c r="BB55" i="15"/>
  <c r="AL55" i="15"/>
  <c r="Z55" i="15"/>
  <c r="X55" i="15"/>
  <c r="W55" i="15"/>
  <c r="V55" i="15"/>
  <c r="U55" i="15"/>
  <c r="J55" i="15"/>
  <c r="CB54" i="15"/>
  <c r="CA54" i="15"/>
  <c r="BZ54" i="15"/>
  <c r="BY54" i="15"/>
  <c r="BO54" i="15"/>
  <c r="BN54" i="15"/>
  <c r="BM54" i="15"/>
  <c r="BE54" i="15"/>
  <c r="BB54" i="15"/>
  <c r="Z54" i="15"/>
  <c r="X54" i="15"/>
  <c r="W54" i="15"/>
  <c r="V54" i="15"/>
  <c r="U54" i="15"/>
  <c r="J54" i="15"/>
  <c r="CB53" i="15"/>
  <c r="CA53" i="15"/>
  <c r="BS53" i="15"/>
  <c r="BO53" i="15"/>
  <c r="BN53" i="15"/>
  <c r="BM53" i="15"/>
  <c r="BL53" i="15"/>
  <c r="BE53" i="15"/>
  <c r="Z53" i="15"/>
  <c r="X53" i="15"/>
  <c r="W53" i="15"/>
  <c r="V53" i="15"/>
  <c r="CB52" i="15"/>
  <c r="CA52" i="15"/>
  <c r="AL52" i="15"/>
  <c r="Z52" i="15"/>
  <c r="W52" i="15"/>
  <c r="V52" i="15"/>
  <c r="CC51" i="15"/>
  <c r="CB51" i="15"/>
  <c r="CA51" i="15"/>
  <c r="BZ51" i="15"/>
  <c r="BY51" i="15"/>
  <c r="BS51" i="15"/>
  <c r="BO51" i="15"/>
  <c r="BN51" i="15"/>
  <c r="BM51" i="15"/>
  <c r="BL51" i="15"/>
  <c r="BE51" i="15"/>
  <c r="BB51" i="15"/>
  <c r="AL51" i="15"/>
  <c r="Z51" i="15"/>
  <c r="W51" i="15"/>
  <c r="CC50" i="15"/>
  <c r="CB50" i="15"/>
  <c r="CA50" i="15"/>
  <c r="BZ50" i="15"/>
  <c r="BY50" i="15"/>
  <c r="BX50" i="15"/>
  <c r="BW50" i="15"/>
  <c r="BV50" i="15"/>
  <c r="BU50" i="15"/>
  <c r="BT50" i="15"/>
  <c r="BS50" i="15"/>
  <c r="BN50" i="15"/>
  <c r="BM50" i="15"/>
  <c r="BD50" i="15"/>
  <c r="BB50" i="15"/>
  <c r="AT50" i="15"/>
  <c r="AN50" i="15"/>
  <c r="AM50" i="15"/>
  <c r="AL50" i="15"/>
  <c r="Z50" i="15"/>
  <c r="W50" i="15"/>
  <c r="V50" i="15"/>
  <c r="U50" i="15"/>
  <c r="L50" i="15"/>
  <c r="J50" i="15"/>
  <c r="CC49" i="15"/>
  <c r="CB49" i="15"/>
  <c r="CA49" i="15"/>
  <c r="BZ49" i="15"/>
  <c r="BY49" i="15"/>
  <c r="BX49" i="15"/>
  <c r="BW49" i="15"/>
  <c r="BV49" i="15"/>
  <c r="BU49" i="15"/>
  <c r="BT49" i="15"/>
  <c r="BS49" i="15"/>
  <c r="BO49" i="15"/>
  <c r="BN49" i="15"/>
  <c r="BM49" i="15"/>
  <c r="BL49" i="15"/>
  <c r="BK49" i="15"/>
  <c r="BI49" i="15"/>
  <c r="BE49" i="15"/>
  <c r="BD49" i="15"/>
  <c r="BB49" i="15"/>
  <c r="AX49" i="15"/>
  <c r="AW49" i="15"/>
  <c r="AV49" i="15"/>
  <c r="AM49" i="15"/>
  <c r="AL49" i="15"/>
  <c r="AK49" i="15"/>
  <c r="Z49" i="15"/>
  <c r="W49" i="15"/>
  <c r="V49" i="15"/>
  <c r="T49" i="15"/>
  <c r="M49" i="15"/>
  <c r="L49" i="15"/>
  <c r="CB48" i="15"/>
  <c r="CA48" i="15"/>
  <c r="BO48" i="15"/>
  <c r="BN48" i="15"/>
  <c r="BM48" i="15"/>
  <c r="BL48" i="15"/>
  <c r="BE48" i="15"/>
  <c r="BD48" i="15"/>
  <c r="BB48" i="15"/>
  <c r="Z48" i="15"/>
  <c r="X48" i="15"/>
  <c r="W48" i="15"/>
  <c r="V48" i="15"/>
  <c r="U48" i="15"/>
  <c r="K48" i="15"/>
  <c r="CC47" i="15"/>
  <c r="CB47" i="15"/>
  <c r="CA47" i="15"/>
  <c r="BZ47" i="15"/>
  <c r="BY47" i="15"/>
  <c r="BX47" i="15"/>
  <c r="BW47" i="15"/>
  <c r="BV47" i="15"/>
  <c r="BU47" i="15"/>
  <c r="BT47" i="15"/>
  <c r="BS47" i="15"/>
  <c r="BQ47" i="15"/>
  <c r="BO47" i="15"/>
  <c r="BN47" i="15"/>
  <c r="BM47" i="15"/>
  <c r="BL47" i="15"/>
  <c r="BK47" i="15"/>
  <c r="BI47" i="15"/>
  <c r="BH47" i="15"/>
  <c r="BF47" i="15"/>
  <c r="BE47" i="15"/>
  <c r="BD47" i="15"/>
  <c r="BC47" i="15"/>
  <c r="BB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J72" i="15" s="1"/>
  <c r="Z47" i="15"/>
  <c r="X47" i="15"/>
  <c r="W47" i="15"/>
  <c r="V47" i="15"/>
  <c r="U47" i="15"/>
  <c r="T47" i="15"/>
  <c r="M47" i="15"/>
  <c r="L47" i="15"/>
  <c r="K47" i="15"/>
  <c r="J47" i="15"/>
  <c r="CB46" i="15"/>
  <c r="CA46" i="15"/>
  <c r="BZ46" i="15"/>
  <c r="BY46" i="15"/>
  <c r="BX46" i="15"/>
  <c r="BS46" i="15"/>
  <c r="BO46" i="15"/>
  <c r="BN46" i="15"/>
  <c r="BM46" i="15"/>
  <c r="BF46" i="15"/>
  <c r="BB46" i="15"/>
  <c r="Z46" i="15"/>
  <c r="X46" i="15"/>
  <c r="W46" i="15"/>
  <c r="V46" i="15"/>
  <c r="K46" i="15"/>
  <c r="J46" i="15"/>
  <c r="CC45" i="15"/>
  <c r="CB45" i="15"/>
  <c r="CA45" i="15"/>
  <c r="BS45" i="15"/>
  <c r="BO45" i="15"/>
  <c r="BN45" i="15"/>
  <c r="BM45" i="15"/>
  <c r="BB45" i="15"/>
  <c r="Z45" i="15"/>
  <c r="W45" i="15"/>
  <c r="V45" i="15"/>
  <c r="U45" i="15"/>
  <c r="K45" i="15"/>
  <c r="J45" i="15"/>
  <c r="CC44" i="15"/>
  <c r="BS44" i="15"/>
  <c r="BO44" i="15"/>
  <c r="BN44" i="15"/>
  <c r="BM44" i="15"/>
  <c r="BB44" i="15"/>
  <c r="AL44" i="15"/>
  <c r="W44" i="15"/>
  <c r="V44" i="15"/>
  <c r="K44" i="15"/>
  <c r="CC43" i="15"/>
  <c r="BS43" i="15"/>
  <c r="BO43" i="15"/>
  <c r="BN43" i="15"/>
  <c r="BM43" i="15"/>
  <c r="BL43" i="15"/>
  <c r="BB43" i="15"/>
  <c r="AL43" i="15"/>
  <c r="Z43" i="15"/>
  <c r="X43" i="15"/>
  <c r="V43" i="15"/>
  <c r="K43" i="15"/>
  <c r="CB42" i="15"/>
  <c r="CA42" i="15"/>
  <c r="BN42" i="15"/>
  <c r="BL42" i="15"/>
  <c r="BF42" i="15"/>
  <c r="BB42" i="15"/>
  <c r="AL42" i="15"/>
  <c r="Z42" i="15"/>
  <c r="X42" i="15"/>
  <c r="W42" i="15"/>
  <c r="V42" i="15"/>
  <c r="CB41" i="15"/>
  <c r="CA41" i="15"/>
  <c r="BO41" i="15"/>
  <c r="BM41" i="15"/>
  <c r="BL41" i="15"/>
  <c r="BF41" i="15"/>
  <c r="BD41" i="15"/>
  <c r="BB41" i="15"/>
  <c r="AL41" i="15"/>
  <c r="Z41" i="15"/>
  <c r="X41" i="15"/>
  <c r="W41" i="15"/>
  <c r="V41" i="15"/>
  <c r="CB40" i="15"/>
  <c r="CA40" i="15"/>
  <c r="BS40" i="15"/>
  <c r="BO40" i="15"/>
  <c r="BN40" i="15"/>
  <c r="BM40" i="15"/>
  <c r="BL40" i="15"/>
  <c r="BF40" i="15"/>
  <c r="BB40" i="15"/>
  <c r="AT40" i="15"/>
  <c r="Z40" i="15"/>
  <c r="X40" i="15"/>
  <c r="W40" i="15"/>
  <c r="V40" i="15"/>
  <c r="CC39" i="15"/>
  <c r="CB39" i="15"/>
  <c r="CA39" i="15"/>
  <c r="BZ39" i="15"/>
  <c r="BY39" i="15"/>
  <c r="BW39" i="15"/>
  <c r="BV39" i="15"/>
  <c r="BU39" i="15"/>
  <c r="BT39" i="15"/>
  <c r="BS39" i="15"/>
  <c r="BO39" i="15"/>
  <c r="BN39" i="15"/>
  <c r="BM39" i="15"/>
  <c r="BL39" i="15"/>
  <c r="BF39" i="15"/>
  <c r="BB39" i="15"/>
  <c r="Z39" i="15"/>
  <c r="W39" i="15"/>
  <c r="V39" i="15"/>
  <c r="CC38" i="15"/>
  <c r="CB38" i="15"/>
  <c r="CA38" i="15"/>
  <c r="BZ38" i="15"/>
  <c r="BY38" i="15"/>
  <c r="BX38" i="15"/>
  <c r="BW38" i="15"/>
  <c r="BV38" i="15"/>
  <c r="BU38" i="15"/>
  <c r="BT38" i="15"/>
  <c r="BS38" i="15"/>
  <c r="BQ38" i="15"/>
  <c r="BO38" i="15"/>
  <c r="BN38" i="15"/>
  <c r="BM38" i="15"/>
  <c r="BL38" i="15"/>
  <c r="BK38" i="15"/>
  <c r="BI38" i="15"/>
  <c r="BE38" i="15"/>
  <c r="BD38" i="15"/>
  <c r="BC38" i="15"/>
  <c r="BB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Z38" i="15"/>
  <c r="W38" i="15"/>
  <c r="V38" i="15"/>
  <c r="U38" i="15"/>
  <c r="T38" i="15"/>
  <c r="M38" i="15"/>
  <c r="L38" i="15"/>
  <c r="K38" i="15"/>
  <c r="J38" i="15"/>
  <c r="CC37" i="15"/>
  <c r="CB37" i="15"/>
  <c r="CA37" i="15"/>
  <c r="BZ37" i="15"/>
  <c r="BY37" i="15"/>
  <c r="BX37" i="15"/>
  <c r="BW37" i="15"/>
  <c r="BV37" i="15"/>
  <c r="BU37" i="15"/>
  <c r="BT37" i="15"/>
  <c r="BS37" i="15"/>
  <c r="BQ37" i="15"/>
  <c r="BQ72" i="15" s="1"/>
  <c r="BO37" i="15"/>
  <c r="BN37" i="15"/>
  <c r="BM37" i="15"/>
  <c r="BL37" i="15"/>
  <c r="BK37" i="15"/>
  <c r="BI37" i="15"/>
  <c r="BF37" i="15"/>
  <c r="BE37" i="15"/>
  <c r="BD37" i="15"/>
  <c r="BC37" i="15"/>
  <c r="BB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Z37" i="15"/>
  <c r="X37" i="15"/>
  <c r="W37" i="15"/>
  <c r="V37" i="15"/>
  <c r="U37" i="15"/>
  <c r="T37" i="15"/>
  <c r="M37" i="15"/>
  <c r="L37" i="15"/>
  <c r="K37" i="15"/>
  <c r="J37" i="15"/>
  <c r="BO36" i="15"/>
  <c r="BN36" i="15"/>
  <c r="BM36" i="15"/>
  <c r="BB36" i="15"/>
  <c r="Z36" i="15"/>
  <c r="W36" i="15"/>
  <c r="V36" i="15"/>
  <c r="CB35" i="15"/>
  <c r="CA35" i="15"/>
  <c r="BN35" i="15"/>
  <c r="BM35" i="15"/>
  <c r="BB35" i="15"/>
  <c r="Z35" i="15"/>
  <c r="W35" i="15"/>
  <c r="CC34" i="15"/>
  <c r="CB34" i="15"/>
  <c r="CA34" i="15"/>
  <c r="BZ34" i="15"/>
  <c r="BY34" i="15"/>
  <c r="BX34" i="15"/>
  <c r="BO34" i="15"/>
  <c r="BN34" i="15"/>
  <c r="BM34" i="15"/>
  <c r="BL34" i="15"/>
  <c r="BK34" i="15"/>
  <c r="BI34" i="15"/>
  <c r="BF34" i="15"/>
  <c r="BE34" i="15"/>
  <c r="BD34" i="15"/>
  <c r="BB34" i="15"/>
  <c r="AY34" i="15"/>
  <c r="AX34" i="15"/>
  <c r="AW34" i="15"/>
  <c r="AT34" i="15"/>
  <c r="AQ34" i="15"/>
  <c r="AN34" i="15"/>
  <c r="AL34" i="15"/>
  <c r="AK34" i="15"/>
  <c r="Z34" i="15"/>
  <c r="X34" i="15"/>
  <c r="W34" i="15"/>
  <c r="V34" i="15"/>
  <c r="T34" i="15"/>
  <c r="L34" i="15"/>
  <c r="K34" i="15"/>
  <c r="J34" i="15"/>
  <c r="CC33" i="15"/>
  <c r="CB33" i="15"/>
  <c r="CA33" i="15"/>
  <c r="BZ33" i="15"/>
  <c r="BY33" i="15"/>
  <c r="BX33" i="15"/>
  <c r="BW33" i="15"/>
  <c r="BV33" i="15"/>
  <c r="BU33" i="15"/>
  <c r="BT33" i="15"/>
  <c r="BS33" i="15"/>
  <c r="BO33" i="15"/>
  <c r="BN33" i="15"/>
  <c r="BM33" i="15"/>
  <c r="BL33" i="15"/>
  <c r="BF33" i="15"/>
  <c r="BE33" i="15"/>
  <c r="BB33" i="15"/>
  <c r="AT33" i="15"/>
  <c r="AL33" i="15"/>
  <c r="Z33" i="15"/>
  <c r="X33" i="15"/>
  <c r="W33" i="15"/>
  <c r="V33" i="15"/>
  <c r="U33" i="15"/>
  <c r="K33" i="15"/>
  <c r="J33" i="15"/>
  <c r="BB32" i="15"/>
  <c r="CB31" i="15"/>
  <c r="CA31" i="15"/>
  <c r="BO31" i="15"/>
  <c r="BN31" i="15"/>
  <c r="BM31" i="15"/>
  <c r="Z31" i="15"/>
  <c r="W31" i="15"/>
  <c r="V31" i="15"/>
  <c r="BO30" i="15"/>
  <c r="BN30" i="15"/>
  <c r="BM30" i="15"/>
  <c r="BF30" i="15"/>
  <c r="Z30" i="15"/>
  <c r="X30" i="15"/>
  <c r="W30" i="15"/>
  <c r="CC29" i="15"/>
  <c r="CB29" i="15"/>
  <c r="CA29" i="15"/>
  <c r="BZ29" i="15"/>
  <c r="BY29" i="15"/>
  <c r="BX29" i="15"/>
  <c r="BW29" i="15"/>
  <c r="BV29" i="15"/>
  <c r="BU29" i="15"/>
  <c r="BT29" i="15"/>
  <c r="BS29" i="15"/>
  <c r="BO29" i="15"/>
  <c r="BN29" i="15"/>
  <c r="BM29" i="15"/>
  <c r="BL29" i="15"/>
  <c r="BK29" i="15"/>
  <c r="BI29" i="15"/>
  <c r="BE29" i="15"/>
  <c r="BD29" i="15"/>
  <c r="BC29" i="15"/>
  <c r="BB29" i="15"/>
  <c r="AZ29" i="15"/>
  <c r="AY29" i="15"/>
  <c r="AX29" i="15"/>
  <c r="AW29" i="15"/>
  <c r="AV29" i="15"/>
  <c r="AU29" i="15"/>
  <c r="AT29" i="15"/>
  <c r="AS29" i="15"/>
  <c r="AR29" i="15"/>
  <c r="AQ29" i="15"/>
  <c r="AN29" i="15"/>
  <c r="AM29" i="15"/>
  <c r="AL29" i="15"/>
  <c r="AK29" i="15"/>
  <c r="Z29" i="15"/>
  <c r="V29" i="15"/>
  <c r="U29" i="15"/>
  <c r="M29" i="15"/>
  <c r="L29" i="15"/>
  <c r="J29" i="15"/>
  <c r="CB28" i="15"/>
  <c r="CA28" i="15"/>
  <c r="BZ28" i="15"/>
  <c r="BY28" i="15"/>
  <c r="BS28" i="15"/>
  <c r="BO28" i="15"/>
  <c r="BN28" i="15"/>
  <c r="BM28" i="15"/>
  <c r="BE28" i="15"/>
  <c r="Z28" i="15"/>
  <c r="X28" i="15"/>
  <c r="W28" i="15"/>
  <c r="V28" i="15"/>
  <c r="BW23" i="15"/>
  <c r="BV23" i="15"/>
  <c r="BR23" i="15"/>
  <c r="BQ23" i="15"/>
  <c r="BH23" i="15"/>
  <c r="BH72" i="15" s="1"/>
  <c r="BF23" i="15"/>
  <c r="AW23" i="15"/>
  <c r="AV23" i="15"/>
  <c r="AT23" i="15"/>
  <c r="AS23" i="15"/>
  <c r="AR23" i="15"/>
  <c r="AQ23" i="15"/>
  <c r="AP23" i="15"/>
  <c r="AP72" i="15" s="1"/>
  <c r="AO23" i="15"/>
  <c r="AJ23" i="15"/>
  <c r="AH23" i="15"/>
  <c r="AG23" i="15"/>
  <c r="AF23" i="15"/>
  <c r="AE23" i="15"/>
  <c r="AD23" i="15"/>
  <c r="AC23" i="15"/>
  <c r="AC72" i="15" s="1"/>
  <c r="AB23" i="15"/>
  <c r="AB72" i="15" s="1"/>
  <c r="Y23" i="15"/>
  <c r="Y72" i="15" s="1"/>
  <c r="X23" i="15"/>
  <c r="W23" i="15"/>
  <c r="V23" i="15"/>
  <c r="U23" i="15"/>
  <c r="T23" i="15"/>
  <c r="R23" i="15"/>
  <c r="R72" i="15" s="1"/>
  <c r="Q23" i="15"/>
  <c r="P23" i="15"/>
  <c r="O23" i="15"/>
  <c r="N23" i="15"/>
  <c r="K23" i="15"/>
  <c r="J23" i="15"/>
  <c r="G23" i="15"/>
  <c r="G72" i="15" s="1"/>
  <c r="F23" i="15"/>
  <c r="F72" i="15" s="1"/>
  <c r="E23" i="15"/>
  <c r="E72" i="15" s="1"/>
  <c r="D23" i="15"/>
  <c r="D72" i="15" s="1"/>
  <c r="M19" i="15"/>
  <c r="CC17" i="15"/>
  <c r="CB17" i="15"/>
  <c r="CA17" i="15"/>
  <c r="BZ17" i="15"/>
  <c r="BY17" i="15"/>
  <c r="BT17" i="15"/>
  <c r="BO17" i="15"/>
  <c r="BN17" i="15"/>
  <c r="BM17" i="15"/>
  <c r="BL17" i="15"/>
  <c r="BE17" i="15"/>
  <c r="BD17" i="15"/>
  <c r="BB17" i="15"/>
  <c r="Z17" i="15"/>
  <c r="CC16" i="15"/>
  <c r="CB16" i="15"/>
  <c r="CA16" i="15"/>
  <c r="BX16" i="15"/>
  <c r="BS16" i="15"/>
  <c r="BO16" i="15"/>
  <c r="BN16" i="15"/>
  <c r="BM16" i="15"/>
  <c r="BL16" i="15"/>
  <c r="BI16" i="15"/>
  <c r="BE16" i="15"/>
  <c r="BD16" i="15"/>
  <c r="BC16" i="15"/>
  <c r="BB16" i="15"/>
  <c r="AZ16" i="15"/>
  <c r="AZ23" i="15" s="1"/>
  <c r="AN16" i="15"/>
  <c r="AN23" i="15" s="1"/>
  <c r="AM16" i="15"/>
  <c r="AL16" i="15"/>
  <c r="Z16" i="15"/>
  <c r="M16" i="15"/>
  <c r="L16" i="15"/>
  <c r="L23" i="15" s="1"/>
  <c r="CC15" i="15"/>
  <c r="CB15" i="15"/>
  <c r="CA15" i="15"/>
  <c r="BO15" i="15"/>
  <c r="BN15" i="15"/>
  <c r="BM15" i="15"/>
  <c r="BL15" i="15"/>
  <c r="BE15" i="15"/>
  <c r="BD15" i="15"/>
  <c r="BB15" i="15"/>
  <c r="Z15" i="15"/>
  <c r="BS14" i="15"/>
  <c r="BO14" i="15"/>
  <c r="BM14" i="15"/>
  <c r="BE14" i="15"/>
  <c r="BD14" i="15"/>
  <c r="CC13" i="15"/>
  <c r="BS13" i="15"/>
  <c r="BO13" i="15"/>
  <c r="BN13" i="15"/>
  <c r="BM13" i="15"/>
  <c r="BL13" i="15"/>
  <c r="BK13" i="15"/>
  <c r="BK23" i="15" s="1"/>
  <c r="BI13" i="15"/>
  <c r="BE13" i="15"/>
  <c r="BD13" i="15"/>
  <c r="BB13" i="15"/>
  <c r="AU13" i="15"/>
  <c r="AU23" i="15" s="1"/>
  <c r="AL13" i="15"/>
  <c r="AK13" i="15"/>
  <c r="Z13" i="15"/>
  <c r="M13" i="15"/>
  <c r="BC12" i="15"/>
  <c r="BB12" i="15"/>
  <c r="AX12" i="15"/>
  <c r="AX23" i="15" s="1"/>
  <c r="AM12" i="15"/>
  <c r="AK12" i="15"/>
  <c r="Z12" i="15"/>
  <c r="CC11" i="15"/>
  <c r="CB11" i="15"/>
  <c r="CA11" i="15"/>
  <c r="BO11" i="15"/>
  <c r="BN11" i="15"/>
  <c r="BL11" i="15"/>
  <c r="BB11" i="15"/>
  <c r="Z11" i="15"/>
  <c r="CC10" i="15"/>
  <c r="BX10" i="15"/>
  <c r="BO10" i="15"/>
  <c r="BN10" i="15"/>
  <c r="BM10" i="15"/>
  <c r="BE10" i="15"/>
  <c r="BD10" i="15"/>
  <c r="BB10" i="15"/>
  <c r="Z10" i="15"/>
  <c r="CC9" i="15"/>
  <c r="CB9" i="15"/>
  <c r="CA9" i="15"/>
  <c r="BZ9" i="15"/>
  <c r="BY9" i="15"/>
  <c r="BX9" i="15"/>
  <c r="BU9" i="15"/>
  <c r="BU23" i="15" s="1"/>
  <c r="BU72" i="15" s="1"/>
  <c r="BT9" i="15"/>
  <c r="BS9" i="15"/>
  <c r="BO9" i="15"/>
  <c r="BN9" i="15"/>
  <c r="BM9" i="15"/>
  <c r="BL9" i="15"/>
  <c r="BE9" i="15"/>
  <c r="BD9" i="15"/>
  <c r="BB9" i="15"/>
  <c r="AY9" i="15"/>
  <c r="AY23" i="15" s="1"/>
  <c r="Z9" i="15"/>
  <c r="M9" i="15"/>
  <c r="CC8" i="15"/>
  <c r="CB8" i="15"/>
  <c r="BS8" i="15"/>
  <c r="BO8" i="15"/>
  <c r="BN8" i="15"/>
  <c r="BM8" i="15"/>
  <c r="BL8" i="15"/>
  <c r="BE8" i="15"/>
  <c r="BD8" i="15"/>
  <c r="BB8" i="15"/>
  <c r="AL8" i="15"/>
  <c r="Z8" i="15"/>
  <c r="C13" i="3"/>
  <c r="D13" i="3"/>
  <c r="L72" i="15" l="1"/>
  <c r="AS72" i="15"/>
  <c r="BY23" i="15"/>
  <c r="BZ23" i="15"/>
  <c r="BZ72" i="15" s="1"/>
  <c r="BT23" i="15"/>
  <c r="BT72" i="15"/>
  <c r="U72" i="15"/>
  <c r="AR72" i="15"/>
  <c r="AU72" i="15"/>
  <c r="BY72" i="15"/>
  <c r="BL23" i="15"/>
  <c r="BL72" i="15" s="1"/>
  <c r="AN72" i="15"/>
  <c r="BM23" i="15"/>
  <c r="BM72" i="15" s="1"/>
  <c r="V72" i="15"/>
  <c r="AZ72" i="15"/>
  <c r="BI23" i="15"/>
  <c r="BI72" i="15" s="1"/>
  <c r="BK72" i="15"/>
  <c r="BS23" i="15"/>
  <c r="BS72" i="15" s="1"/>
  <c r="BX23" i="15"/>
  <c r="BX72" i="15" s="1"/>
  <c r="W72" i="15"/>
  <c r="AT72" i="15"/>
  <c r="BO23" i="15"/>
  <c r="BO72" i="15" s="1"/>
  <c r="BF72" i="15"/>
  <c r="CA23" i="15"/>
  <c r="CA72" i="15" s="1"/>
  <c r="Z23" i="15"/>
  <c r="Z72" i="15" s="1"/>
  <c r="AY72" i="15"/>
  <c r="J72" i="15"/>
  <c r="X72" i="15"/>
  <c r="M23" i="15"/>
  <c r="M72" i="15" s="1"/>
  <c r="K72" i="15"/>
  <c r="BN23" i="15"/>
  <c r="BN72" i="15" s="1"/>
  <c r="CB23" i="15"/>
  <c r="CB72" i="15" s="1"/>
  <c r="AV72" i="15"/>
  <c r="BB23" i="15"/>
  <c r="BB72" i="15" s="1"/>
  <c r="AM23" i="15"/>
  <c r="AM72" i="15" s="1"/>
  <c r="AW72" i="15"/>
  <c r="AK23" i="15"/>
  <c r="AK72" i="15" s="1"/>
  <c r="AX72" i="15"/>
  <c r="BV72" i="15"/>
  <c r="CC23" i="15"/>
  <c r="CC72" i="15" s="1"/>
  <c r="BE23" i="15"/>
  <c r="BE72" i="15" s="1"/>
  <c r="AO72" i="15"/>
  <c r="BW72" i="15"/>
  <c r="BC23" i="15"/>
  <c r="BC72" i="15" s="1"/>
  <c r="AL23" i="15"/>
  <c r="AL72" i="15" s="1"/>
  <c r="BD23" i="15"/>
  <c r="BD72" i="15" s="1"/>
  <c r="T72" i="15"/>
  <c r="AQ72" i="15"/>
  <c r="BU74" i="15" l="1"/>
  <c r="D82" i="14"/>
  <c r="C82" i="14"/>
  <c r="CC78" i="14"/>
  <c r="CB78" i="14"/>
  <c r="CA78" i="14"/>
  <c r="BZ78" i="14"/>
  <c r="BY78" i="14"/>
  <c r="BX78" i="14"/>
  <c r="BW78" i="14"/>
  <c r="BV78" i="14"/>
  <c r="BU78" i="14"/>
  <c r="BT78" i="14"/>
  <c r="BS78" i="14"/>
  <c r="BR78" i="14"/>
  <c r="BQ78" i="14"/>
  <c r="BO78" i="14"/>
  <c r="BN78" i="14"/>
  <c r="BM78" i="14"/>
  <c r="BL78" i="14"/>
  <c r="BK78" i="14"/>
  <c r="BI78" i="14"/>
  <c r="BH78" i="14"/>
  <c r="BF78" i="14"/>
  <c r="BE78" i="14"/>
  <c r="BD78" i="14"/>
  <c r="BC78" i="14"/>
  <c r="BB78" i="14"/>
  <c r="BA78" i="14"/>
  <c r="AZ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F78" i="14"/>
  <c r="AE78" i="14"/>
  <c r="AD78" i="14"/>
  <c r="AC78" i="14"/>
  <c r="AB78" i="14"/>
  <c r="AA78" i="14"/>
  <c r="Z78" i="14"/>
  <c r="X78" i="14"/>
  <c r="W78" i="14"/>
  <c r="V78" i="14"/>
  <c r="U78" i="14"/>
  <c r="T78" i="14"/>
  <c r="S78" i="14"/>
  <c r="R78" i="14"/>
  <c r="P78" i="14"/>
  <c r="O78" i="14"/>
  <c r="N78" i="14"/>
  <c r="M78" i="14"/>
  <c r="L78" i="14"/>
  <c r="K78" i="14"/>
  <c r="J78" i="14"/>
  <c r="I78" i="14"/>
  <c r="H78" i="14"/>
  <c r="F78" i="14"/>
  <c r="E78" i="14"/>
  <c r="CC77" i="14"/>
  <c r="CB77" i="14"/>
  <c r="CA77" i="14"/>
  <c r="BZ77" i="14"/>
  <c r="BY77" i="14"/>
  <c r="BX77" i="14"/>
  <c r="BW77" i="14"/>
  <c r="BV77" i="14"/>
  <c r="BU77" i="14"/>
  <c r="BT77" i="14"/>
  <c r="BS77" i="14"/>
  <c r="BR77" i="14"/>
  <c r="BQ77" i="14"/>
  <c r="BO77" i="14"/>
  <c r="BN77" i="14"/>
  <c r="BM77" i="14"/>
  <c r="BL77" i="14"/>
  <c r="BK77" i="14"/>
  <c r="BI77" i="14"/>
  <c r="BH77" i="14"/>
  <c r="BF77" i="14"/>
  <c r="BE77" i="14"/>
  <c r="BD77" i="14"/>
  <c r="BC77" i="14"/>
  <c r="BB77" i="14"/>
  <c r="BA77" i="14"/>
  <c r="AZ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F77" i="14"/>
  <c r="AE77" i="14"/>
  <c r="AD77" i="14"/>
  <c r="AC77" i="14"/>
  <c r="AB77" i="14"/>
  <c r="AA77" i="14"/>
  <c r="Z77" i="14"/>
  <c r="X77" i="14"/>
  <c r="W77" i="14"/>
  <c r="V77" i="14"/>
  <c r="U77" i="14"/>
  <c r="T77" i="14"/>
  <c r="S77" i="14"/>
  <c r="R77" i="14"/>
  <c r="P77" i="14"/>
  <c r="O77" i="14"/>
  <c r="N77" i="14"/>
  <c r="M77" i="14"/>
  <c r="L77" i="14"/>
  <c r="K77" i="14"/>
  <c r="J77" i="14"/>
  <c r="I77" i="14"/>
  <c r="H77" i="14"/>
  <c r="F77" i="14"/>
  <c r="E77" i="14"/>
  <c r="CC76" i="14"/>
  <c r="CB76" i="14"/>
  <c r="CA76" i="14"/>
  <c r="BZ76" i="14"/>
  <c r="BY76" i="14"/>
  <c r="BX76" i="14"/>
  <c r="BW76" i="14"/>
  <c r="BV76" i="14"/>
  <c r="BU76" i="14"/>
  <c r="BT76" i="14"/>
  <c r="BS76" i="14"/>
  <c r="BR76" i="14"/>
  <c r="BQ76" i="14"/>
  <c r="BO76" i="14"/>
  <c r="BN76" i="14"/>
  <c r="BM76" i="14"/>
  <c r="BL76" i="14"/>
  <c r="BK76" i="14"/>
  <c r="BI76" i="14"/>
  <c r="BH76" i="14"/>
  <c r="BF76" i="14"/>
  <c r="BE76" i="14"/>
  <c r="BD76" i="14"/>
  <c r="BC76" i="14"/>
  <c r="BB76" i="14"/>
  <c r="BA76" i="14"/>
  <c r="AZ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F76" i="14"/>
  <c r="AE76" i="14"/>
  <c r="AD76" i="14"/>
  <c r="AC76" i="14"/>
  <c r="AB76" i="14"/>
  <c r="AA76" i="14"/>
  <c r="Z76" i="14"/>
  <c r="X76" i="14"/>
  <c r="W76" i="14"/>
  <c r="V76" i="14"/>
  <c r="U76" i="14"/>
  <c r="T76" i="14"/>
  <c r="S76" i="14"/>
  <c r="R76" i="14"/>
  <c r="P76" i="14"/>
  <c r="O76" i="14"/>
  <c r="N76" i="14"/>
  <c r="M76" i="14"/>
  <c r="L76" i="14"/>
  <c r="K76" i="14"/>
  <c r="J76" i="14"/>
  <c r="I76" i="14"/>
  <c r="H76" i="14"/>
  <c r="F76" i="14"/>
  <c r="E76" i="14"/>
  <c r="CC75" i="14"/>
  <c r="CB75" i="14"/>
  <c r="CA75" i="14"/>
  <c r="BZ75" i="14"/>
  <c r="BY75" i="14"/>
  <c r="BX75" i="14"/>
  <c r="BW75" i="14"/>
  <c r="BV75" i="14"/>
  <c r="BU75" i="14"/>
  <c r="BT75" i="14"/>
  <c r="BS75" i="14"/>
  <c r="BR75" i="14"/>
  <c r="BQ75" i="14"/>
  <c r="BO75" i="14"/>
  <c r="BN75" i="14"/>
  <c r="BM75" i="14"/>
  <c r="BL75" i="14"/>
  <c r="BK75" i="14"/>
  <c r="BI75" i="14"/>
  <c r="BH75" i="14"/>
  <c r="BF75" i="14"/>
  <c r="BE75" i="14"/>
  <c r="BD75" i="14"/>
  <c r="BC75" i="14"/>
  <c r="BB75" i="14"/>
  <c r="BA75" i="14"/>
  <c r="AZ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F75" i="14"/>
  <c r="AE75" i="14"/>
  <c r="AD75" i="14"/>
  <c r="AC75" i="14"/>
  <c r="AB75" i="14"/>
  <c r="AA75" i="14"/>
  <c r="Z75" i="14"/>
  <c r="X75" i="14"/>
  <c r="W75" i="14"/>
  <c r="V75" i="14"/>
  <c r="U75" i="14"/>
  <c r="T75" i="14"/>
  <c r="S75" i="14"/>
  <c r="R75" i="14"/>
  <c r="P75" i="14"/>
  <c r="O75" i="14"/>
  <c r="N75" i="14"/>
  <c r="M75" i="14"/>
  <c r="L75" i="14"/>
  <c r="K75" i="14"/>
  <c r="J75" i="14"/>
  <c r="I75" i="14"/>
  <c r="H75" i="14"/>
  <c r="F75" i="14"/>
  <c r="E75" i="14"/>
  <c r="CC74" i="14"/>
  <c r="CB74" i="14"/>
  <c r="CA74" i="14"/>
  <c r="BZ74" i="14"/>
  <c r="BY74" i="14"/>
  <c r="BX74" i="14"/>
  <c r="BW74" i="14"/>
  <c r="BV74" i="14"/>
  <c r="BU74" i="14"/>
  <c r="BT74" i="14"/>
  <c r="BS74" i="14"/>
  <c r="BR74" i="14"/>
  <c r="BQ74" i="14"/>
  <c r="BO74" i="14"/>
  <c r="BN74" i="14"/>
  <c r="BM74" i="14"/>
  <c r="BL74" i="14"/>
  <c r="BK74" i="14"/>
  <c r="BI74" i="14"/>
  <c r="BH74" i="14"/>
  <c r="BF74" i="14"/>
  <c r="BE74" i="14"/>
  <c r="BD74" i="14"/>
  <c r="BC74" i="14"/>
  <c r="BB74" i="14"/>
  <c r="BA74" i="14"/>
  <c r="AZ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F74" i="14"/>
  <c r="AE74" i="14"/>
  <c r="AD74" i="14"/>
  <c r="AC74" i="14"/>
  <c r="AB74" i="14"/>
  <c r="AA74" i="14"/>
  <c r="Z74" i="14"/>
  <c r="X74" i="14"/>
  <c r="W74" i="14"/>
  <c r="V74" i="14"/>
  <c r="U74" i="14"/>
  <c r="T74" i="14"/>
  <c r="S74" i="14"/>
  <c r="R74" i="14"/>
  <c r="P74" i="14"/>
  <c r="O74" i="14"/>
  <c r="N74" i="14"/>
  <c r="M74" i="14"/>
  <c r="L74" i="14"/>
  <c r="K74" i="14"/>
  <c r="J74" i="14"/>
  <c r="I74" i="14"/>
  <c r="H74" i="14"/>
  <c r="F74" i="14"/>
  <c r="E74" i="14"/>
  <c r="CC73" i="14"/>
  <c r="CB73" i="14"/>
  <c r="CA73" i="14"/>
  <c r="BZ73" i="14"/>
  <c r="BY73" i="14"/>
  <c r="BX73" i="14"/>
  <c r="BW73" i="14"/>
  <c r="BV73" i="14"/>
  <c r="BU73" i="14"/>
  <c r="BT73" i="14"/>
  <c r="BS73" i="14"/>
  <c r="BR73" i="14"/>
  <c r="BQ73" i="14"/>
  <c r="BO73" i="14"/>
  <c r="BN73" i="14"/>
  <c r="BM73" i="14"/>
  <c r="BL73" i="14"/>
  <c r="BK73" i="14"/>
  <c r="BI73" i="14"/>
  <c r="BH73" i="14"/>
  <c r="BF73" i="14"/>
  <c r="BE73" i="14"/>
  <c r="BD73" i="14"/>
  <c r="BC73" i="14"/>
  <c r="BB73" i="14"/>
  <c r="BA73" i="14"/>
  <c r="AZ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F73" i="14"/>
  <c r="AE73" i="14"/>
  <c r="AD73" i="14"/>
  <c r="AC73" i="14"/>
  <c r="AB73" i="14"/>
  <c r="AA73" i="14"/>
  <c r="Z73" i="14"/>
  <c r="X73" i="14"/>
  <c r="W73" i="14"/>
  <c r="V73" i="14"/>
  <c r="U73" i="14"/>
  <c r="T73" i="14"/>
  <c r="S73" i="14"/>
  <c r="R73" i="14"/>
  <c r="P73" i="14"/>
  <c r="O73" i="14"/>
  <c r="N73" i="14"/>
  <c r="M73" i="14"/>
  <c r="L73" i="14"/>
  <c r="K73" i="14"/>
  <c r="J73" i="14"/>
  <c r="I73" i="14"/>
  <c r="H73" i="14"/>
  <c r="F73" i="14"/>
  <c r="E73" i="14"/>
  <c r="CC72" i="14"/>
  <c r="CB72" i="14"/>
  <c r="CA72" i="14"/>
  <c r="BZ72" i="14"/>
  <c r="BY72" i="14"/>
  <c r="BX72" i="14"/>
  <c r="BW72" i="14"/>
  <c r="BV72" i="14"/>
  <c r="BU72" i="14"/>
  <c r="BT72" i="14"/>
  <c r="BS72" i="14"/>
  <c r="BR72" i="14"/>
  <c r="BQ72" i="14"/>
  <c r="BO72" i="14"/>
  <c r="BN72" i="14"/>
  <c r="BM72" i="14"/>
  <c r="BL72" i="14"/>
  <c r="BK72" i="14"/>
  <c r="BI72" i="14"/>
  <c r="BH72" i="14"/>
  <c r="F72" i="14" s="1"/>
  <c r="BF72" i="14"/>
  <c r="BE72" i="14"/>
  <c r="BD72" i="14"/>
  <c r="BC72" i="14"/>
  <c r="BB72" i="14"/>
  <c r="BA72" i="14"/>
  <c r="AZ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F72" i="14"/>
  <c r="AE72" i="14"/>
  <c r="AD72" i="14"/>
  <c r="AC72" i="14"/>
  <c r="AB72" i="14"/>
  <c r="AA72" i="14"/>
  <c r="Z72" i="14"/>
  <c r="X72" i="14"/>
  <c r="W72" i="14"/>
  <c r="V72" i="14"/>
  <c r="U72" i="14"/>
  <c r="T72" i="14"/>
  <c r="S72" i="14"/>
  <c r="R72" i="14"/>
  <c r="P72" i="14"/>
  <c r="O72" i="14"/>
  <c r="N72" i="14"/>
  <c r="M72" i="14"/>
  <c r="L72" i="14"/>
  <c r="K72" i="14"/>
  <c r="J72" i="14"/>
  <c r="I72" i="14"/>
  <c r="H72" i="14"/>
  <c r="E72" i="14"/>
  <c r="CC71" i="14"/>
  <c r="CB71" i="14"/>
  <c r="CA71" i="14"/>
  <c r="BZ71" i="14"/>
  <c r="BY71" i="14"/>
  <c r="BX71" i="14"/>
  <c r="BW71" i="14"/>
  <c r="BV71" i="14"/>
  <c r="BU71" i="14"/>
  <c r="BT71" i="14"/>
  <c r="BS71" i="14"/>
  <c r="BR71" i="14"/>
  <c r="BQ71" i="14"/>
  <c r="BO71" i="14"/>
  <c r="BN71" i="14"/>
  <c r="BM71" i="14"/>
  <c r="BL71" i="14"/>
  <c r="BK71" i="14"/>
  <c r="BI71" i="14"/>
  <c r="BH71" i="14"/>
  <c r="BF71" i="14"/>
  <c r="BE71" i="14"/>
  <c r="BD71" i="14"/>
  <c r="BC71" i="14"/>
  <c r="BB71" i="14"/>
  <c r="BA71" i="14"/>
  <c r="AZ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F71" i="14"/>
  <c r="AE71" i="14"/>
  <c r="AD71" i="14"/>
  <c r="AC71" i="14"/>
  <c r="AB71" i="14"/>
  <c r="AA71" i="14"/>
  <c r="Z71" i="14"/>
  <c r="X71" i="14"/>
  <c r="W71" i="14"/>
  <c r="V71" i="14"/>
  <c r="U71" i="14"/>
  <c r="T71" i="14"/>
  <c r="S71" i="14"/>
  <c r="R71" i="14"/>
  <c r="P71" i="14"/>
  <c r="O71" i="14"/>
  <c r="N71" i="14"/>
  <c r="M71" i="14"/>
  <c r="L71" i="14"/>
  <c r="K71" i="14"/>
  <c r="J71" i="14"/>
  <c r="I71" i="14"/>
  <c r="H71" i="14"/>
  <c r="F71" i="14"/>
  <c r="E71" i="14"/>
  <c r="CC70" i="14"/>
  <c r="CC82" i="14" s="1"/>
  <c r="CB70" i="14"/>
  <c r="CA70" i="14"/>
  <c r="BZ70" i="14"/>
  <c r="BY70" i="14"/>
  <c r="BX70" i="14"/>
  <c r="BW70" i="14"/>
  <c r="BV70" i="14"/>
  <c r="BU70" i="14"/>
  <c r="BT70" i="14"/>
  <c r="BS70" i="14"/>
  <c r="BR70" i="14"/>
  <c r="BQ70" i="14"/>
  <c r="BO70" i="14"/>
  <c r="BN70" i="14"/>
  <c r="BM70" i="14"/>
  <c r="BL70" i="14"/>
  <c r="BL82" i="14" s="1"/>
  <c r="BK70" i="14"/>
  <c r="BI70" i="14"/>
  <c r="BH70" i="14"/>
  <c r="BF70" i="14"/>
  <c r="BE70" i="14"/>
  <c r="BD70" i="14"/>
  <c r="BC70" i="14"/>
  <c r="BB70" i="14"/>
  <c r="BA70" i="14"/>
  <c r="AZ70" i="14"/>
  <c r="AX70" i="14"/>
  <c r="AW70" i="14"/>
  <c r="AV70" i="14"/>
  <c r="AU70" i="14"/>
  <c r="AT70" i="14"/>
  <c r="AS70" i="14"/>
  <c r="AS82" i="14" s="1"/>
  <c r="AR70" i="14"/>
  <c r="AQ70" i="14"/>
  <c r="AP70" i="14"/>
  <c r="AO70" i="14"/>
  <c r="AN70" i="14"/>
  <c r="AM70" i="14"/>
  <c r="AL70" i="14"/>
  <c r="AK70" i="14"/>
  <c r="AJ70" i="14"/>
  <c r="AI70" i="14"/>
  <c r="AH70" i="14"/>
  <c r="AF70" i="14"/>
  <c r="AE70" i="14"/>
  <c r="AD70" i="14"/>
  <c r="AC70" i="14"/>
  <c r="AB70" i="14"/>
  <c r="AB82" i="14" s="1"/>
  <c r="AA70" i="14"/>
  <c r="Z70" i="14"/>
  <c r="X70" i="14"/>
  <c r="W70" i="14"/>
  <c r="V70" i="14"/>
  <c r="U70" i="14"/>
  <c r="T70" i="14"/>
  <c r="S70" i="14"/>
  <c r="R70" i="14"/>
  <c r="P70" i="14"/>
  <c r="O70" i="14"/>
  <c r="N70" i="14"/>
  <c r="M70" i="14"/>
  <c r="L70" i="14"/>
  <c r="K70" i="14"/>
  <c r="J70" i="14"/>
  <c r="J82" i="14" s="1"/>
  <c r="I70" i="14"/>
  <c r="H70" i="14"/>
  <c r="F70" i="14"/>
  <c r="E70" i="14"/>
  <c r="BR63" i="14"/>
  <c r="BO63" i="14"/>
  <c r="BN63" i="14"/>
  <c r="BM63" i="14"/>
  <c r="BL63" i="14"/>
  <c r="BK63" i="14"/>
  <c r="BI63" i="14"/>
  <c r="BH63" i="14"/>
  <c r="BF63" i="14"/>
  <c r="BE63" i="14"/>
  <c r="BD63" i="14"/>
  <c r="BC63" i="14"/>
  <c r="BB63" i="14"/>
  <c r="BA63" i="14"/>
  <c r="AZ63" i="14"/>
  <c r="AW63" i="14"/>
  <c r="AV63" i="14"/>
  <c r="AU63" i="14"/>
  <c r="AT63" i="14"/>
  <c r="AS63" i="14"/>
  <c r="AQ63" i="14"/>
  <c r="AP63" i="14"/>
  <c r="AO63" i="14"/>
  <c r="AN63" i="14"/>
  <c r="AL63" i="14"/>
  <c r="AK63" i="14"/>
  <c r="AJ63" i="14"/>
  <c r="AI63" i="14"/>
  <c r="AH63" i="14"/>
  <c r="AF63" i="14"/>
  <c r="AE63" i="14"/>
  <c r="AD63" i="14"/>
  <c r="AC63" i="14"/>
  <c r="AB63" i="14"/>
  <c r="AA63" i="14"/>
  <c r="Z63" i="14"/>
  <c r="X63" i="14"/>
  <c r="W63" i="14"/>
  <c r="V63" i="14"/>
  <c r="U63" i="14"/>
  <c r="T63" i="14"/>
  <c r="S63" i="14"/>
  <c r="R63" i="14"/>
  <c r="P63" i="14"/>
  <c r="O63" i="14"/>
  <c r="N63" i="14"/>
  <c r="M63" i="14"/>
  <c r="L63" i="14"/>
  <c r="K63" i="14"/>
  <c r="J63" i="14"/>
  <c r="I63" i="14"/>
  <c r="H63" i="14"/>
  <c r="F63" i="14"/>
  <c r="E63" i="14"/>
  <c r="D63" i="14"/>
  <c r="D85" i="14" s="1"/>
  <c r="C63" i="14"/>
  <c r="C85" i="14" s="1"/>
  <c r="CC59" i="14"/>
  <c r="CB59" i="14"/>
  <c r="BY59" i="14"/>
  <c r="BV59" i="14"/>
  <c r="BU59" i="14"/>
  <c r="BT59" i="14"/>
  <c r="BS59" i="14"/>
  <c r="BQ59" i="14"/>
  <c r="CC58" i="14"/>
  <c r="CB58" i="14"/>
  <c r="CA58" i="14"/>
  <c r="BZ58" i="14"/>
  <c r="BX58" i="14"/>
  <c r="BW58" i="14"/>
  <c r="BV58" i="14"/>
  <c r="BU58" i="14"/>
  <c r="BT58" i="14"/>
  <c r="BS58" i="14"/>
  <c r="BQ58" i="14"/>
  <c r="CC57" i="14"/>
  <c r="CB57" i="14"/>
  <c r="CA57" i="14"/>
  <c r="BZ57" i="14"/>
  <c r="BY57" i="14"/>
  <c r="BX57" i="14"/>
  <c r="BW57" i="14"/>
  <c r="BV57" i="14"/>
  <c r="BU57" i="14"/>
  <c r="BT57" i="14"/>
  <c r="BS57" i="14"/>
  <c r="BQ57" i="14"/>
  <c r="CC56" i="14"/>
  <c r="CB56" i="14"/>
  <c r="BT56" i="14"/>
  <c r="CC55" i="14"/>
  <c r="CB55" i="14"/>
  <c r="CA55" i="14"/>
  <c r="BZ55" i="14"/>
  <c r="BY55" i="14"/>
  <c r="BX55" i="14"/>
  <c r="BW55" i="14"/>
  <c r="BV55" i="14"/>
  <c r="BU55" i="14"/>
  <c r="BT55" i="14"/>
  <c r="BS55" i="14"/>
  <c r="BQ55" i="14"/>
  <c r="CC54" i="14"/>
  <c r="CB54" i="14"/>
  <c r="CA54" i="14"/>
  <c r="BZ54" i="14"/>
  <c r="BY54" i="14"/>
  <c r="BX54" i="14"/>
  <c r="BW54" i="14"/>
  <c r="BV54" i="14"/>
  <c r="BU54" i="14"/>
  <c r="BT54" i="14"/>
  <c r="BS54" i="14"/>
  <c r="BQ54" i="14"/>
  <c r="CC53" i="14"/>
  <c r="CB53" i="14"/>
  <c r="CA53" i="14"/>
  <c r="BZ53" i="14"/>
  <c r="BY53" i="14"/>
  <c r="BX53" i="14"/>
  <c r="BW53" i="14"/>
  <c r="BV53" i="14"/>
  <c r="BU53" i="14"/>
  <c r="BT53" i="14"/>
  <c r="BQ53" i="14"/>
  <c r="CC52" i="14"/>
  <c r="CB52" i="14"/>
  <c r="CA52" i="14"/>
  <c r="BZ52" i="14"/>
  <c r="BX52" i="14"/>
  <c r="BW52" i="14"/>
  <c r="BT52" i="14"/>
  <c r="BQ52" i="14"/>
  <c r="CC51" i="14"/>
  <c r="CB51" i="14"/>
  <c r="CA51" i="14"/>
  <c r="BZ51" i="14"/>
  <c r="BY51" i="14"/>
  <c r="BX51" i="14"/>
  <c r="BW51" i="14"/>
  <c r="BV51" i="14"/>
  <c r="BU51" i="14"/>
  <c r="BT51" i="14"/>
  <c r="BS51" i="14"/>
  <c r="BQ51" i="14"/>
  <c r="CC50" i="14"/>
  <c r="CB50" i="14"/>
  <c r="CA50" i="14"/>
  <c r="BZ50" i="14"/>
  <c r="BY50" i="14"/>
  <c r="BX50" i="14"/>
  <c r="BW50" i="14"/>
  <c r="BV50" i="14"/>
  <c r="BU50" i="14"/>
  <c r="BT50" i="14"/>
  <c r="BS50" i="14"/>
  <c r="BQ50" i="14"/>
  <c r="CC49" i="14"/>
  <c r="CB49" i="14"/>
  <c r="CA49" i="14"/>
  <c r="BZ49" i="14"/>
  <c r="BY49" i="14"/>
  <c r="BX49" i="14"/>
  <c r="BW49" i="14"/>
  <c r="BV49" i="14"/>
  <c r="BU49" i="14"/>
  <c r="BT49" i="14"/>
  <c r="BS49" i="14"/>
  <c r="BQ49" i="14"/>
  <c r="CC48" i="14"/>
  <c r="CB48" i="14"/>
  <c r="CA48" i="14"/>
  <c r="BZ48" i="14"/>
  <c r="BY48" i="14"/>
  <c r="BX48" i="14"/>
  <c r="BW48" i="14"/>
  <c r="BV48" i="14"/>
  <c r="BU48" i="14"/>
  <c r="BT48" i="14"/>
  <c r="BS48" i="14"/>
  <c r="BQ48" i="14"/>
  <c r="CC47" i="14"/>
  <c r="CB47" i="14"/>
  <c r="CA47" i="14"/>
  <c r="BZ47" i="14"/>
  <c r="BY47" i="14"/>
  <c r="BX47" i="14"/>
  <c r="BW47" i="14"/>
  <c r="BV47" i="14"/>
  <c r="BU47" i="14"/>
  <c r="BT47" i="14"/>
  <c r="BQ47" i="14"/>
  <c r="CC46" i="14"/>
  <c r="CB46" i="14"/>
  <c r="CC45" i="14"/>
  <c r="CB45" i="14"/>
  <c r="CA45" i="14"/>
  <c r="BZ45" i="14"/>
  <c r="BY45" i="14"/>
  <c r="BV45" i="14"/>
  <c r="BU45" i="14"/>
  <c r="BT45" i="14"/>
  <c r="CC44" i="14"/>
  <c r="CB44" i="14"/>
  <c r="BY44" i="14"/>
  <c r="BV44" i="14"/>
  <c r="BU44" i="14"/>
  <c r="BT44" i="14"/>
  <c r="CC43" i="14"/>
  <c r="CB43" i="14"/>
  <c r="CA43" i="14"/>
  <c r="BZ43" i="14"/>
  <c r="BY43" i="14"/>
  <c r="BV43" i="14"/>
  <c r="BU43" i="14"/>
  <c r="BT43" i="14"/>
  <c r="BS43" i="14"/>
  <c r="BQ43" i="14"/>
  <c r="CC42" i="14"/>
  <c r="CB42" i="14"/>
  <c r="CA42" i="14"/>
  <c r="BZ42" i="14"/>
  <c r="BY42" i="14"/>
  <c r="BX42" i="14"/>
  <c r="BW42" i="14"/>
  <c r="BV42" i="14"/>
  <c r="BU42" i="14"/>
  <c r="BT42" i="14"/>
  <c r="BQ42" i="14"/>
  <c r="CC41" i="14"/>
  <c r="CB41" i="14"/>
  <c r="CA41" i="14"/>
  <c r="BZ41" i="14"/>
  <c r="BY41" i="14"/>
  <c r="BX41" i="14"/>
  <c r="BW41" i="14"/>
  <c r="BV41" i="14"/>
  <c r="BU41" i="14"/>
  <c r="BT41" i="14"/>
  <c r="BS41" i="14"/>
  <c r="BQ41" i="14"/>
  <c r="AM41" i="14"/>
  <c r="AM63" i="14" s="1"/>
  <c r="CC40" i="14"/>
  <c r="CB40" i="14"/>
  <c r="CA40" i="14"/>
  <c r="BZ40" i="14"/>
  <c r="BY40" i="14"/>
  <c r="BX40" i="14"/>
  <c r="BW40" i="14"/>
  <c r="BV40" i="14"/>
  <c r="BU40" i="14"/>
  <c r="BT40" i="14"/>
  <c r="BS40" i="14"/>
  <c r="BQ40" i="14"/>
  <c r="CC39" i="14"/>
  <c r="CB39" i="14"/>
  <c r="BY39" i="14"/>
  <c r="BT39" i="14"/>
  <c r="CC38" i="14"/>
  <c r="CB38" i="14"/>
  <c r="BY38" i="14"/>
  <c r="BV38" i="14"/>
  <c r="BU38" i="14"/>
  <c r="BT38" i="14"/>
  <c r="BQ38" i="14"/>
  <c r="CC37" i="14"/>
  <c r="CB37" i="14"/>
  <c r="CA37" i="14"/>
  <c r="BZ37" i="14"/>
  <c r="BY37" i="14"/>
  <c r="BX37" i="14"/>
  <c r="BW37" i="14"/>
  <c r="BV37" i="14"/>
  <c r="BU37" i="14"/>
  <c r="BT37" i="14"/>
  <c r="BQ37" i="14"/>
  <c r="CC36" i="14"/>
  <c r="CB36" i="14"/>
  <c r="CA36" i="14"/>
  <c r="BZ36" i="14"/>
  <c r="BY36" i="14"/>
  <c r="BX36" i="14"/>
  <c r="BW36" i="14"/>
  <c r="BV36" i="14"/>
  <c r="BU36" i="14"/>
  <c r="BT36" i="14"/>
  <c r="BQ36" i="14"/>
  <c r="CC35" i="14"/>
  <c r="CB35" i="14"/>
  <c r="CA35" i="14"/>
  <c r="BZ35" i="14"/>
  <c r="BY35" i="14"/>
  <c r="BX35" i="14"/>
  <c r="BW35" i="14"/>
  <c r="BV35" i="14"/>
  <c r="BU35" i="14"/>
  <c r="BT35" i="14"/>
  <c r="BQ35" i="14"/>
  <c r="AX34" i="14"/>
  <c r="AX63" i="14" s="1"/>
  <c r="AR20" i="14"/>
  <c r="AR63" i="14" s="1"/>
  <c r="BL85" i="14" l="1"/>
  <c r="R82" i="14"/>
  <c r="AJ82" i="14"/>
  <c r="BA82" i="14"/>
  <c r="BA85" i="14" s="1"/>
  <c r="BT82" i="14"/>
  <c r="H82" i="14"/>
  <c r="Z82" i="14"/>
  <c r="AQ82" i="14"/>
  <c r="AQ85" i="14" s="1"/>
  <c r="BI82" i="14"/>
  <c r="BI85" i="14" s="1"/>
  <c r="CA82" i="14"/>
  <c r="T82" i="14"/>
  <c r="T85" i="14" s="1"/>
  <c r="H85" i="14"/>
  <c r="Z85" i="14"/>
  <c r="E82" i="14"/>
  <c r="E85" i="14" s="1"/>
  <c r="W82" i="14"/>
  <c r="W85" i="14" s="1"/>
  <c r="AO82" i="14"/>
  <c r="AO85" i="14" s="1"/>
  <c r="BF82" i="14"/>
  <c r="BF85" i="14" s="1"/>
  <c r="BY82" i="14"/>
  <c r="BS63" i="14"/>
  <c r="K82" i="14"/>
  <c r="K85" i="14" s="1"/>
  <c r="AC82" i="14"/>
  <c r="AC85" i="14" s="1"/>
  <c r="AT82" i="14"/>
  <c r="AT85" i="14" s="1"/>
  <c r="BM82" i="14"/>
  <c r="BM85" i="14" s="1"/>
  <c r="BQ63" i="14"/>
  <c r="BQ85" i="14" s="1"/>
  <c r="BT63" i="14"/>
  <c r="BT85" i="14" s="1"/>
  <c r="L82" i="14"/>
  <c r="L85" i="14" s="1"/>
  <c r="AD82" i="14"/>
  <c r="AD85" i="14" s="1"/>
  <c r="AU82" i="14"/>
  <c r="AU85" i="14" s="1"/>
  <c r="BN82" i="14"/>
  <c r="BN85" i="14" s="1"/>
  <c r="BU63" i="14"/>
  <c r="M82" i="14"/>
  <c r="M85" i="14" s="1"/>
  <c r="AE82" i="14"/>
  <c r="AE85" i="14" s="1"/>
  <c r="AV82" i="14"/>
  <c r="AV85" i="14" s="1"/>
  <c r="BO82" i="14"/>
  <c r="BO85" i="14" s="1"/>
  <c r="BV63" i="14"/>
  <c r="N82" i="14"/>
  <c r="N85" i="14" s="1"/>
  <c r="AF82" i="14"/>
  <c r="AF85" i="14" s="1"/>
  <c r="AW82" i="14"/>
  <c r="AW85" i="14" s="1"/>
  <c r="BQ82" i="14"/>
  <c r="BW63" i="14"/>
  <c r="CB63" i="14"/>
  <c r="BZ63" i="14"/>
  <c r="BY63" i="14"/>
  <c r="O82" i="14"/>
  <c r="O85" i="14" s="1"/>
  <c r="AH82" i="14"/>
  <c r="AH85" i="14" s="1"/>
  <c r="AX82" i="14"/>
  <c r="AX85" i="14" s="1"/>
  <c r="BR82" i="14"/>
  <c r="BR85" i="14" s="1"/>
  <c r="BX63" i="14"/>
  <c r="CC63" i="14"/>
  <c r="CC85" i="14" s="1"/>
  <c r="CA63" i="14"/>
  <c r="P82" i="14"/>
  <c r="P85" i="14" s="1"/>
  <c r="AI82" i="14"/>
  <c r="AI85" i="14" s="1"/>
  <c r="AZ82" i="14"/>
  <c r="AZ85" i="14" s="1"/>
  <c r="BS82" i="14"/>
  <c r="X82" i="14"/>
  <c r="X85" i="14" s="1"/>
  <c r="AP82" i="14"/>
  <c r="AP85" i="14" s="1"/>
  <c r="F82" i="14"/>
  <c r="F85" i="14" s="1"/>
  <c r="BZ82" i="14"/>
  <c r="S82" i="14"/>
  <c r="S85" i="14" s="1"/>
  <c r="AK82" i="14"/>
  <c r="AK85" i="14" s="1"/>
  <c r="BB82" i="14"/>
  <c r="BB85" i="14" s="1"/>
  <c r="BU82" i="14"/>
  <c r="R85" i="14"/>
  <c r="AJ85" i="14"/>
  <c r="AL82" i="14"/>
  <c r="AL85" i="14" s="1"/>
  <c r="BC82" i="14"/>
  <c r="BC85" i="14" s="1"/>
  <c r="BV82" i="14"/>
  <c r="I82" i="14"/>
  <c r="I85" i="14" s="1"/>
  <c r="AA82" i="14"/>
  <c r="AA85" i="14" s="1"/>
  <c r="AR82" i="14"/>
  <c r="AR85" i="14" s="1"/>
  <c r="BK82" i="14"/>
  <c r="BK85" i="14" s="1"/>
  <c r="CB82" i="14"/>
  <c r="U82" i="14"/>
  <c r="U85" i="14" s="1"/>
  <c r="AM82" i="14"/>
  <c r="AM85" i="14" s="1"/>
  <c r="BD82" i="14"/>
  <c r="BD85" i="14" s="1"/>
  <c r="BW82" i="14"/>
  <c r="V82" i="14"/>
  <c r="V85" i="14" s="1"/>
  <c r="AN82" i="14"/>
  <c r="AN85" i="14" s="1"/>
  <c r="BE82" i="14"/>
  <c r="BE85" i="14" s="1"/>
  <c r="BX82" i="14"/>
  <c r="AS85" i="14"/>
  <c r="J85" i="14"/>
  <c r="AB85" i="14"/>
  <c r="BH82" i="14"/>
  <c r="BH85" i="14" s="1"/>
  <c r="CA85" i="14" l="1"/>
  <c r="BS85" i="14"/>
  <c r="BX85" i="14"/>
  <c r="BV85" i="14"/>
  <c r="BY85" i="14"/>
  <c r="BU85" i="14"/>
  <c r="BZ85" i="14"/>
  <c r="CB85" i="14"/>
  <c r="BW85" i="14"/>
  <c r="BS98" i="13"/>
  <c r="BR98" i="13"/>
  <c r="BQ98" i="13"/>
  <c r="BP98" i="13"/>
  <c r="BO98" i="13"/>
  <c r="BN98" i="13"/>
  <c r="BM98" i="13"/>
  <c r="BL98" i="13"/>
  <c r="BK98" i="13"/>
  <c r="BJ98" i="13"/>
  <c r="BI98" i="13"/>
  <c r="BH98" i="13"/>
  <c r="BG98" i="13"/>
  <c r="BE98" i="13"/>
  <c r="BD98" i="13"/>
  <c r="BC98" i="13"/>
  <c r="BB98" i="13"/>
  <c r="BA98" i="13"/>
  <c r="AY98" i="13"/>
  <c r="AX98" i="13"/>
  <c r="AV98" i="13"/>
  <c r="AU98" i="13"/>
  <c r="AT98" i="13"/>
  <c r="AS98" i="13"/>
  <c r="AR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X98" i="13"/>
  <c r="W98" i="13"/>
  <c r="V98" i="13"/>
  <c r="U98" i="13"/>
  <c r="T98" i="13"/>
  <c r="S98" i="13"/>
  <c r="Q98" i="13"/>
  <c r="P98" i="13"/>
  <c r="O98" i="13"/>
  <c r="N98" i="13"/>
  <c r="M98" i="13"/>
  <c r="L98" i="13"/>
  <c r="K98" i="13"/>
  <c r="J98" i="13"/>
  <c r="I98" i="13"/>
  <c r="E98" i="13"/>
  <c r="D98" i="13"/>
  <c r="C98" i="13"/>
  <c r="F85" i="13"/>
  <c r="F83" i="13"/>
  <c r="F98" i="13" s="1"/>
  <c r="AX74" i="13"/>
  <c r="AX78" i="13" s="1"/>
  <c r="Z74" i="13"/>
  <c r="Z78" i="13" s="1"/>
  <c r="I74" i="13"/>
  <c r="I78" i="13" s="1"/>
  <c r="F74" i="13"/>
  <c r="F78" i="13" s="1"/>
  <c r="E74" i="13"/>
  <c r="E78" i="13" s="1"/>
  <c r="C74" i="13"/>
  <c r="BS61" i="13"/>
  <c r="BQ61" i="13"/>
  <c r="BP61" i="13"/>
  <c r="BO61" i="13"/>
  <c r="BN61" i="13"/>
  <c r="BM61" i="13"/>
  <c r="BL61" i="13"/>
  <c r="BK61" i="13"/>
  <c r="BJ61" i="13"/>
  <c r="BI61" i="13"/>
  <c r="BH61" i="13"/>
  <c r="BG61" i="13"/>
  <c r="BE61" i="13"/>
  <c r="BD61" i="13"/>
  <c r="BC61" i="13"/>
  <c r="BB61" i="13"/>
  <c r="BA61" i="13"/>
  <c r="AY61" i="13"/>
  <c r="AX61" i="13"/>
  <c r="AX101" i="13" s="1"/>
  <c r="AV61" i="13"/>
  <c r="AU61" i="13"/>
  <c r="AT61" i="13"/>
  <c r="AS61" i="13"/>
  <c r="AR61" i="13"/>
  <c r="AP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X61" i="13"/>
  <c r="W61" i="13"/>
  <c r="V61" i="13"/>
  <c r="T61" i="13"/>
  <c r="S61" i="13"/>
  <c r="Q61" i="13"/>
  <c r="P61" i="13"/>
  <c r="O61" i="13"/>
  <c r="N61" i="13"/>
  <c r="M61" i="13"/>
  <c r="L61" i="13"/>
  <c r="K61" i="13"/>
  <c r="J61" i="13"/>
  <c r="I61" i="13"/>
  <c r="E61" i="13"/>
  <c r="D61" i="13"/>
  <c r="C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U61" i="13"/>
  <c r="F31" i="13"/>
  <c r="F30" i="13"/>
  <c r="F29" i="13"/>
  <c r="F28" i="13"/>
  <c r="F27" i="13"/>
  <c r="F26" i="13"/>
  <c r="F25" i="13"/>
  <c r="F24" i="13"/>
  <c r="BR23" i="13"/>
  <c r="BR61" i="13" s="1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I101" i="13" l="1"/>
  <c r="Z101" i="13"/>
  <c r="E101" i="13"/>
  <c r="AR78" i="13"/>
  <c r="AS78" i="13"/>
  <c r="AT78" i="13"/>
  <c r="BH74" i="13"/>
  <c r="BH78" i="13" s="1"/>
  <c r="BH101" i="13" s="1"/>
  <c r="BS78" i="13"/>
  <c r="BA78" i="13"/>
  <c r="D74" i="13"/>
  <c r="D78" i="13" s="1"/>
  <c r="D101" i="13" s="1"/>
  <c r="AH78" i="13"/>
  <c r="AH101" i="13" s="1"/>
  <c r="AJ78" i="13"/>
  <c r="BD78" i="13"/>
  <c r="AA78" i="13"/>
  <c r="AK78" i="13"/>
  <c r="BE78" i="13"/>
  <c r="AP78" i="13"/>
  <c r="K74" i="13"/>
  <c r="K78" i="13" s="1"/>
  <c r="K101" i="13" s="1"/>
  <c r="P78" i="13"/>
  <c r="AL78" i="13"/>
  <c r="L78" i="13"/>
  <c r="L101" i="13" s="1"/>
  <c r="BP74" i="13"/>
  <c r="BP78" i="13" s="1"/>
  <c r="BP101" i="13" s="1"/>
  <c r="BN74" i="13"/>
  <c r="BN78" i="13" s="1"/>
  <c r="BN101" i="13" s="1"/>
  <c r="J74" i="13"/>
  <c r="J78" i="13" s="1"/>
  <c r="J101" i="13" s="1"/>
  <c r="AU78" i="13"/>
  <c r="AU101" i="13" s="1"/>
  <c r="O78" i="13"/>
  <c r="O101" i="13" s="1"/>
  <c r="T78" i="13"/>
  <c r="BM74" i="13"/>
  <c r="BM78" i="13" s="1"/>
  <c r="BO74" i="13"/>
  <c r="BO78" i="13" s="1"/>
  <c r="M78" i="13"/>
  <c r="AE74" i="13"/>
  <c r="AE78" i="13" s="1"/>
  <c r="AV78" i="13"/>
  <c r="BQ74" i="13"/>
  <c r="BQ78" i="13" s="1"/>
  <c r="BQ101" i="13" s="1"/>
  <c r="AF74" i="13"/>
  <c r="AY74" i="13"/>
  <c r="BR74" i="13"/>
  <c r="AG78" i="13"/>
  <c r="AG101" i="13" s="1"/>
  <c r="BS74" i="13"/>
  <c r="BG74" i="13"/>
  <c r="BG78" i="13" s="1"/>
  <c r="BI74" i="13"/>
  <c r="V78" i="13"/>
  <c r="BJ74" i="13"/>
  <c r="BJ78" i="13" s="1"/>
  <c r="W78" i="13"/>
  <c r="AO78" i="13"/>
  <c r="AO101" i="13" s="1"/>
  <c r="BK74" i="13"/>
  <c r="X78" i="13"/>
  <c r="BL74" i="13"/>
  <c r="BL78" i="13" s="1"/>
  <c r="AC74" i="13"/>
  <c r="AC78" i="13" s="1"/>
  <c r="AC101" i="13" s="1"/>
  <c r="F61" i="13"/>
  <c r="F101" i="13"/>
  <c r="C78" i="13"/>
  <c r="C101" i="13" s="1"/>
  <c r="BC78" i="13"/>
  <c r="AJ101" i="13"/>
  <c r="AI78" i="13"/>
  <c r="BB74" i="13"/>
  <c r="BB78" i="13" s="1"/>
  <c r="BO101" i="13" l="1"/>
  <c r="AK101" i="13"/>
  <c r="BB101" i="13"/>
  <c r="AT101" i="13"/>
  <c r="Q78" i="13"/>
  <c r="Q101" i="13" s="1"/>
  <c r="AV101" i="13"/>
  <c r="AS101" i="13"/>
  <c r="AY78" i="13"/>
  <c r="AY101" i="13" s="1"/>
  <c r="AR101" i="13"/>
  <c r="S78" i="13"/>
  <c r="S101" i="13" s="1"/>
  <c r="W101" i="13"/>
  <c r="BC101" i="13"/>
  <c r="T101" i="13"/>
  <c r="AB78" i="13"/>
  <c r="AB101" i="13" s="1"/>
  <c r="BA101" i="13"/>
  <c r="BK78" i="13"/>
  <c r="BK101" i="13" s="1"/>
  <c r="BJ101" i="13"/>
  <c r="N78" i="13"/>
  <c r="N101" i="13" s="1"/>
  <c r="BS101" i="13"/>
  <c r="BL101" i="13"/>
  <c r="AD78" i="13"/>
  <c r="AD101" i="13" s="1"/>
  <c r="AN78" i="13"/>
  <c r="AN101" i="13" s="1"/>
  <c r="V101" i="13"/>
  <c r="M101" i="13"/>
  <c r="BG101" i="13"/>
  <c r="AA101" i="13"/>
  <c r="AL101" i="13"/>
  <c r="BE101" i="13"/>
  <c r="BD101" i="13"/>
  <c r="BR78" i="13"/>
  <c r="BR101" i="13" s="1"/>
  <c r="BI78" i="13"/>
  <c r="BI101" i="13" s="1"/>
  <c r="BH109" i="13" s="1"/>
  <c r="AI101" i="13"/>
  <c r="AE101" i="13"/>
  <c r="AF78" i="13"/>
  <c r="AF101" i="13" s="1"/>
  <c r="BM101" i="13"/>
  <c r="P101" i="13"/>
  <c r="AP101" i="13"/>
  <c r="X101" i="13"/>
  <c r="AM78" i="13"/>
  <c r="AM101" i="13" s="1"/>
  <c r="U78" i="13"/>
  <c r="U101" i="13" s="1"/>
  <c r="D17" i="3"/>
  <c r="D17" i="1"/>
  <c r="H107" i="2"/>
  <c r="AP107" i="2" l="1"/>
  <c r="AO107" i="2"/>
  <c r="AM107" i="2"/>
  <c r="AL107" i="2"/>
  <c r="AJ107" i="2"/>
  <c r="AH107" i="2"/>
  <c r="AG107" i="2"/>
  <c r="AE107" i="2"/>
  <c r="AD107" i="2"/>
  <c r="AC107" i="2"/>
  <c r="AA107" i="2"/>
  <c r="Y107" i="2"/>
  <c r="L107" i="2"/>
  <c r="K107" i="2"/>
  <c r="J107" i="2"/>
  <c r="I107" i="2"/>
  <c r="G107" i="2"/>
  <c r="F107" i="2"/>
  <c r="D19" i="2"/>
  <c r="F15" i="2" l="1"/>
  <c r="C15" i="2"/>
  <c r="D14" i="1" l="1"/>
  <c r="C14" i="1"/>
</calcChain>
</file>

<file path=xl/sharedStrings.xml><?xml version="1.0" encoding="utf-8"?>
<sst xmlns="http://schemas.openxmlformats.org/spreadsheetml/2006/main" count="7796" uniqueCount="3858">
  <si>
    <t>Foursquare Churches</t>
  </si>
  <si>
    <t>Attendance</t>
  </si>
  <si>
    <t>Churches</t>
  </si>
  <si>
    <t>%</t>
  </si>
  <si>
    <t>Less than 100</t>
  </si>
  <si>
    <t>100-499</t>
  </si>
  <si>
    <t>Annual Conference</t>
  </si>
  <si>
    <t>500-999</t>
  </si>
  <si>
    <t>always the week of Memorial Day</t>
  </si>
  <si>
    <t>1,000-2,999</t>
  </si>
  <si>
    <t>3,000-4,999</t>
  </si>
  <si>
    <t>https://www.foursquare.org/connection/</t>
  </si>
  <si>
    <t>5,000+</t>
  </si>
  <si>
    <t>May 29-June 1, 2023</t>
  </si>
  <si>
    <t>Unknown</t>
  </si>
  <si>
    <t>Anaheim, CA</t>
  </si>
  <si>
    <t>100th year as a denomination</t>
  </si>
  <si>
    <t>By Sr Leadership (National, Regional)</t>
  </si>
  <si>
    <t>First</t>
  </si>
  <si>
    <t>Last</t>
  </si>
  <si>
    <t>Race</t>
  </si>
  <si>
    <t>Twitter</t>
  </si>
  <si>
    <t>Facebook</t>
  </si>
  <si>
    <t>Instagram</t>
  </si>
  <si>
    <t>Other</t>
  </si>
  <si>
    <t>Name</t>
  </si>
  <si>
    <t>White</t>
  </si>
  <si>
    <t>Black</t>
  </si>
  <si>
    <t>Latino</t>
  </si>
  <si>
    <t>Asian</t>
  </si>
  <si>
    <t>Woman</t>
  </si>
  <si>
    <t>Position</t>
  </si>
  <si>
    <t>Address</t>
  </si>
  <si>
    <t>City</t>
  </si>
  <si>
    <t>State</t>
  </si>
  <si>
    <t>Zip</t>
  </si>
  <si>
    <t>Phone</t>
  </si>
  <si>
    <t>Website</t>
  </si>
  <si>
    <t>Email 1</t>
  </si>
  <si>
    <t>Qty</t>
  </si>
  <si>
    <t>Email 2</t>
  </si>
  <si>
    <t>Talker</t>
  </si>
  <si>
    <t>Followers</t>
  </si>
  <si>
    <t>Friends</t>
  </si>
  <si>
    <t>Blog</t>
  </si>
  <si>
    <t>Media</t>
  </si>
  <si>
    <t>Notes</t>
  </si>
  <si>
    <t>Randy</t>
  </si>
  <si>
    <t>Remmington</t>
  </si>
  <si>
    <t>President</t>
  </si>
  <si>
    <t>Hillsboro</t>
  </si>
  <si>
    <t>OR</t>
  </si>
  <si>
    <t xml:space="preserve">Wendy </t>
  </si>
  <si>
    <t>Nolasco</t>
  </si>
  <si>
    <t>General Supervisor (for USA)</t>
  </si>
  <si>
    <t>Austin</t>
  </si>
  <si>
    <t>TX</t>
  </si>
  <si>
    <t>She attended the Race conversation at the Ranch</t>
  </si>
  <si>
    <t>Nate</t>
  </si>
  <si>
    <t>Poetzl</t>
  </si>
  <si>
    <t>Chairman of the Board/Pastor</t>
  </si>
  <si>
    <t>Billings</t>
  </si>
  <si>
    <t>MT</t>
  </si>
  <si>
    <t>Ted</t>
  </si>
  <si>
    <t>Vail</t>
  </si>
  <si>
    <t>Foursquare Missions International President</t>
  </si>
  <si>
    <t>Boulder</t>
  </si>
  <si>
    <t>CO</t>
  </si>
  <si>
    <t>Chanda</t>
  </si>
  <si>
    <t>Crutcher</t>
  </si>
  <si>
    <t>District Supervisor Atlantic Supervisor</t>
  </si>
  <si>
    <t>https://www.foursquare.org/districts/atlantic/</t>
  </si>
  <si>
    <t>ccrutcher@foursquare.org</t>
  </si>
  <si>
    <t>Alabama, Connecticut, Delaware, Florida, Georgia, Kentucky, Maine, Maryland, Massachusetts, New Hampshire, New Jersey, New York, North Carolina, Ohio, Pennsylvania, Rhode Island, South Carolina, Tennessee, Vermont, Virginia, Washington DC, West Virginia</t>
  </si>
  <si>
    <t>Antonio</t>
  </si>
  <si>
    <t>Sims</t>
  </si>
  <si>
    <t>District Supervisor Central District</t>
  </si>
  <si>
    <t>https://www.foursquare.org/districts/central/</t>
  </si>
  <si>
    <t>Arkansas, Colorado, Illinois, Indiana, Iowa, Kansas, Louisiana, Michigan, Minnesota, Mississippi, Missouri, Nebraska, New Mexico, Oklahoma, South Dakota, Texas, Wisconsin</t>
  </si>
  <si>
    <t>Martín</t>
  </si>
  <si>
    <t>Ruarte</t>
  </si>
  <si>
    <t>District Supervisor Hispanic District</t>
  </si>
  <si>
    <t>https://www.foursquare.org/districts/national-hispanic/</t>
  </si>
  <si>
    <t>Across the US</t>
  </si>
  <si>
    <t>Dave</t>
  </si>
  <si>
    <t>Edler</t>
  </si>
  <si>
    <t>District Supervisor Northwest District</t>
  </si>
  <si>
    <t>https://www.foursquare.org/districts/northwest/</t>
  </si>
  <si>
    <t>Alaska, Idaho, Montana, North Dakota, Oregon, Washington, Wyoming</t>
  </si>
  <si>
    <t>Sheldon</t>
  </si>
  <si>
    <t>Lacsina</t>
  </si>
  <si>
    <t>District Supervisor Pacific District</t>
  </si>
  <si>
    <t>https://www.foursquare.org/districts/pacific/</t>
  </si>
  <si>
    <t>Hawaii</t>
  </si>
  <si>
    <t>Billy</t>
  </si>
  <si>
    <t>Calderwood</t>
  </si>
  <si>
    <t>District Supervisor Western District</t>
  </si>
  <si>
    <t>https://www.foursquare.org/districts/western/</t>
  </si>
  <si>
    <t>Arizona, California, Nevada, Utah</t>
  </si>
  <si>
    <t>Assembly of God Churches</t>
  </si>
  <si>
    <t>1-49.</t>
  </si>
  <si>
    <t>50-99</t>
  </si>
  <si>
    <t>100-199</t>
  </si>
  <si>
    <t>200-399</t>
  </si>
  <si>
    <t>400-699</t>
  </si>
  <si>
    <t>700-999</t>
  </si>
  <si>
    <t>1,000+</t>
  </si>
  <si>
    <t>per AG website as of June 18, 2020</t>
  </si>
  <si>
    <t>Churches over 500</t>
  </si>
  <si>
    <t>10% of SBC Pastors are at churches 250+</t>
  </si>
  <si>
    <t>4,200'ish churches</t>
  </si>
  <si>
    <t xml:space="preserve">accounting for </t>
  </si>
  <si>
    <t>8% of total churches</t>
  </si>
  <si>
    <t>Source Matt Henslee, editor Lifeway</t>
  </si>
  <si>
    <t>Southern Baptist Churches</t>
  </si>
  <si>
    <t>100-249</t>
  </si>
  <si>
    <t>250-499</t>
  </si>
  <si>
    <t>1000+</t>
  </si>
  <si>
    <t>Phone 1</t>
  </si>
  <si>
    <t>Phone 2</t>
  </si>
  <si>
    <t>always in the middle of June</t>
  </si>
  <si>
    <t>New Orleans, LA</t>
  </si>
  <si>
    <t>June 13-14, 2023</t>
  </si>
  <si>
    <t>https://sbcannualmeeting.net/future-locations/</t>
  </si>
  <si>
    <t>Total</t>
  </si>
  <si>
    <t>Doug</t>
  </si>
  <si>
    <t>Clay</t>
  </si>
  <si>
    <t>General Superintendent</t>
  </si>
  <si>
    <t>Springfield</t>
  </si>
  <si>
    <t>MO</t>
  </si>
  <si>
    <t>GeneralSuperintendent@ag.org</t>
  </si>
  <si>
    <t>Twitter: twitter.com/@DougClay</t>
  </si>
  <si>
    <t>Facebook: facebook.com/DougClayAG</t>
  </si>
  <si>
    <t>Assistant General Superintendent</t>
  </si>
  <si>
    <t>General Secretary</t>
  </si>
  <si>
    <t>General Treasurer</t>
  </si>
  <si>
    <t>US Missions Director</t>
  </si>
  <si>
    <t>World Mission Director</t>
  </si>
  <si>
    <t>https://ag.org/About/Leadership-Team/Executive-Presbytery</t>
  </si>
  <si>
    <t>15 different Non Resident Executive Presbytery located across the country</t>
  </si>
  <si>
    <t>Non-Resident Executive Presbytery</t>
  </si>
  <si>
    <t>417-862-2781</t>
  </si>
  <si>
    <t xml:space="preserve">Rick </t>
  </si>
  <si>
    <t>DuBose</t>
  </si>
  <si>
    <t xml:space="preserve">Donna </t>
  </si>
  <si>
    <t>Barrett</t>
  </si>
  <si>
    <t xml:space="preserve">Malcolm </t>
  </si>
  <si>
    <t>Burleigh </t>
  </si>
  <si>
    <t xml:space="preserve">Wilfredo “Choco” </t>
  </si>
  <si>
    <t>De Jesús</t>
  </si>
  <si>
    <t>1445 N Boonville Avenue</t>
  </si>
  <si>
    <t>http://www.akministrynetwork.org</t>
  </si>
  <si>
    <t>http://www.appag.net</t>
  </si>
  <si>
    <t>secretaria@confradeb.org</t>
  </si>
  <si>
    <t>http://www.centraldistrictag.org</t>
  </si>
  <si>
    <t>cladc@aol.com</t>
  </si>
  <si>
    <t>http://www.hawaiiaog.com</t>
  </si>
  <si>
    <t>hawaiiaog@gmail.com</t>
  </si>
  <si>
    <t>http://www.indianaag.org</t>
  </si>
  <si>
    <t>http://www.agkdc.org</t>
  </si>
  <si>
    <t>agkoreandistrict@gmail.com</t>
  </si>
  <si>
    <t>http://www.montanaministrynetwork.com</t>
  </si>
  <si>
    <t>http://www.neag.org</t>
  </si>
  <si>
    <t>terryleebrown@yahoo.com</t>
  </si>
  <si>
    <t>http://www.nmministry.net</t>
  </si>
  <si>
    <t>dcummins@nmministry.net</t>
  </si>
  <si>
    <t>http://www.northtexas.ag</t>
  </si>
  <si>
    <t>dthompson@northtexas.ag</t>
  </si>
  <si>
    <t>http://www.nhdistrict.org </t>
  </si>
  <si>
    <t>admin@nhdistrict.org</t>
  </si>
  <si>
    <t>http://www.nwministry.com</t>
  </si>
  <si>
    <t>dond@northwestministry.com</t>
  </si>
  <si>
    <t>http://www.ohioministry.net</t>
  </si>
  <si>
    <t>http://www.penflorida.org</t>
  </si>
  <si>
    <t>districtsecretary@penflorida.org</t>
  </si>
  <si>
    <t>http://www.socalnetwork.org/</t>
  </si>
  <si>
    <t>http://sldag.org</t>
  </si>
  <si>
    <t>http://www.txgulfhispanic.org/</t>
  </si>
  <si>
    <t>http://www.txlahispanic.org</t>
  </si>
  <si>
    <t>txlahisdistrict@gmail.com</t>
  </si>
  <si>
    <t>Ken</t>
  </si>
  <si>
    <t>Draughon</t>
  </si>
  <si>
    <t>Superintendent</t>
  </si>
  <si>
    <t>Alabama District Council </t>
  </si>
  <si>
    <t>5919 Carmichael Road</t>
  </si>
  <si>
    <t>Montgomery</t>
  </si>
  <si>
    <t>AL</t>
  </si>
  <si>
    <t>334-279-7172</t>
  </si>
  <si>
    <t>http://adcag.org/</t>
  </si>
  <si>
    <t>ds@adcag.org</t>
  </si>
  <si>
    <t>https://twitter.com/kdraughon</t>
  </si>
  <si>
    <t>Young</t>
  </si>
  <si>
    <t>Lead Pastor</t>
  </si>
  <si>
    <t>By Sr Leadership (Campus, Teaching &amp; Executive)</t>
  </si>
  <si>
    <t>Size of Individual Church Staff</t>
  </si>
  <si>
    <t>Sr Ldrshp</t>
  </si>
  <si>
    <t>Campus</t>
  </si>
  <si>
    <t>Teaching</t>
  </si>
  <si>
    <t>Executive</t>
  </si>
  <si>
    <t>Pastoral Care</t>
  </si>
  <si>
    <t>Administration</t>
  </si>
  <si>
    <t>Jr/Sr</t>
  </si>
  <si>
    <t xml:space="preserve">College/Young </t>
  </si>
  <si>
    <t>Community/</t>
  </si>
  <si>
    <t>Worship</t>
  </si>
  <si>
    <t>Comm/Mrktg</t>
  </si>
  <si>
    <t>Outreach/</t>
  </si>
  <si>
    <t>Attendance Range</t>
  </si>
  <si>
    <t xml:space="preserve">Qty of </t>
  </si>
  <si>
    <t>Qty 2-4</t>
  </si>
  <si>
    <t>Qty 5-9</t>
  </si>
  <si>
    <t>Qty 10+</t>
  </si>
  <si>
    <t>Different</t>
  </si>
  <si>
    <t>Intl</t>
  </si>
  <si>
    <t>Updated</t>
  </si>
  <si>
    <t>Pastor</t>
  </si>
  <si>
    <t>Staff</t>
  </si>
  <si>
    <t>Qty 1-5</t>
  </si>
  <si>
    <t>Qty 6-10</t>
  </si>
  <si>
    <t>Qty 11-19</t>
  </si>
  <si>
    <t>20-49</t>
  </si>
  <si>
    <t>200-299</t>
  </si>
  <si>
    <t>300-399</t>
  </si>
  <si>
    <t>400+</t>
  </si>
  <si>
    <t>Women</t>
  </si>
  <si>
    <t>Team</t>
  </si>
  <si>
    <t>Pastors</t>
  </si>
  <si>
    <t>Counseling</t>
  </si>
  <si>
    <t>Asst/Associate</t>
  </si>
  <si>
    <t>Operations</t>
  </si>
  <si>
    <t>Women's</t>
  </si>
  <si>
    <t>Children's</t>
  </si>
  <si>
    <t>High</t>
  </si>
  <si>
    <t>Adults/Interns</t>
  </si>
  <si>
    <t>Groups</t>
  </si>
  <si>
    <t>Pstrs/Ldrs</t>
  </si>
  <si>
    <t>AVL-Stage</t>
  </si>
  <si>
    <t>Creative</t>
  </si>
  <si>
    <t>Men</t>
  </si>
  <si>
    <t>Missions</t>
  </si>
  <si>
    <t>0-1,000</t>
  </si>
  <si>
    <t>1-3K</t>
  </si>
  <si>
    <t>3-5k</t>
  </si>
  <si>
    <t>5k+</t>
  </si>
  <si>
    <t>Campuses</t>
  </si>
  <si>
    <t>District</t>
  </si>
  <si>
    <t>Follower</t>
  </si>
  <si>
    <t>Bill</t>
  </si>
  <si>
    <t>Welch</t>
  </si>
  <si>
    <t>Alaska Ministry Network </t>
  </si>
  <si>
    <t>1048 W International Airport Road #101</t>
  </si>
  <si>
    <t>Anchorage</t>
  </si>
  <si>
    <t>AK</t>
  </si>
  <si>
    <t>907-562-2247</t>
  </si>
  <si>
    <t>billwelch@alaskaag.org</t>
  </si>
  <si>
    <t>David</t>
  </si>
  <si>
    <t>Dillon</t>
  </si>
  <si>
    <t>Network Superintendent</t>
  </si>
  <si>
    <t>Appalachian Ministry Network </t>
  </si>
  <si>
    <t>107 Lakeview Drive</t>
  </si>
  <si>
    <t>Ghent</t>
  </si>
  <si>
    <t>WV</t>
  </si>
  <si>
    <t>304-787-3916</t>
  </si>
  <si>
    <t>lana_2@suddenlinkmail.com</t>
  </si>
  <si>
    <t>Stephen</t>
  </si>
  <si>
    <t>Harris</t>
  </si>
  <si>
    <t>Arizona District Council </t>
  </si>
  <si>
    <t>2601 East Thomas Road #210</t>
  </si>
  <si>
    <t>Phoenix</t>
  </si>
  <si>
    <t>AZ</t>
  </si>
  <si>
    <t xml:space="preserve">602-343-4014 </t>
  </si>
  <si>
    <t>http://www.azag.org</t>
  </si>
  <si>
    <t>SHARRIS@AZAG.ORG</t>
  </si>
  <si>
    <t>lmetcalf@azag.org</t>
  </si>
  <si>
    <t>Larry</t>
  </si>
  <si>
    <t>Moore</t>
  </si>
  <si>
    <t>District Superintendent</t>
  </si>
  <si>
    <t>Arkansas District Council </t>
  </si>
  <si>
    <t>10924 Interstate 30</t>
  </si>
  <si>
    <t>Little Rock</t>
  </si>
  <si>
    <t>AR</t>
  </si>
  <si>
    <t>501-455-5444</t>
  </si>
  <si>
    <t>http://www.araog.org</t>
  </si>
  <si>
    <t>crussell@araog.org</t>
  </si>
  <si>
    <t>Terry</t>
  </si>
  <si>
    <t>Yancey</t>
  </si>
  <si>
    <t>Assembly of God Kansas Ministry Network </t>
  </si>
  <si>
    <t>3810 Walker Avenue</t>
  </si>
  <si>
    <t>Maize</t>
  </si>
  <si>
    <t>KS</t>
  </si>
  <si>
    <t>316-945-8999</t>
  </si>
  <si>
    <t>http://www.agkansas.com</t>
  </si>
  <si>
    <t>tly@agkansas.com</t>
  </si>
  <si>
    <t>robin@agkansas.com</t>
  </si>
  <si>
    <t>Jesse</t>
  </si>
  <si>
    <t>Galindo</t>
  </si>
  <si>
    <t>Network Lead Pastor</t>
  </si>
  <si>
    <t>Central Pacific Network</t>
  </si>
  <si>
    <t>6051 South Watt Avenue</t>
  </si>
  <si>
    <t>Sacramento</t>
  </si>
  <si>
    <t>CA</t>
  </si>
  <si>
    <t>916-387-8800</t>
  </si>
  <si>
    <t>http://www.cpmnag.org</t>
  </si>
  <si>
    <t>admin@cpmnag.org</t>
  </si>
  <si>
    <t>https://www.facebook.com/jesse.galindo.50?fref=ts</t>
  </si>
  <si>
    <t>Rich</t>
  </si>
  <si>
    <t>Guerra</t>
  </si>
  <si>
    <t>SoCal Network Assemblies of God</t>
  </si>
  <si>
    <t>17951 Cowan</t>
  </si>
  <si>
    <t>Irvine</t>
  </si>
  <si>
    <t>949-252-8400</t>
  </si>
  <si>
    <t>rguerra@socalnetwork.org</t>
  </si>
  <si>
    <t>Sergio</t>
  </si>
  <si>
    <t>Navarrete </t>
  </si>
  <si>
    <t>SPD, Superintendent </t>
  </si>
  <si>
    <t>Southern Pacific Division Assembly of God</t>
  </si>
  <si>
    <t>614 South 5th Avenue</t>
  </si>
  <si>
    <t>La Puente</t>
  </si>
  <si>
    <t>626-968-5088</t>
  </si>
  <si>
    <t>http://www.spdag.org</t>
  </si>
  <si>
    <t>snavarrete@spdag.org </t>
  </si>
  <si>
    <t>Klayton</t>
  </si>
  <si>
    <t>Ko</t>
  </si>
  <si>
    <t>Hawaii District Council </t>
  </si>
  <si>
    <t>3400 Moanalua Road</t>
  </si>
  <si>
    <t>Honolulu</t>
  </si>
  <si>
    <t>HI</t>
  </si>
  <si>
    <t>808-836-4449</t>
  </si>
  <si>
    <t>Phillip</t>
  </si>
  <si>
    <t>Schneider</t>
  </si>
  <si>
    <t>Illinois District Council </t>
  </si>
  <si>
    <t>17280 Lakeside Drive</t>
  </si>
  <si>
    <t>Carlinville</t>
  </si>
  <si>
    <t>IL</t>
  </si>
  <si>
    <t>217-854-4600</t>
  </si>
  <si>
    <t>http://www.idcag.org</t>
  </si>
  <si>
    <t>idcstaff@idcag.org</t>
  </si>
  <si>
    <t>https://twitter.com/realphil</t>
  </si>
  <si>
    <t>https://www.facebook.com/phil.schneider</t>
  </si>
  <si>
    <t>Donald</t>
  </si>
  <si>
    <t>Gifford</t>
  </si>
  <si>
    <t>Indiana District Council </t>
  </si>
  <si>
    <t>8750 Purdue Road</t>
  </si>
  <si>
    <t>Indianapolis</t>
  </si>
  <si>
    <t>IN</t>
  </si>
  <si>
    <t>317-872-9812</t>
  </si>
  <si>
    <t>pastordon@indianaag.org</t>
  </si>
  <si>
    <t>Guy</t>
  </si>
  <si>
    <t>Fisher</t>
  </si>
  <si>
    <t>Iowa District Council </t>
  </si>
  <si>
    <t>10525 Buena Vista Court</t>
  </si>
  <si>
    <t>Urbandale</t>
  </si>
  <si>
    <t>IA</t>
  </si>
  <si>
    <t>515-276-5493</t>
  </si>
  <si>
    <t>http://www.imnag.org</t>
  </si>
  <si>
    <t>guy@imnag.org</t>
  </si>
  <si>
    <t>cwielenga@imnag.org</t>
  </si>
  <si>
    <t>Joseph</t>
  </si>
  <si>
    <t>Girdler</t>
  </si>
  <si>
    <t>Kentucky District Council </t>
  </si>
  <si>
    <t>7206 Clore Lane</t>
  </si>
  <si>
    <t>Crestwood</t>
  </si>
  <si>
    <t>KY</t>
  </si>
  <si>
    <t>502-241-7111</t>
  </si>
  <si>
    <t>http://www.kyag.org</t>
  </si>
  <si>
    <t>kyagdc@gmail.com</t>
  </si>
  <si>
    <t>Scott</t>
  </si>
  <si>
    <t>Holmes</t>
  </si>
  <si>
    <t>Louisiana District Council (Network Ministry)</t>
  </si>
  <si>
    <t>2717 North MacArthur Drive</t>
  </si>
  <si>
    <t>Alexandria</t>
  </si>
  <si>
    <t>LA</t>
  </si>
  <si>
    <t>318-445-6238</t>
  </si>
  <si>
    <t>http://www.laaog.org</t>
  </si>
  <si>
    <t>info@laaog.org</t>
  </si>
  <si>
    <t>Jeff</t>
  </si>
  <si>
    <t>Hlavin</t>
  </si>
  <si>
    <t>Michigan District Council </t>
  </si>
  <si>
    <t>10370 Citation Drive</t>
  </si>
  <si>
    <t>Brighton</t>
  </si>
  <si>
    <t>MI</t>
  </si>
  <si>
    <t>810-220-8700</t>
  </si>
  <si>
    <t>https://www.aogmi.org</t>
  </si>
  <si>
    <t>lnagle@aogmi.org</t>
  </si>
  <si>
    <t>Mark</t>
  </si>
  <si>
    <t>Dean</t>
  </si>
  <si>
    <t>Minnesota District Council </t>
  </si>
  <si>
    <t>1315 Portland Avenue</t>
  </si>
  <si>
    <t>Minneapolis</t>
  </si>
  <si>
    <t>MN</t>
  </si>
  <si>
    <t>612-332-2400</t>
  </si>
  <si>
    <t>http://www.mnaog.org/</t>
  </si>
  <si>
    <t>mdean@mnaog.org</t>
  </si>
  <si>
    <t>jfilbeck@mnaog.org</t>
  </si>
  <si>
    <t>Bob</t>
  </si>
  <si>
    <t>Wilburn</t>
  </si>
  <si>
    <t>Mississippi District Council </t>
  </si>
  <si>
    <t>5360, I-55 South Frontage Road</t>
  </si>
  <si>
    <t>Byram</t>
  </si>
  <si>
    <t>MS</t>
  </si>
  <si>
    <t>601-373-1943</t>
  </si>
  <si>
    <t>http://www.msaog.org</t>
  </si>
  <si>
    <t>dyoungblood@msaog.org</t>
  </si>
  <si>
    <t>Phillips</t>
  </si>
  <si>
    <t>Montana Ministry Network </t>
  </si>
  <si>
    <t>2147 Overland Avenue #100</t>
  </si>
  <si>
    <t>406-652-2417</t>
  </si>
  <si>
    <t>dave@mtaog.org</t>
  </si>
  <si>
    <t>Wine</t>
  </si>
  <si>
    <t>Nebraska District Council </t>
  </si>
  <si>
    <t>1503 West 2nd Street</t>
  </si>
  <si>
    <t>Grand Island</t>
  </si>
  <si>
    <t>NE</t>
  </si>
  <si>
    <t>308-384-1234</t>
  </si>
  <si>
    <t>Don</t>
  </si>
  <si>
    <t>James</t>
  </si>
  <si>
    <t>New Jersey District Council </t>
  </si>
  <si>
    <t>2005 Columbus Road</t>
  </si>
  <si>
    <t>Burlington</t>
  </si>
  <si>
    <t>NJ</t>
  </si>
  <si>
    <t>609-747-7878</t>
  </si>
  <si>
    <t>http://www.njag.org</t>
  </si>
  <si>
    <t>mail@bethanychurch.tv</t>
  </si>
  <si>
    <t>njdcexecsec@njag.org</t>
  </si>
  <si>
    <t>Michael</t>
  </si>
  <si>
    <t>Dickenson</t>
  </si>
  <si>
    <t>Network Pastor/Executive Director</t>
  </si>
  <si>
    <t>New Mexico District Council </t>
  </si>
  <si>
    <t>6640 Caminito Coors NW</t>
  </si>
  <si>
    <t>Albuquerque</t>
  </si>
  <si>
    <t>NM</t>
  </si>
  <si>
    <t>505-899-5399</t>
  </si>
  <si>
    <t>Duane</t>
  </si>
  <si>
    <t>Durst</t>
  </si>
  <si>
    <t>New York Ministry Network</t>
  </si>
  <si>
    <t>8130 Oswego Road</t>
  </si>
  <si>
    <t>Liverpool</t>
  </si>
  <si>
    <t>NY</t>
  </si>
  <si>
    <t>315-622-2700</t>
  </si>
  <si>
    <t>http://www.nyministrynetwork.org</t>
  </si>
  <si>
    <t>gendeliv@nyministrynetwork.org</t>
  </si>
  <si>
    <t>Rick</t>
  </si>
  <si>
    <t>Ross</t>
  </si>
  <si>
    <t>North Carolina Assembly of God Network </t>
  </si>
  <si>
    <t>190 Campground Road</t>
  </si>
  <si>
    <t>Selma</t>
  </si>
  <si>
    <t>NC</t>
  </si>
  <si>
    <t>919-965-0225</t>
  </si>
  <si>
    <t>http://www.ncag.org</t>
  </si>
  <si>
    <t>RRoss@ncag.org</t>
  </si>
  <si>
    <t>https://twitter.com/drrickross</t>
  </si>
  <si>
    <t>Winston</t>
  </si>
  <si>
    <t>Titus</t>
  </si>
  <si>
    <t>North Dakota Ministry Network</t>
  </si>
  <si>
    <t xml:space="preserve">1724 North Grandview Lane </t>
  </si>
  <si>
    <t>Bismarck</t>
  </si>
  <si>
    <t>ND</t>
  </si>
  <si>
    <t>701-255-2526</t>
  </si>
  <si>
    <t>http://www.nddcag.com</t>
  </si>
  <si>
    <t>wtitus@nddcag.org</t>
  </si>
  <si>
    <t>Gaylan</t>
  </si>
  <si>
    <t>Claunch</t>
  </si>
  <si>
    <t>North Texas District Council </t>
  </si>
  <si>
    <t xml:space="preserve">5241 FM 66 </t>
  </si>
  <si>
    <t>Waxahachie</t>
  </si>
  <si>
    <t>817-284-4856</t>
  </si>
  <si>
    <t>Tim</t>
  </si>
  <si>
    <t>Barker</t>
  </si>
  <si>
    <t>South Texas District Council </t>
  </si>
  <si>
    <t>4237 E Sam Houston Parkway</t>
  </si>
  <si>
    <t>Houston</t>
  </si>
  <si>
    <t>713-455-1221</t>
  </si>
  <si>
    <t>http://www.stxag.org</t>
  </si>
  <si>
    <t>kauleen@stxag.org</t>
  </si>
  <si>
    <t>Glenn</t>
  </si>
  <si>
    <t>Beaver</t>
  </si>
  <si>
    <t>Superintendant</t>
  </si>
  <si>
    <t>West Texas District Council </t>
  </si>
  <si>
    <t>6502 126th Street</t>
  </si>
  <si>
    <t>Lubbock</t>
  </si>
  <si>
    <t>806-792-5835</t>
  </si>
  <si>
    <t>http://www.wtaog.org</t>
  </si>
  <si>
    <t>wtdistag@sbcglobal.net</t>
  </si>
  <si>
    <t>Bret</t>
  </si>
  <si>
    <t>Allen</t>
  </si>
  <si>
    <t>Northern California &amp; Nevada District</t>
  </si>
  <si>
    <t>916-379-9600</t>
  </si>
  <si>
    <t>http://www.agncn.org</t>
  </si>
  <si>
    <t>Ray</t>
  </si>
  <si>
    <t>Brewer</t>
  </si>
  <si>
    <t>Northern Missouri District AG</t>
  </si>
  <si>
    <t>2660 Interstate 70 Drive NW</t>
  </si>
  <si>
    <t>Columbia</t>
  </si>
  <si>
    <t>573-445-3611</t>
  </si>
  <si>
    <t>http://www.nomoag.org</t>
  </si>
  <si>
    <t>pastoray@nomoag.org</t>
  </si>
  <si>
    <t>Dennis</t>
  </si>
  <si>
    <t>Marquardt</t>
  </si>
  <si>
    <t>Northern New England District of the Assemblies of God</t>
  </si>
  <si>
    <t>501 Riverside Street</t>
  </si>
  <si>
    <t>Portland</t>
  </si>
  <si>
    <t>ME</t>
  </si>
  <si>
    <t>207-878-2777</t>
  </si>
  <si>
    <t>http://www.nnedaog.org/</t>
  </si>
  <si>
    <t>nneddm@maine.rr.com</t>
  </si>
  <si>
    <t>Donm</t>
  </si>
  <si>
    <t>Network Leader Superintendent</t>
  </si>
  <si>
    <t>Northwest Ministry Network </t>
  </si>
  <si>
    <t>35131 SE Douglas Street #200</t>
  </si>
  <si>
    <t>Snoqualmie</t>
  </si>
  <si>
    <t>WA</t>
  </si>
  <si>
    <t>425-888-4800</t>
  </si>
  <si>
    <t>https://twitter.com/TurnaroundRev</t>
  </si>
  <si>
    <t>https://www.facebook.com/don.ross.7</t>
  </si>
  <si>
    <t>John</t>
  </si>
  <si>
    <t>Wootton</t>
  </si>
  <si>
    <t>Ohio Ministry Network </t>
  </si>
  <si>
    <t>8405 Pulsar Place</t>
  </si>
  <si>
    <t>Columbus</t>
  </si>
  <si>
    <t>OH</t>
  </si>
  <si>
    <t>614-396-0700</t>
  </si>
  <si>
    <t>john@ohioministry.net</t>
  </si>
  <si>
    <t>Frank</t>
  </si>
  <si>
    <t>Cargill</t>
  </si>
  <si>
    <t>Oklahoma District Council </t>
  </si>
  <si>
    <t>8701 North Kelley</t>
  </si>
  <si>
    <t>Oklahoma City</t>
  </si>
  <si>
    <t>OK</t>
  </si>
  <si>
    <t>405-475-1100</t>
  </si>
  <si>
    <t>http://www.okag.org</t>
  </si>
  <si>
    <t>frank.cargill@okag.org</t>
  </si>
  <si>
    <t xml:space="preserve">Bill </t>
  </si>
  <si>
    <t>Wilson</t>
  </si>
  <si>
    <t>Oregon Ministry Network </t>
  </si>
  <si>
    <t>5745 Inland Shores Way N</t>
  </si>
  <si>
    <t>Keizer</t>
  </si>
  <si>
    <t>503-393-4411</t>
  </si>
  <si>
    <t>http://www.oregonag.org</t>
  </si>
  <si>
    <t>info@oregonag.org</t>
  </si>
  <si>
    <t>Immel</t>
  </si>
  <si>
    <t>PennDel Ministry Network</t>
  </si>
  <si>
    <t>4651 Westport Drive</t>
  </si>
  <si>
    <t>Mechanicsburg</t>
  </si>
  <si>
    <t>PA</t>
  </si>
  <si>
    <t>717-795-5921</t>
  </si>
  <si>
    <t>http://www.penndel.org</t>
  </si>
  <si>
    <t>don@penndel.org</t>
  </si>
  <si>
    <t>Raburn</t>
  </si>
  <si>
    <t>Peninsular Florida </t>
  </si>
  <si>
    <t>1437 East Memorial Blvd</t>
  </si>
  <si>
    <t>Lakeland</t>
  </si>
  <si>
    <t>FL</t>
  </si>
  <si>
    <t>863-683-5726</t>
  </si>
  <si>
    <t>https://twitter.com/TerryRaburn</t>
  </si>
  <si>
    <t>https://www.facebook.com/terry.raburn</t>
  </si>
  <si>
    <t>Potter</t>
  </si>
  <si>
    <t>Potomac District Council </t>
  </si>
  <si>
    <t>14525 John Marshall Highway</t>
  </si>
  <si>
    <t>Gainesville</t>
  </si>
  <si>
    <t>VA</t>
  </si>
  <si>
    <t>703-753-0300</t>
  </si>
  <si>
    <t>http://www.potomacag.org</t>
  </si>
  <si>
    <t>bpucher@potomacag.org</t>
  </si>
  <si>
    <t>Puerto Rico District Council</t>
  </si>
  <si>
    <t>Urb Santa Monica Calle 3A BLQ Z 100</t>
  </si>
  <si>
    <t>Bayamon</t>
  </si>
  <si>
    <t>PR</t>
  </si>
  <si>
    <t>787-798-5903</t>
  </si>
  <si>
    <t>info@cadpr.org</t>
  </si>
  <si>
    <t>Gene</t>
  </si>
  <si>
    <t>Roncone</t>
  </si>
  <si>
    <t>Rocky Mountain Ministry Network </t>
  </si>
  <si>
    <t>6295 Lehman Drive #202</t>
  </si>
  <si>
    <t>Colorado Springs</t>
  </si>
  <si>
    <t>719-522-0195</t>
  </si>
  <si>
    <t>http://rmdc.org</t>
  </si>
  <si>
    <t>randy@rmdc.org</t>
  </si>
  <si>
    <t>Samoan District Council </t>
  </si>
  <si>
    <t>19804 8th Avenue South</t>
  </si>
  <si>
    <t>Des Moines</t>
  </si>
  <si>
    <t>206-870-1663</t>
  </si>
  <si>
    <t>Sandler</t>
  </si>
  <si>
    <t>District Supervisor</t>
  </si>
  <si>
    <t>South Carolina District </t>
  </si>
  <si>
    <t>101 Medical Circle #B</t>
  </si>
  <si>
    <t>West Columbia</t>
  </si>
  <si>
    <t>SC</t>
  </si>
  <si>
    <t>803-936-0541</t>
  </si>
  <si>
    <t>http://www.ag4sc.com/</t>
  </si>
  <si>
    <t>info@ag4sc.com</t>
  </si>
  <si>
    <t>Schaible</t>
  </si>
  <si>
    <t>South Dakota District </t>
  </si>
  <si>
    <t>4220 W 38th Street</t>
  </si>
  <si>
    <t>Sioux Falls</t>
  </si>
  <si>
    <t>SD</t>
  </si>
  <si>
    <t>605-367-3402</t>
  </si>
  <si>
    <t>http://www.sdag.org</t>
  </si>
  <si>
    <t>schaible@sdag.org</t>
  </si>
  <si>
    <t>Joel</t>
  </si>
  <si>
    <t>Wendland</t>
  </si>
  <si>
    <t>Southern Idaho Ministry Network</t>
  </si>
  <si>
    <t>711 Lone Star Road</t>
  </si>
  <si>
    <t>Nampa</t>
  </si>
  <si>
    <t>ID</t>
  </si>
  <si>
    <t>208-466-8101</t>
  </si>
  <si>
    <t>http://www.simnag.org</t>
  </si>
  <si>
    <t xml:space="preserve">Don </t>
  </si>
  <si>
    <t>Miller</t>
  </si>
  <si>
    <t>Southern Missouri District of the Assemblies of God</t>
  </si>
  <si>
    <t>528 West Battlefield Street</t>
  </si>
  <si>
    <t>417-881-1316</t>
  </si>
  <si>
    <t>http://www.somoag.org</t>
  </si>
  <si>
    <t>trickman@somoag.org</t>
  </si>
  <si>
    <t>Nick</t>
  </si>
  <si>
    <t>Fatato</t>
  </si>
  <si>
    <t>Southern New Englanad Ministry Network of the Assemblies of God</t>
  </si>
  <si>
    <t>307 Sturbridge Road</t>
  </si>
  <si>
    <t>Charlton</t>
  </si>
  <si>
    <t>MA</t>
  </si>
  <si>
    <t>508-248-3711</t>
  </si>
  <si>
    <t>http://www.snemn.com</t>
  </si>
  <si>
    <t>paul@snemn.com</t>
  </si>
  <si>
    <t>Emilio</t>
  </si>
  <si>
    <t>de la Cruz</t>
  </si>
  <si>
    <t>Southwest District Council </t>
  </si>
  <si>
    <t>2601 East Thomas Road #110</t>
  </si>
  <si>
    <t>602-956-5802</t>
  </si>
  <si>
    <t>http://www.swdistrict.com</t>
  </si>
  <si>
    <t>Bailey</t>
  </si>
  <si>
    <t>Tennessee Assembly of God Ministry Network </t>
  </si>
  <si>
    <t>1402 Stop 30 Road</t>
  </si>
  <si>
    <t>Hendersonville</t>
  </si>
  <si>
    <t>TN</t>
  </si>
  <si>
    <t>615-431-0871</t>
  </si>
  <si>
    <t>tbailey@tnaog.org</t>
  </si>
  <si>
    <t>Ezequiel</t>
  </si>
  <si>
    <t>Pecina</t>
  </si>
  <si>
    <t>West Texas and Plains District</t>
  </si>
  <si>
    <t>3115 Cornell Street</t>
  </si>
  <si>
    <t>806-747-9900</t>
  </si>
  <si>
    <t>http://www.wtapag.org/</t>
  </si>
  <si>
    <t>supt@wtapag.org</t>
  </si>
  <si>
    <t>Davis</t>
  </si>
  <si>
    <t>Wisconsin &amp; Northern Michigan District</t>
  </si>
  <si>
    <t>1340 Berlin Street</t>
  </si>
  <si>
    <t>Waupaca</t>
  </si>
  <si>
    <t>WI</t>
  </si>
  <si>
    <t>715-258-8118</t>
  </si>
  <si>
    <t>http://www.wnmdag.org</t>
  </si>
  <si>
    <t>suptofc@wnmdag.org</t>
  </si>
  <si>
    <t>Alan</t>
  </si>
  <si>
    <t>Schaberg</t>
  </si>
  <si>
    <t>Wyoming Ministry Network </t>
  </si>
  <si>
    <t>350 Kati Lane</t>
  </si>
  <si>
    <t>Casper</t>
  </si>
  <si>
    <t>WY</t>
  </si>
  <si>
    <t>307-234-4102</t>
  </si>
  <si>
    <t>https://www.wyomingministrynetwork.com</t>
  </si>
  <si>
    <t>office@wyaog.com</t>
  </si>
  <si>
    <t>Merrill</t>
  </si>
  <si>
    <t>Georgia District Council </t>
  </si>
  <si>
    <t>6330 Peake Road</t>
  </si>
  <si>
    <t>Macon</t>
  </si>
  <si>
    <t>GA</t>
  </si>
  <si>
    <t>478-405-5901</t>
  </si>
  <si>
    <t>http://www.gadistag.org</t>
  </si>
  <si>
    <t>PhilWall@gadistag.org</t>
  </si>
  <si>
    <t>Thomas</t>
  </si>
  <si>
    <t>More</t>
  </si>
  <si>
    <t>West Florida District </t>
  </si>
  <si>
    <t>4792 Highway 90</t>
  </si>
  <si>
    <t>Marianna</t>
  </si>
  <si>
    <t>850-482-2986</t>
  </si>
  <si>
    <t>http://wfldag.org</t>
  </si>
  <si>
    <t>supt@wfldag.org</t>
  </si>
  <si>
    <t>Florida Multicultural </t>
  </si>
  <si>
    <t>830 California Woods Circle</t>
  </si>
  <si>
    <t>Orlando</t>
  </si>
  <si>
    <t>407-850-9861</t>
  </si>
  <si>
    <t>http://fmdag.org/</t>
  </si>
  <si>
    <t>supsec@fmdag.org</t>
  </si>
  <si>
    <t>eddiedlr2000@yahoo.com</t>
  </si>
  <si>
    <t>The General Council of the Assemblies of God</t>
  </si>
  <si>
    <t>https://ag.org</t>
  </si>
  <si>
    <t>TOTALS</t>
  </si>
  <si>
    <t>McAllen</t>
  </si>
  <si>
    <t>1429 E. Tamarack Avenue</t>
  </si>
  <si>
    <t>Texas Gulf Hispanic District Council</t>
  </si>
  <si>
    <t>956-992-0766</t>
  </si>
  <si>
    <t>https://confradeb.org</t>
  </si>
  <si>
    <t>7510 Sherman Street</t>
  </si>
  <si>
    <t>Denver</t>
  </si>
  <si>
    <t>720-540-3183</t>
  </si>
  <si>
    <t>Central District/Distrito Central</t>
  </si>
  <si>
    <t>Korean District Council</t>
  </si>
  <si>
    <t>605 Broad Avenue #205</t>
  </si>
  <si>
    <t>Ridgefield</t>
  </si>
  <si>
    <t>201-941-1050</t>
  </si>
  <si>
    <t>Midwest District Council</t>
  </si>
  <si>
    <t>Oak Brook</t>
  </si>
  <si>
    <t>2001 Midwest Road #307</t>
  </si>
  <si>
    <t>630-519-4140</t>
  </si>
  <si>
    <t>cmaldonado@mdcag.org</t>
  </si>
  <si>
    <t>Northwest Hispanic District Council</t>
  </si>
  <si>
    <t>2509 West Falls Avenue</t>
  </si>
  <si>
    <t>Kennewick</t>
  </si>
  <si>
    <t>509-491-3922</t>
  </si>
  <si>
    <t>South Korean District Council</t>
  </si>
  <si>
    <t>407-731-9457</t>
  </si>
  <si>
    <t>Goldenrod</t>
  </si>
  <si>
    <t>South Central Hispanic District Council</t>
  </si>
  <si>
    <t>Springdale</t>
  </si>
  <si>
    <t>5370 Bob Mills Road</t>
  </si>
  <si>
    <t>479-756-5858</t>
  </si>
  <si>
    <t>Superintendente</t>
  </si>
  <si>
    <t>Southern Latin District Council</t>
  </si>
  <si>
    <t>404-890-6182</t>
  </si>
  <si>
    <t>Eddie</t>
  </si>
  <si>
    <t>Dos Santos</t>
  </si>
  <si>
    <t>edossantos@sldag.org</t>
  </si>
  <si>
    <t>Greenville</t>
  </si>
  <si>
    <t>216 Silver Run Lane</t>
  </si>
  <si>
    <t>864-478-0254</t>
  </si>
  <si>
    <t>Spanish Eastern District Council</t>
  </si>
  <si>
    <t>Old Tappan</t>
  </si>
  <si>
    <t>213 Old Tappan Road</t>
  </si>
  <si>
    <t>201-358-8610</t>
  </si>
  <si>
    <t>Texas Louisiana Hispanic District Council</t>
  </si>
  <si>
    <t>79 Uvalde Road</t>
  </si>
  <si>
    <t>281-501-3646</t>
  </si>
  <si>
    <t>Brazilian District Council</t>
  </si>
  <si>
    <t>954-782-0430</t>
  </si>
  <si>
    <t>Lighthouse Point</t>
  </si>
  <si>
    <t>4000 North Federal Highway</t>
  </si>
  <si>
    <t>malvarez@sedag.org</t>
  </si>
  <si>
    <t>smartinez@sedag.org</t>
  </si>
  <si>
    <t>de la Rosa</t>
  </si>
  <si>
    <t>Edward</t>
  </si>
  <si>
    <t>Gilbert</t>
  </si>
  <si>
    <t>Clemente</t>
  </si>
  <si>
    <t>Amos</t>
  </si>
  <si>
    <t>Garza</t>
  </si>
  <si>
    <t>Manuel</t>
  </si>
  <si>
    <t>Álvarez</t>
  </si>
  <si>
    <t>Daniel Olivarez</t>
  </si>
  <si>
    <t>Maldonado Jr</t>
  </si>
  <si>
    <t xml:space="preserve">District/Network Offices </t>
  </si>
  <si>
    <t>http://www.schdag.org</t>
  </si>
  <si>
    <t>http://www.agskdc.org</t>
  </si>
  <si>
    <t>http://www.mdcag.org</t>
  </si>
  <si>
    <t>http://www.sedag.org</t>
  </si>
  <si>
    <t>http://www.tnaog.org</t>
  </si>
  <si>
    <t>agskdc@gmail.com</t>
  </si>
  <si>
    <t>schd.sec@gmail.com</t>
  </si>
  <si>
    <t>Freire Costa</t>
  </si>
  <si>
    <t>fpotter@potomacag.org</t>
  </si>
  <si>
    <t xml:space="preserve">Samuel </t>
  </si>
  <si>
    <t>Asiedu</t>
  </si>
  <si>
    <t>African Fellowship</t>
  </si>
  <si>
    <t>https://ethnicrelations.ag.org/Fellowships/African-Fellowship</t>
  </si>
  <si>
    <t>samasiedu@optimum.net</t>
  </si>
  <si>
    <t xml:space="preserve">George </t>
  </si>
  <si>
    <t>Rafidi</t>
  </si>
  <si>
    <t>President and General Presbyter</t>
  </si>
  <si>
    <t>Arabic Fellowship</t>
  </si>
  <si>
    <t>https://www.arabicfellowship.com</t>
  </si>
  <si>
    <t>araboutreach1@juno.com</t>
  </si>
  <si>
    <t>Walter</t>
  </si>
  <si>
    <t>Harvey</t>
  </si>
  <si>
    <t>National Black Fellowship</t>
  </si>
  <si>
    <t>3725 North Sherman Boulevard</t>
  </si>
  <si>
    <t>Milwaukee</t>
  </si>
  <si>
    <t>414-847-9974</t>
  </si>
  <si>
    <t>https://nbfag.org</t>
  </si>
  <si>
    <t>pastorharvey@parklawn.org</t>
  </si>
  <si>
    <t>Cummings</t>
  </si>
  <si>
    <t>Caribbean Fellowship of the Assemblies of God</t>
  </si>
  <si>
    <t>j6melroy@yahoo.com</t>
  </si>
  <si>
    <t>Jason</t>
  </si>
  <si>
    <t>Quah</t>
  </si>
  <si>
    <t>Chairperson and General Presbyter</t>
  </si>
  <si>
    <t>National Chinese Fellowship of the AG</t>
  </si>
  <si>
    <t>jason75free@yahoo.com</t>
  </si>
  <si>
    <t>Emory</t>
  </si>
  <si>
    <t>Dively</t>
  </si>
  <si>
    <t>Executive Administrator and General Presbyter</t>
  </si>
  <si>
    <t>National Deaf Culture Fellowship of the AG</t>
  </si>
  <si>
    <t>https://www.nfdeaf.org</t>
  </si>
  <si>
    <t>ekdively@gmail.com</t>
  </si>
  <si>
    <t>Hanfere</t>
  </si>
  <si>
    <t>Aligaz</t>
  </si>
  <si>
    <t>Ethiopian Fellowship of the AG</t>
  </si>
  <si>
    <t>haligaz@gmail.com</t>
  </si>
  <si>
    <t>Inosi</t>
  </si>
  <si>
    <t>Batibasaga</t>
  </si>
  <si>
    <t>National Fijian Fellowship of the AG</t>
  </si>
  <si>
    <t>inosibatibasaga@yahoo.com</t>
  </si>
  <si>
    <t>Angelo</t>
  </si>
  <si>
    <t>Austria</t>
  </si>
  <si>
    <t>Filipino-American of Christian Fellowship of the AG</t>
  </si>
  <si>
    <t>www.nationalfilamfellowshipag.org</t>
  </si>
  <si>
    <t>mysavior26@yahoo.com</t>
  </si>
  <si>
    <t>Andrew</t>
  </si>
  <si>
    <t xml:space="preserve">Anane Asane </t>
  </si>
  <si>
    <t>Ghanaian AG Fellowship, USA</t>
  </si>
  <si>
    <t>andanasan@yahoo.com</t>
  </si>
  <si>
    <t>Jean</t>
  </si>
  <si>
    <t>Rebecca</t>
  </si>
  <si>
    <t>Haitian American Fellowship of the AG</t>
  </si>
  <si>
    <t>revjeanrebecca@verizon.net</t>
  </si>
  <si>
    <t>Teng</t>
  </si>
  <si>
    <t>Vu</t>
  </si>
  <si>
    <t>Hmong National Fellowship of the AG</t>
  </si>
  <si>
    <t>tengvu@live.com</t>
  </si>
  <si>
    <t>George</t>
  </si>
  <si>
    <t>Chacko</t>
  </si>
  <si>
    <t>AG India Fellowship of North America</t>
  </si>
  <si>
    <t>www.agifa.org</t>
  </si>
  <si>
    <t>georgepchacko@gmail.com</t>
  </si>
  <si>
    <t>Rudy</t>
  </si>
  <si>
    <t>Lolowang</t>
  </si>
  <si>
    <t>Indonesian Fellowship of the AG</t>
  </si>
  <si>
    <t>rudylolowang@yahoo.com</t>
  </si>
  <si>
    <t>Yoshida</t>
  </si>
  <si>
    <t>Japanese Fellowship of the Assemblies of God</t>
  </si>
  <si>
    <t>dodimac@aol.com</t>
  </si>
  <si>
    <t>www.facebook.com/agjapanesefellowship/</t>
  </si>
  <si>
    <t>Calise</t>
  </si>
  <si>
    <t>National Jewish Fellowship of the AG</t>
  </si>
  <si>
    <t>https://njfag.com</t>
  </si>
  <si>
    <t>Joshua</t>
  </si>
  <si>
    <t>Kang</t>
  </si>
  <si>
    <t>Korean-English Fellowship of the AG</t>
  </si>
  <si>
    <t> joshkang1@hotmail.com</t>
  </si>
  <si>
    <t>Chin</t>
  </si>
  <si>
    <t>Khua Khai</t>
  </si>
  <si>
    <t>Myanmar AG Fellowship, USA</t>
  </si>
  <si>
    <t>chinkkhai@gmail.com</t>
  </si>
  <si>
    <t>Brent</t>
  </si>
  <si>
    <t>Maracle</t>
  </si>
  <si>
    <t>Chief/President and General Presbyter</t>
  </si>
  <si>
    <t>Native American Fellowship of the AG</t>
  </si>
  <si>
    <t>secretary@agnaf.org</t>
  </si>
  <si>
    <t>Henry</t>
  </si>
  <si>
    <t>Bello</t>
  </si>
  <si>
    <t>Nigerian Assemblies of God Fellowship, USA</t>
  </si>
  <si>
    <t>nagfusa.org</t>
  </si>
  <si>
    <t>Vasile</t>
  </si>
  <si>
    <t>Cinpean</t>
  </si>
  <si>
    <t>Romanian Alianta of the AG</t>
  </si>
  <si>
    <t>v.cinpean@comcast.net</t>
  </si>
  <si>
    <t>Victor</t>
  </si>
  <si>
    <t>Southern Asian Fellowship of the AG</t>
  </si>
  <si>
    <t>victorjoseph@verizon.net</t>
  </si>
  <si>
    <t>Filimone</t>
  </si>
  <si>
    <t>Mau</t>
  </si>
  <si>
    <t>US Tongan AG Fellowship</t>
  </si>
  <si>
    <t>jjmau@hotmail.com</t>
  </si>
  <si>
    <t>Que</t>
  </si>
  <si>
    <t>Nguyen</t>
  </si>
  <si>
    <t>Vietnamese Fellowship of the AG</t>
  </si>
  <si>
    <t>qnguyen_email@yahoo.com</t>
  </si>
  <si>
    <t>June 11-12, 2024</t>
  </si>
  <si>
    <t>Indianapolis, IN</t>
  </si>
  <si>
    <t>June 10-11, 2025</t>
  </si>
  <si>
    <t>Dallas, TX</t>
  </si>
  <si>
    <t>June 9-10, 2026</t>
  </si>
  <si>
    <t>Orlando, FL</t>
  </si>
  <si>
    <t>June 8-9, 2027</t>
  </si>
  <si>
    <t>Salt Lake City, UT</t>
  </si>
  <si>
    <t>June 13-14, 2028</t>
  </si>
  <si>
    <t>Columbus, OH</t>
  </si>
  <si>
    <t>July 31-Aug 4, 2023</t>
  </si>
  <si>
    <t>https://generalcouncil.ag.org</t>
  </si>
  <si>
    <t>always in the middle of Summer</t>
  </si>
  <si>
    <t>65802-2131</t>
  </si>
  <si>
    <t>11354-2818</t>
  </si>
  <si>
    <t>Kirkland</t>
  </si>
  <si>
    <t>San Antonio</t>
  </si>
  <si>
    <t>Flushing</t>
  </si>
  <si>
    <t>Shannon</t>
  </si>
  <si>
    <t>Haverhill</t>
  </si>
  <si>
    <t>Ellendale</t>
  </si>
  <si>
    <t>Phoenixville</t>
  </si>
  <si>
    <t>Costa Mesa</t>
  </si>
  <si>
    <t>787-780-5555</t>
  </si>
  <si>
    <t>210-688-3101</t>
  </si>
  <si>
    <t>800-382-6435</t>
  </si>
  <si>
    <t>800-443-1083</t>
  </si>
  <si>
    <t>718-461-9700</t>
  </si>
  <si>
    <t>626-968-1328</t>
  </si>
  <si>
    <t>910-843-5304</t>
  </si>
  <si>
    <t>800-289-6222</t>
  </si>
  <si>
    <t>978-478-3400</t>
  </si>
  <si>
    <t>425-822-8266</t>
  </si>
  <si>
    <t>863-667-5000</t>
  </si>
  <si>
    <t>602-944-3335 </t>
  </si>
  <si>
    <t>888-YES-SAGU</t>
  </si>
  <si>
    <t>800-523-1603</t>
  </si>
  <si>
    <t>800-432-8322</t>
  </si>
  <si>
    <t>800-722-6279</t>
  </si>
  <si>
    <t>800-467-AGTS</t>
  </si>
  <si>
    <t>1435 N Glenstone Avenue</t>
  </si>
  <si>
    <t xml:space="preserve">PO BOX 1335 </t>
  </si>
  <si>
    <t>10822 FM 1560 N</t>
  </si>
  <si>
    <t xml:space="preserve">13030 31st Avenue </t>
  </si>
  <si>
    <t>355 Albert Currie Road</t>
  </si>
  <si>
    <t xml:space="preserve">910 Elliot Avenue </t>
  </si>
  <si>
    <t>320 S Main Street</t>
  </si>
  <si>
    <t>5520 108th Avenue NE</t>
  </si>
  <si>
    <t>1000 Longfellow Blvd</t>
  </si>
  <si>
    <t>10020 N 15th Avenue</t>
  </si>
  <si>
    <t>1200 Sycamore Street</t>
  </si>
  <si>
    <t>1401 Charlestown Road</t>
  </si>
  <si>
    <t>55 Fair Drive</t>
  </si>
  <si>
    <t>FELLOWSHIPS (CULTURE)</t>
  </si>
  <si>
    <t>1111 N Glenstone Avenue</t>
  </si>
  <si>
    <t>1211 S Glenstone Avenue</t>
  </si>
  <si>
    <t>14209 E Lomitas Avenue</t>
  </si>
  <si>
    <t>50 Sixth Avenue S</t>
  </si>
  <si>
    <t>https://www.agts.edu/</t>
  </si>
  <si>
    <t>http://www.ctcad.com/</t>
  </si>
  <si>
    <t>http://www.labitexas.org/</t>
  </si>
  <si>
    <t>http://www.evangel.edu/</t>
  </si>
  <si>
    <t>http://www.globaluniversity.edu/</t>
  </si>
  <si>
    <t>http://www.labi.edu/</t>
  </si>
  <si>
    <t>http://nabc.edu</t>
  </si>
  <si>
    <t>https://www.northcentral.edu/</t>
  </si>
  <si>
    <t>http://northpoint.edu/</t>
  </si>
  <si>
    <t>https://www.northwestu.edu/</t>
  </si>
  <si>
    <t>http://www.seu.edu/</t>
  </si>
  <si>
    <t>https://www.aicag.edu/</t>
  </si>
  <si>
    <t>http://www.sagu.edu/</t>
  </si>
  <si>
    <t>https://www.valleyforge.edu/</t>
  </si>
  <si>
    <t>https://www.trinitybiblecollege.edu/</t>
  </si>
  <si>
    <t>http://www.vanguard.edu/</t>
  </si>
  <si>
    <t>COLLEGES/UNIVERSITIES</t>
  </si>
  <si>
    <t>Global University</t>
  </si>
  <si>
    <t>Labi College</t>
  </si>
  <si>
    <t>North Central University</t>
  </si>
  <si>
    <t>Northwest University</t>
  </si>
  <si>
    <t>Vanguard University</t>
  </si>
  <si>
    <t>Trinity Bible College</t>
  </si>
  <si>
    <t>University of Valley Forge</t>
  </si>
  <si>
    <t>Assemblies of God Theological Seminary</t>
  </si>
  <si>
    <t>Caribbean Theological College</t>
  </si>
  <si>
    <t>Christ Mission College</t>
  </si>
  <si>
    <t>Evangel University</t>
  </si>
  <si>
    <t>Korean Assemblies of God Theological School of New York</t>
  </si>
  <si>
    <t>Lumbee River Christian College</t>
  </si>
  <si>
    <t>Northpoint Bible College</t>
  </si>
  <si>
    <t>Southeastern University</t>
  </si>
  <si>
    <t>Southwestern Assemblies of God Univ (American Indian College)</t>
  </si>
  <si>
    <t>Southwestern Assemblies of God University</t>
  </si>
  <si>
    <t>College/University</t>
  </si>
  <si>
    <t>Life Pacific</t>
  </si>
  <si>
    <t>https://lifepacific.edu</t>
  </si>
  <si>
    <t>1100 West Covina Boulevard</t>
  </si>
  <si>
    <t>San Dimas</t>
  </si>
  <si>
    <t>Angie</t>
  </si>
  <si>
    <t>Richey</t>
  </si>
  <si>
    <t>angierichey.com</t>
  </si>
  <si>
    <t>Office</t>
  </si>
  <si>
    <t>877-886-5433</t>
  </si>
  <si>
    <t>https://virginia.lifepacific.edu</t>
  </si>
  <si>
    <t>Site Director</t>
  </si>
  <si>
    <t>900 Life Drive</t>
  </si>
  <si>
    <t>Christiansburg</t>
  </si>
  <si>
    <t>Life Pacific University Virgnia</t>
  </si>
  <si>
    <t>Martz</t>
  </si>
  <si>
    <t>540-394-7200</t>
  </si>
  <si>
    <t>David Chrzan has had conversation with about similar PDC language/understandings</t>
  </si>
  <si>
    <t>https://www.foursquare.org</t>
  </si>
  <si>
    <t>https://www.sbc.net</t>
  </si>
  <si>
    <t>Based in Springfield, MO</t>
  </si>
  <si>
    <t xml:space="preserve">Based in Nashville but decentralized </t>
  </si>
  <si>
    <t>SBC President</t>
  </si>
  <si>
    <t xml:space="preserve">IMB President </t>
  </si>
  <si>
    <t>NAMB President</t>
  </si>
  <si>
    <t>Seminary Presidents</t>
  </si>
  <si>
    <t>ERLC President</t>
  </si>
  <si>
    <t>Gateway Seminary of the Southern Baptist Convention</t>
  </si>
  <si>
    <t>Midwestern Baptist Theological Seminary </t>
  </si>
  <si>
    <t>New Orleans Baptist Theological Seminary</t>
  </si>
  <si>
    <t>Southeastern Baptist Theological Seminary</t>
  </si>
  <si>
    <t>Southern Baptist Theological Seminary</t>
  </si>
  <si>
    <t>Southwestern Baptist Theological Seminary</t>
  </si>
  <si>
    <t>Dominant Ethnic Composition</t>
  </si>
  <si>
    <t>Congregations*</t>
  </si>
  <si>
    <t>Anglo churches</t>
  </si>
  <si>
    <t>African American churches</t>
  </si>
  <si>
    <t>Hispanic churches</t>
  </si>
  <si>
    <t>Korean churches</t>
  </si>
  <si>
    <t>Native American churches</t>
  </si>
  <si>
    <t>Haitian churches</t>
  </si>
  <si>
    <t>Chinese churches</t>
  </si>
  <si>
    <t>Filipino churches</t>
  </si>
  <si>
    <t>Multi-ethnic churches</t>
  </si>
  <si>
    <t>20+ other ethnic and language groups</t>
  </si>
  <si>
    <t>https://www.imb.org</t>
  </si>
  <si>
    <t>https://erlc.com</t>
  </si>
  <si>
    <t>https://www.guidestone.org</t>
  </si>
  <si>
    <t>Guidestone President/CEO</t>
  </si>
  <si>
    <t>https://www.lifeway.com</t>
  </si>
  <si>
    <t>One Lifeway Plaza</t>
  </si>
  <si>
    <t>Lifeway President/CEO</t>
  </si>
  <si>
    <t>https://www.namb.net</t>
  </si>
  <si>
    <t>Bart</t>
  </si>
  <si>
    <t>Barber</t>
  </si>
  <si>
    <t>Paul</t>
  </si>
  <si>
    <t>Chitwood</t>
  </si>
  <si>
    <t>Kevin</t>
  </si>
  <si>
    <t>Ezell</t>
  </si>
  <si>
    <t>Ben</t>
  </si>
  <si>
    <t>Mandrell</t>
  </si>
  <si>
    <t>Hance</t>
  </si>
  <si>
    <t>Dilbeck</t>
  </si>
  <si>
    <t>Leatherwood</t>
  </si>
  <si>
    <t>Farmersville</t>
  </si>
  <si>
    <t>Richmond</t>
  </si>
  <si>
    <t>Alpharetta</t>
  </si>
  <si>
    <t xml:space="preserve">Nashville </t>
  </si>
  <si>
    <t>Dallas</t>
  </si>
  <si>
    <t>804-353-0151</t>
  </si>
  <si>
    <t>800-634-2462</t>
  </si>
  <si>
    <t>615-244-2495</t>
  </si>
  <si>
    <t>3806 Monument Avenue</t>
  </si>
  <si>
    <t>4200 North Point Pkwy</t>
  </si>
  <si>
    <t>5005 LBJ Freeway #2200</t>
  </si>
  <si>
    <t>901 Commerce Street #550</t>
  </si>
  <si>
    <t>AK – Alaska Baptist Resource Network</t>
  </si>
  <si>
    <t>AL – Alabama Baptist State Board of Missions</t>
  </si>
  <si>
    <t>AR – Arkansas Baptist State Convention</t>
  </si>
  <si>
    <t>AZ – Arizona Southern Baptist Convention</t>
  </si>
  <si>
    <t>CA – California Southern Baptist Convention</t>
  </si>
  <si>
    <t>CO – Colorado Baptist General Convention</t>
  </si>
  <si>
    <t>Dakota – Dakota Baptist Convention</t>
  </si>
  <si>
    <t>FL – Florida Baptist Convention</t>
  </si>
  <si>
    <t>GA – Georgia Baptist Mission Board</t>
  </si>
  <si>
    <t>HI – Hawaii Pacific Baptist Convention</t>
  </si>
  <si>
    <t>IA – Baptist Convention of Iowa</t>
  </si>
  <si>
    <t>IL – Illinois Baptist State Association</t>
  </si>
  <si>
    <t>IN – State Convention of Baptists in Indiana</t>
  </si>
  <si>
    <t>KS-NE – Kansas-Nebraska Convention of Southern Baptists</t>
  </si>
  <si>
    <t>KY – Kentucky Baptist Convention</t>
  </si>
  <si>
    <t>LA – Louisiana Baptist Convention</t>
  </si>
  <si>
    <t>MD/DE – Baptist Convention of Maryland/Delaware</t>
  </si>
  <si>
    <t>MI – Baptist State Convention of Michigan</t>
  </si>
  <si>
    <t>MN-WI – Minnesota-Wisconsin Baptist Convention</t>
  </si>
  <si>
    <t>MO – Missouri Baptist Convention</t>
  </si>
  <si>
    <t>MS -Mississippi Baptist Convention Board</t>
  </si>
  <si>
    <t>MT -Montana Southern Baptist Convention</t>
  </si>
  <si>
    <t>NC – Baptist State Convention of North Carolina</t>
  </si>
  <si>
    <t>New England – Baptist Churches of New England</t>
  </si>
  <si>
    <t>NM – Baptist Convention of New Mexico</t>
  </si>
  <si>
    <t>Northwest – Northwest Baptist Convention</t>
  </si>
  <si>
    <t>NV – Nevada Baptist Convention</t>
  </si>
  <si>
    <t>NY – Baptist Convention of New York</t>
  </si>
  <si>
    <t>OH – State Convention of Baptists in Ohio</t>
  </si>
  <si>
    <t>OK – Baptist General Convention of Oklahoma</t>
  </si>
  <si>
    <t>PA-S. Jersey – Baptist Resource Network of Pennsylvania-South Jersey</t>
  </si>
  <si>
    <t>PR – Convention of Southern Baptist Churches in Puerto Rico</t>
  </si>
  <si>
    <t>SC – South Carolina Baptist Convention</t>
  </si>
  <si>
    <t>TN – Tennessee Baptist Mission Board</t>
  </si>
  <si>
    <t>TX (BGCT) – Baptist General Convention of Texas</t>
  </si>
  <si>
    <t>TX (SBTC) – Southern Baptists of Texas Convention</t>
  </si>
  <si>
    <t>UT-ID – Utah-Idaho Southern Baptist Convention</t>
  </si>
  <si>
    <t>VA (BGAV) – Baptist General Association of Virginia</t>
  </si>
  <si>
    <t>VA (SBCV) – Southern Baptist Convention of Virginia</t>
  </si>
  <si>
    <t>WV – West Virginia Convention of Southern Baptists</t>
  </si>
  <si>
    <t>WY – Wyoming Southern Baptist Mission Network</t>
  </si>
  <si>
    <t>https://www.alaskabrn.com</t>
  </si>
  <si>
    <t>1750 O’Malley Road</t>
  </si>
  <si>
    <t>800-264-1225</t>
  </si>
  <si>
    <t>HTTP://WWW.ALSBOM.ORG</t>
  </si>
  <si>
    <t>State Executive Director</t>
  </si>
  <si>
    <t>rlance@alsbom.org</t>
  </si>
  <si>
    <t>https://twitter.com/ricklance</t>
  </si>
  <si>
    <t>https://www.facebook.com/rlance</t>
  </si>
  <si>
    <t>10 Remington Drive</t>
  </si>
  <si>
    <t>501-376-4791</t>
  </si>
  <si>
    <t>HTTP://WWW.ABSC.ORG</t>
  </si>
  <si>
    <t>stucker@absc.org</t>
  </si>
  <si>
    <t>HTTP://WWW.AZSBC.ORG</t>
  </si>
  <si>
    <t>559-229-9533</t>
  </si>
  <si>
    <t>https://csbc.com</t>
  </si>
  <si>
    <t>pramirez@csbc.com</t>
  </si>
  <si>
    <t>303-771-2480</t>
  </si>
  <si>
    <t>https://www.coloradobaptists.org</t>
  </si>
  <si>
    <t>mproud@coloradobaptists.org</t>
  </si>
  <si>
    <t>605-716-0130</t>
  </si>
  <si>
    <t>https://dakotabaptist.com</t>
  </si>
  <si>
    <t>Executive Director/Treasurer</t>
  </si>
  <si>
    <t>6850 Belfort Oaks Place </t>
  </si>
  <si>
    <t>904-396-2351</t>
  </si>
  <si>
    <t>https://flbaptist.org</t>
  </si>
  <si>
    <t>tgreen@flbaptist.org</t>
  </si>
  <si>
    <t>https://twitter.com/tommygreen21/</t>
  </si>
  <si>
    <t>https://www.facebook.com/tommy.green.986</t>
  </si>
  <si>
    <t>Associations that support this group</t>
  </si>
  <si>
    <t>6405 Sugarloaf Parkway </t>
  </si>
  <si>
    <t>770-455-0404</t>
  </si>
  <si>
    <t>https://gabaptist.org</t>
  </si>
  <si>
    <t>Executive Director/CEO</t>
  </si>
  <si>
    <t>thammond@gabaptist.org</t>
  </si>
  <si>
    <t>2042 Vancouver Drive</t>
  </si>
  <si>
    <t>808-946-9581</t>
  </si>
  <si>
    <t>https://www.hpbaptist.net</t>
  </si>
  <si>
    <t>chris@hpbaptist.net</t>
  </si>
  <si>
    <t>150 churches</t>
  </si>
  <si>
    <t>PO Box 619</t>
  </si>
  <si>
    <t>515-809-2819</t>
  </si>
  <si>
    <t>HTTP://WWW.BCIOWA.ORG</t>
  </si>
  <si>
    <t>Executive Director &amp; Treasurer</t>
  </si>
  <si>
    <t>tlubinus@bciowa.org</t>
  </si>
  <si>
    <t>3085 Stevenson Drive</t>
  </si>
  <si>
    <t>217-786-2600</t>
  </si>
  <si>
    <t>https://www.ibsa.org</t>
  </si>
  <si>
    <t>Executive Director</t>
  </si>
  <si>
    <t>950 churches</t>
  </si>
  <si>
    <t>317-481-2400</t>
  </si>
  <si>
    <t>https://scbi.org</t>
  </si>
  <si>
    <t>rstrother@scbi.org</t>
  </si>
  <si>
    <t>785-228-6800</t>
  </si>
  <si>
    <t>http://kncsb.org</t>
  </si>
  <si>
    <t>160 churches</t>
  </si>
  <si>
    <t>dmanner@kncsb.org</t>
  </si>
  <si>
    <t>https://twitter.com/dwmanner</t>
  </si>
  <si>
    <t>https://www.facebook.com/david.manner.9</t>
  </si>
  <si>
    <t>https://www.linkedin.com/in/david-w-manner-dws-65543016/</t>
  </si>
  <si>
    <t>13420 Eastpoint Centre Drive</t>
  </si>
  <si>
    <t>502-245-4101</t>
  </si>
  <si>
    <t>https://www.kybaptist.org</t>
  </si>
  <si>
    <t>Executive Director-Treasurer</t>
  </si>
  <si>
    <t>1250 MacArthur Drive</t>
  </si>
  <si>
    <t>318-448-3402</t>
  </si>
  <si>
    <t>https://louisianabaptists.org</t>
  </si>
  <si>
    <t>410-290-5290</t>
  </si>
  <si>
    <t>HTTP://WWW.BCMD.ORG</t>
  </si>
  <si>
    <t>mcrawford@bcmd.org </t>
  </si>
  <si>
    <t>41100 Plymouth Road, Suite B1-315</t>
  </si>
  <si>
    <t>810-714-1907</t>
  </si>
  <si>
    <t>https://www.bscm.org</t>
  </si>
  <si>
    <t>tim@bscm.org</t>
  </si>
  <si>
    <t>Executive Director / Treasurer</t>
  </si>
  <si>
    <t>507-282-3636</t>
  </si>
  <si>
    <t>https://www.mwbc.org</t>
  </si>
  <si>
    <t>endel@mwbc.org </t>
  </si>
  <si>
    <t>168 churches</t>
  </si>
  <si>
    <t>573-636-0400</t>
  </si>
  <si>
    <t>HTTP://WWW.MOBAPTIST.ORG</t>
  </si>
  <si>
    <t>jyeats@mobaptist.org</t>
  </si>
  <si>
    <t>601-968-3800</t>
  </si>
  <si>
    <t>https://www.mbcb.org</t>
  </si>
  <si>
    <t>sparker@mbcb.org</t>
  </si>
  <si>
    <t>2050 churches</t>
  </si>
  <si>
    <t>406-252-7537</t>
  </si>
  <si>
    <t>https://mtsbc.org</t>
  </si>
  <si>
    <t>bduke@mtsbc.org</t>
  </si>
  <si>
    <t>205 Convention Drive</t>
  </si>
  <si>
    <t>919-467-5100</t>
  </si>
  <si>
    <t>https://ncbaptist.org</t>
  </si>
  <si>
    <t>todd@ncbaptist.org</t>
  </si>
  <si>
    <t>https://twitter.com/ToddUnzicker</t>
  </si>
  <si>
    <t>https://www.facebook.com/ToddUnzickerEDT</t>
  </si>
  <si>
    <t>https://www.instagram.com/toddunzicker/</t>
  </si>
  <si>
    <t>87 Lincoln Street </t>
  </si>
  <si>
    <t>508-393-6013</t>
  </si>
  <si>
    <t>https://www.bcne.net</t>
  </si>
  <si>
    <t>Executive director &amp; treasurer</t>
  </si>
  <si>
    <t>tdorsett@bcne.net</t>
  </si>
  <si>
    <t>PO Box 94485</t>
  </si>
  <si>
    <t>505-924-2300</t>
  </si>
  <si>
    <t>https://www.bcnm.com</t>
  </si>
  <si>
    <t>360-882-2100</t>
  </si>
  <si>
    <t>https://www.nwbaptist.life</t>
  </si>
  <si>
    <t>775-786-0406</t>
  </si>
  <si>
    <t>https://nevadabc.org</t>
  </si>
  <si>
    <t>damian@nevadabc.org</t>
  </si>
  <si>
    <t>315-433-1001</t>
  </si>
  <si>
    <t>https://www.bcnysbc.org</t>
  </si>
  <si>
    <t>trobertson@bcnysbc.org</t>
  </si>
  <si>
    <t>9000 Antares Avenue </t>
  </si>
  <si>
    <t>614-601-6789</t>
  </si>
  <si>
    <t>https://www.scbo.org</t>
  </si>
  <si>
    <t>jwestbrook@scbo.org</t>
  </si>
  <si>
    <t>405-942-3800</t>
  </si>
  <si>
    <t>https://www.oklahomabaptists.org</t>
  </si>
  <si>
    <t>tfisher@oklahomabaptists.org</t>
  </si>
  <si>
    <t>4620 Fritchey Street</t>
  </si>
  <si>
    <t>717-652-5856</t>
  </si>
  <si>
    <t>https://www.brnunited.org</t>
  </si>
  <si>
    <t>execdir@brnunited.org</t>
  </si>
  <si>
    <t>939-464-2427</t>
  </si>
  <si>
    <t>HTTP://CIBSPUERTORICO.ORG</t>
  </si>
  <si>
    <t>190 Stoneridge Drive</t>
  </si>
  <si>
    <t>803-765-0030</t>
  </si>
  <si>
    <t>https://www.scbaptist.org</t>
  </si>
  <si>
    <t>Gary</t>
  </si>
  <si>
    <t>615-373-2255</t>
  </si>
  <si>
    <t>HTTP://WWW.TNBAPTIST.ORG</t>
  </si>
  <si>
    <t>https://twitter.com/randycdavistbc</t>
  </si>
  <si>
    <t>https://www.facebook.com/randycdavistbc</t>
  </si>
  <si>
    <t>https://www.linkedin.com/in/rdavis4/</t>
  </si>
  <si>
    <t>214-828-5100</t>
  </si>
  <si>
    <t>HTTP://WWW.TEXASBAPTISTS.ORG</t>
  </si>
  <si>
    <t>david.hardage@txb.org</t>
  </si>
  <si>
    <t>817-552-2500</t>
  </si>
  <si>
    <t>https://sbtexas.com</t>
  </si>
  <si>
    <t>nlorick@sbtexas.com</t>
  </si>
  <si>
    <t>https://twitter.com/NathanLorick</t>
  </si>
  <si>
    <t>https://www.facebook.com/nathan.lorick</t>
  </si>
  <si>
    <t>801-572-5350</t>
  </si>
  <si>
    <t>https://uisbc.org</t>
  </si>
  <si>
    <t>rlee@uisbc.org</t>
  </si>
  <si>
    <t>2828 Emerywood Parkway </t>
  </si>
  <si>
    <t>804-915-5000</t>
  </si>
  <si>
    <t>https://www.bgav.org</t>
  </si>
  <si>
    <t>TBD</t>
  </si>
  <si>
    <t>4956 Dominion Blvd </t>
  </si>
  <si>
    <t>804-270-1848</t>
  </si>
  <si>
    <t>HTTP://WWW.SBCV.ORG</t>
  </si>
  <si>
    <t>bautry@sbcv.org</t>
  </si>
  <si>
    <t>28 Mission Way</t>
  </si>
  <si>
    <t>304-757-0944</t>
  </si>
  <si>
    <t>https://www.wvcsb.org</t>
  </si>
  <si>
    <t>eric@wvcsb.org</t>
  </si>
  <si>
    <t>307-472-4087</t>
  </si>
  <si>
    <t>http://www.wyomingsbc.org</t>
  </si>
  <si>
    <t>WY State Missionary/Exec. Director</t>
  </si>
  <si>
    <t>quin@wyomingsbc.org</t>
  </si>
  <si>
    <t>97 churches</t>
  </si>
  <si>
    <t>Prattville</t>
  </si>
  <si>
    <t>Fresno</t>
  </si>
  <si>
    <t xml:space="preserve">Littleton </t>
  </si>
  <si>
    <t>Rapid City</t>
  </si>
  <si>
    <t>Jacksonville</t>
  </si>
  <si>
    <t>Duluth</t>
  </si>
  <si>
    <t>Ankeny</t>
  </si>
  <si>
    <t>Martinsville</t>
  </si>
  <si>
    <t>Topeka</t>
  </si>
  <si>
    <t>Plymouth</t>
  </si>
  <si>
    <t>Rochester</t>
  </si>
  <si>
    <t>Jefferson City</t>
  </si>
  <si>
    <t>Cary</t>
  </si>
  <si>
    <t>Northborough</t>
  </si>
  <si>
    <t>Vancouver</t>
  </si>
  <si>
    <t>Reno</t>
  </si>
  <si>
    <t>Cicero</t>
  </si>
  <si>
    <t>Harrisburg</t>
  </si>
  <si>
    <t>San Juan</t>
  </si>
  <si>
    <t>Grapevine</t>
  </si>
  <si>
    <t>Draper</t>
  </si>
  <si>
    <t>Henrico</t>
  </si>
  <si>
    <t>Glen Allen</t>
  </si>
  <si>
    <t>Scott Depot</t>
  </si>
  <si>
    <t>MD</t>
  </si>
  <si>
    <t>NV</t>
  </si>
  <si>
    <t>UT</t>
  </si>
  <si>
    <t>907-344-9627</t>
  </si>
  <si>
    <t>602-843-1030</t>
  </si>
  <si>
    <t>214-828-5301</t>
  </si>
  <si>
    <t>Louisville</t>
  </si>
  <si>
    <t xml:space="preserve">Jackson </t>
  </si>
  <si>
    <t>Franklin</t>
  </si>
  <si>
    <t>10255 Old Columbia Road</t>
  </si>
  <si>
    <t>1404 Fairview Avenue</t>
  </si>
  <si>
    <t>12801 North 28th Drive</t>
  </si>
  <si>
    <t>678 East Shaw Avenue</t>
  </si>
  <si>
    <t>10390 Bradford Road</t>
  </si>
  <si>
    <t>330 E Anamosa Street #2</t>
  </si>
  <si>
    <t>7805 State Road 39</t>
  </si>
  <si>
    <t>5410 SW 7th Street</t>
  </si>
  <si>
    <t>519 16th Street SE</t>
  </si>
  <si>
    <t>400 East High Street</t>
  </si>
  <si>
    <t>PO Box 530</t>
  </si>
  <si>
    <t>1130 Cerise Road</t>
  </si>
  <si>
    <t>3200 NE 109th Avenue</t>
  </si>
  <si>
    <t>406 California Avenue</t>
  </si>
  <si>
    <t>5885 E Circle Drive #235</t>
  </si>
  <si>
    <t>3800 N May Avenue</t>
  </si>
  <si>
    <t>PO Box 194726 </t>
  </si>
  <si>
    <t>PO Box 682789</t>
  </si>
  <si>
    <t>7557 Rambler Road #1200</t>
  </si>
  <si>
    <t>PO Box 1988</t>
  </si>
  <si>
    <t>12401 South 450 East</t>
  </si>
  <si>
    <t>3925 Casper Mountain Road #101</t>
  </si>
  <si>
    <t>Covington</t>
  </si>
  <si>
    <t>Lance</t>
  </si>
  <si>
    <t>Sonny</t>
  </si>
  <si>
    <t>Tucker</t>
  </si>
  <si>
    <t>Johnson</t>
  </si>
  <si>
    <t>Pete</t>
  </si>
  <si>
    <t>Ramirez</t>
  </si>
  <si>
    <t>Proud</t>
  </si>
  <si>
    <t>Fred</t>
  </si>
  <si>
    <t>MacDonald</t>
  </si>
  <si>
    <t>Green</t>
  </si>
  <si>
    <t>Hammond</t>
  </si>
  <si>
    <t>Chris</t>
  </si>
  <si>
    <t>Martin</t>
  </si>
  <si>
    <t>Adams</t>
  </si>
  <si>
    <t>Ryan</t>
  </si>
  <si>
    <t>Strother</t>
  </si>
  <si>
    <t>Manner</t>
  </si>
  <si>
    <t>Todd</t>
  </si>
  <si>
    <t>Gray</t>
  </si>
  <si>
    <t>Steve</t>
  </si>
  <si>
    <t>Horn</t>
  </si>
  <si>
    <t>Crawford</t>
  </si>
  <si>
    <t>Patterson</t>
  </si>
  <si>
    <t>Leo</t>
  </si>
  <si>
    <t>Endel</t>
  </si>
  <si>
    <t>Yeats</t>
  </si>
  <si>
    <t>Shawn</t>
  </si>
  <si>
    <t>Parker</t>
  </si>
  <si>
    <t>Duke</t>
  </si>
  <si>
    <t>Unzicker</t>
  </si>
  <si>
    <t>Dorsett</t>
  </si>
  <si>
    <t>Ballew</t>
  </si>
  <si>
    <t>Damian</t>
  </si>
  <si>
    <t>Cirincione</t>
  </si>
  <si>
    <t>Barry</t>
  </si>
  <si>
    <t>Whitworth</t>
  </si>
  <si>
    <t>Hollingsworth</t>
  </si>
  <si>
    <t>Hardage</t>
  </si>
  <si>
    <t>Nathan</t>
  </si>
  <si>
    <t>Lorick</t>
  </si>
  <si>
    <t>Rob</t>
  </si>
  <si>
    <t>Lee</t>
  </si>
  <si>
    <t>Brian</t>
  </si>
  <si>
    <t>Autry</t>
  </si>
  <si>
    <t>Robertson</t>
  </si>
  <si>
    <t>Jeremy</t>
  </si>
  <si>
    <t>Westbrook</t>
  </si>
  <si>
    <t>Ramsey</t>
  </si>
  <si>
    <t>Eric</t>
  </si>
  <si>
    <t>Quin</t>
  </si>
  <si>
    <t>Williams</t>
  </si>
  <si>
    <t>Lubinus</t>
  </si>
  <si>
    <t>Enrollment</t>
  </si>
  <si>
    <t>*Includes churches and church-type missions provided by NAMB Center for Missional Research from 2020 Annual Church Profile data</t>
  </si>
  <si>
    <t>Associations</t>
  </si>
  <si>
    <t>Vineyard Churches</t>
  </si>
  <si>
    <t>Open Bible Churches</t>
  </si>
  <si>
    <t>ARC Churches</t>
  </si>
  <si>
    <t>https://vineyardusa.org</t>
  </si>
  <si>
    <t>Up to 50 attendees</t>
  </si>
  <si>
    <t>51-100 attendees</t>
  </si>
  <si>
    <t>101-200 attendees</t>
  </si>
  <si>
    <t>201-400 attendees</t>
  </si>
  <si>
    <t>401-1000 attendees</t>
  </si>
  <si>
    <t>1001+ attendees</t>
  </si>
  <si>
    <t>source is 2020-2021 annual report</t>
  </si>
  <si>
    <t>Diversity</t>
  </si>
  <si>
    <t>Board Member</t>
  </si>
  <si>
    <t>Vineyard Missions</t>
  </si>
  <si>
    <t>Multiply Vineyard</t>
  </si>
  <si>
    <t>Vineyard Worship</t>
  </si>
  <si>
    <t>end of 2020</t>
  </si>
  <si>
    <t>Multiethnic</t>
  </si>
  <si>
    <t>Native American/Pacific Islander</t>
  </si>
  <si>
    <t>Hispanic/Latino</t>
  </si>
  <si>
    <t>Black/African American</t>
  </si>
  <si>
    <t>Asian/Asian American/South Asian</t>
  </si>
  <si>
    <t>https://www.arcchurches.com</t>
  </si>
  <si>
    <t>Covenant Churches</t>
  </si>
  <si>
    <t>https://covchurch.org</t>
  </si>
  <si>
    <t>EV Free Churches</t>
  </si>
  <si>
    <t>https://www.efca.org</t>
  </si>
  <si>
    <t>https://www.openbible.org</t>
  </si>
  <si>
    <t>(according to their 2017 ACMR stats)</t>
  </si>
  <si>
    <t>The largest church has 46,000'ish</t>
  </si>
  <si>
    <t>The 100th largest church has 1,900'ish</t>
  </si>
  <si>
    <t>The Top 100 Churches account for roughly 460,000'ish people</t>
  </si>
  <si>
    <t>Over 300 Women Lead/Co-Lead Pastors</t>
  </si>
  <si>
    <t>(again please note not every church reports all of their staff)</t>
  </si>
  <si>
    <t>Around 186 Churches are Multisite</t>
  </si>
  <si>
    <t>9 have campuses/locations in a different country/countries</t>
  </si>
  <si>
    <t>Notes/Misc Information</t>
  </si>
  <si>
    <t xml:space="preserve">ALL Assembly of God Churches </t>
  </si>
  <si>
    <t>(no matter the size)</t>
  </si>
  <si>
    <t>Top 25</t>
  </si>
  <si>
    <t>States</t>
  </si>
  <si>
    <t>By position type</t>
  </si>
  <si>
    <t>By Size</t>
  </si>
  <si>
    <t>Multisite by category</t>
  </si>
  <si>
    <t>75% of staff</t>
  </si>
  <si>
    <t>Social Media</t>
  </si>
  <si>
    <t>(mid 40's younger)</t>
  </si>
  <si>
    <t>Qty of</t>
  </si>
  <si>
    <t>Multisite</t>
  </si>
  <si>
    <t>list their</t>
  </si>
  <si>
    <t>Lead Pastors</t>
  </si>
  <si>
    <t>Qty 400 +</t>
  </si>
  <si>
    <t>social media</t>
  </si>
  <si>
    <t>Talkers</t>
  </si>
  <si>
    <t>Blogs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</si>
  <si>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</si>
  <si>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</si>
  <si>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</si>
  <si>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</si>
  <si>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</si>
  <si>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</si>
  <si>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</si>
  <si>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</si>
  <si>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</si>
  <si>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</si>
  <si>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</si>
  <si>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</si>
  <si>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</si>
  <si>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</si>
  <si>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</si>
  <si>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</si>
  <si>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</si>
  <si>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</si>
  <si>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</si>
  <si>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</si>
  <si>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</si>
  <si>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</si>
  <si>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</si>
  <si>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</si>
  <si>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</si>
  <si>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</si>
  <si>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</si>
  <si>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</si>
  <si>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</si>
  <si>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</si>
  <si>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</si>
  <si>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</si>
  <si>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</si>
  <si>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</si>
  <si>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 xml:space="preserve">Ohio 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</si>
  <si>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</si>
  <si>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</si>
  <si>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</si>
  <si>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</si>
  <si>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</si>
  <si>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</si>
  <si>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</si>
  <si>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</si>
  <si>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</si>
  <si>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</si>
  <si>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</si>
  <si>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</si>
  <si>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</si>
  <si>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</si>
  <si>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</si>
  <si>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</si>
  <si>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</si>
  <si>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MULTI CULTURAL DISTRICTS</t>
  </si>
  <si>
    <t>Texas Louisiana Hispanic</t>
  </si>
  <si>
    <t>South Central Hispanic</t>
  </si>
  <si>
    <t>Southern Latin District</t>
  </si>
  <si>
    <t>Central District</t>
  </si>
  <si>
    <t>Korean District</t>
  </si>
  <si>
    <t>Second Korean District</t>
  </si>
  <si>
    <t>Texas Gulf Hispanic</t>
  </si>
  <si>
    <t>Brazillian District</t>
  </si>
  <si>
    <t>Spanish Eastern District</t>
  </si>
  <si>
    <t>USA TOTALS</t>
  </si>
  <si>
    <t>Alberta &amp; NW Territories, Canada</t>
  </si>
  <si>
    <t>British Columbia, Canada</t>
  </si>
  <si>
    <t>East Ontario, Canada</t>
  </si>
  <si>
    <t>Finnish-Canada</t>
  </si>
  <si>
    <t>Manitoba &amp; NW Ontario Canada</t>
  </si>
  <si>
    <t>Maritime-Canada</t>
  </si>
  <si>
    <t>Quebec, Canada</t>
  </si>
  <si>
    <t>Saskatoon, Canada</t>
  </si>
  <si>
    <t>Slavis-Canada</t>
  </si>
  <si>
    <t>West Ontario, Canada</t>
  </si>
  <si>
    <t>(these are recorded by the way they</t>
  </si>
  <si>
    <t>* see notes</t>
  </si>
  <si>
    <t>account the churches by District</t>
  </si>
  <si>
    <t>not by Provinces)</t>
  </si>
  <si>
    <t>* Would be higher if combined</t>
  </si>
  <si>
    <t>CANADA TOTALS</t>
  </si>
  <si>
    <t>COMBINED TOTALS</t>
  </si>
  <si>
    <t>Because of</t>
  </si>
  <si>
    <t>No Picture</t>
  </si>
  <si>
    <t>IMPORTANT NOTES</t>
  </si>
  <si>
    <t>Total Impressions</t>
  </si>
  <si>
    <r>
      <t xml:space="preserve">This information comes </t>
    </r>
    <r>
      <rPr>
        <b/>
        <u/>
        <sz val="12"/>
        <color rgb="FFFF0000"/>
        <rFont val="Calibri"/>
        <family val="2"/>
        <scheme val="minor"/>
      </rPr>
      <t>DIRECTLY</t>
    </r>
    <r>
      <rPr>
        <sz val="12"/>
        <color rgb="FFFF0000"/>
        <rFont val="Calibri"/>
        <family val="2"/>
        <scheme val="minor"/>
      </rPr>
      <t xml:space="preserve"> off of the individual church website</t>
    </r>
  </si>
  <si>
    <t>This information has been scrubbed/cleaned/recorded from the months of October 2019 to June 2020</t>
  </si>
  <si>
    <t>Impressions that you might be able to get access to</t>
  </si>
  <si>
    <t>Email accounts, followers (twitter/instagram/other media), friends (facebook), blogs</t>
  </si>
  <si>
    <t>Definitions of Positions</t>
  </si>
  <si>
    <t>Sr Leadership</t>
  </si>
  <si>
    <t>Is the highest ranking positions that the INDIVIDUAL church defines</t>
  </si>
  <si>
    <t>Campus Pastors</t>
  </si>
  <si>
    <t>Leading individual campuses</t>
  </si>
  <si>
    <t>Teaching Pastors</t>
  </si>
  <si>
    <t>Those involved in teaching</t>
  </si>
  <si>
    <t>Executive Pastor</t>
  </si>
  <si>
    <t>Multiple Executive Pastor positions</t>
  </si>
  <si>
    <t>Pastoral Care/Counseling</t>
  </si>
  <si>
    <t>Primarily those who do Pastoral Care/Counseling but also misc others</t>
  </si>
  <si>
    <t>Misc positions</t>
  </si>
  <si>
    <t>Admin/Op's</t>
  </si>
  <si>
    <t>Those involved in Administration/Operations</t>
  </si>
  <si>
    <t>Anyone involved in womens ministry</t>
  </si>
  <si>
    <t>Anyone involved from baby's to 5th grade'ish</t>
  </si>
  <si>
    <t>Jr/Sr High</t>
  </si>
  <si>
    <t>Anyone involved in 6th to 12th grades</t>
  </si>
  <si>
    <t>Youth/College/Young Adults</t>
  </si>
  <si>
    <t>Anyone involved with College, Young Adult and Intern Programs</t>
  </si>
  <si>
    <t>Community/Groups</t>
  </si>
  <si>
    <t>Think Life/Small Groups</t>
  </si>
  <si>
    <t>Anyone directly involved with Worship Pastor/Leaders/Vocals/Instruments</t>
  </si>
  <si>
    <t>AVL Stage</t>
  </si>
  <si>
    <t>Think technical arts, audio/video/lighting/broadcasting</t>
  </si>
  <si>
    <t>Comm/Marketing/Creative</t>
  </si>
  <si>
    <t>Anyone involved with communications, marketing, promotions, creatives</t>
  </si>
  <si>
    <t>Anyone involved in mens ministry</t>
  </si>
  <si>
    <t>Outreach/Missions</t>
  </si>
  <si>
    <t>Think local/international missions like efforts</t>
  </si>
  <si>
    <t>Definitions of Social Media</t>
  </si>
  <si>
    <t>Email</t>
  </si>
  <si>
    <t>Simple amount of emails</t>
  </si>
  <si>
    <t>Accounts listed and qty of followers</t>
  </si>
  <si>
    <t>Twitter Talker</t>
  </si>
  <si>
    <t>Over 10k tweets per account</t>
  </si>
  <si>
    <t>Accounts listed and qty of friends</t>
  </si>
  <si>
    <t xml:space="preserve">Accounts listed </t>
  </si>
  <si>
    <t>Other Media (see below)</t>
  </si>
  <si>
    <t>Pinterest, Vimeo, Youtube, Google, etc</t>
  </si>
  <si>
    <t>Disclaimers</t>
  </si>
  <si>
    <t>Some churches have multiple people using the same account</t>
  </si>
  <si>
    <t>Some churches do not list their emails publically</t>
  </si>
  <si>
    <r>
      <t xml:space="preserve">Some staffers have "non church/commercial" accounts, which are </t>
    </r>
    <r>
      <rPr>
        <b/>
        <u/>
        <sz val="12"/>
        <color theme="1"/>
        <rFont val="Calibri (Body)"/>
      </rPr>
      <t>much higher value</t>
    </r>
  </si>
  <si>
    <t>Of course you will find more social media information when you search for them in the specific application</t>
  </si>
  <si>
    <t>English Speaking</t>
  </si>
  <si>
    <t>Multi Cultural Speaking</t>
  </si>
  <si>
    <t>Key information/legend at the bottom</t>
  </si>
  <si>
    <t>Size of Church</t>
  </si>
  <si>
    <t>Connected</t>
  </si>
  <si>
    <t>The way Foursquare reports</t>
  </si>
  <si>
    <t>Email #1</t>
  </si>
  <si>
    <t>Email #2</t>
  </si>
  <si>
    <t>Qty 11-20</t>
  </si>
  <si>
    <t>100-500</t>
  </si>
  <si>
    <t>500-1000</t>
  </si>
  <si>
    <t>1-3k</t>
  </si>
  <si>
    <t>list media</t>
  </si>
  <si>
    <t>Massachusetts</t>
  </si>
  <si>
    <t>Ohio</t>
  </si>
  <si>
    <t>The way Foursquare groups</t>
  </si>
  <si>
    <t>Alberta, Canada</t>
  </si>
  <si>
    <t>Manitoba, Canada</t>
  </si>
  <si>
    <t>New Brunswick, Canada</t>
  </si>
  <si>
    <t>Nova Scotia, Canada</t>
  </si>
  <si>
    <t>Ontario, Canada</t>
  </si>
  <si>
    <t>Saskatchewan, Canada</t>
  </si>
  <si>
    <t>Yukon, Canada</t>
  </si>
  <si>
    <t>CANADIAN TOTALS</t>
  </si>
  <si>
    <r>
      <t xml:space="preserve">This information comes </t>
    </r>
    <r>
      <rPr>
        <b/>
        <u/>
        <sz val="12"/>
        <color theme="1"/>
        <rFont val="Calibri (Body)"/>
      </rPr>
      <t>DIRECTLY</t>
    </r>
    <r>
      <rPr>
        <sz val="12"/>
        <color theme="1"/>
        <rFont val="Calibri (Body)"/>
      </rPr>
      <t xml:space="preserve"> off of church website</t>
    </r>
  </si>
  <si>
    <t>This information is cleaned/scrubbed update every 12-18 months</t>
  </si>
  <si>
    <t>Once the last state is cleaned, the next updates will be West Coast based (moving East)</t>
  </si>
  <si>
    <t>Means the HIGHEST ranked in column/category</t>
  </si>
  <si>
    <t>Means a higher percentage than average</t>
  </si>
  <si>
    <t>SBC Churches</t>
  </si>
  <si>
    <t>I have</t>
  </si>
  <si>
    <t>SBC has</t>
  </si>
  <si>
    <t>State Association</t>
  </si>
  <si>
    <t>record of</t>
  </si>
  <si>
    <t>Connecticut (New England)</t>
  </si>
  <si>
    <t>Baptist Convention of New England</t>
  </si>
  <si>
    <t>Delaware (w/Maryland)</t>
  </si>
  <si>
    <t>Baptist Convention of Maryland/Delaware</t>
  </si>
  <si>
    <t>Baptist Convention of Iowa</t>
  </si>
  <si>
    <t>Kansas (w/Nebraska)</t>
  </si>
  <si>
    <t>Kansas-Nebraska Convention of Southern Baptists</t>
  </si>
  <si>
    <t>Maine (New England)</t>
  </si>
  <si>
    <t>Mass (New England)</t>
  </si>
  <si>
    <t>Missouri Baptist Convention</t>
  </si>
  <si>
    <t>Nebraska (w/Kansas)</t>
  </si>
  <si>
    <t xml:space="preserve">New Hampshire (New England) </t>
  </si>
  <si>
    <t>North Dakota (w/South Dakota)</t>
  </si>
  <si>
    <t>Dakota Baptist Convention</t>
  </si>
  <si>
    <t>Rhode Island (New England)</t>
  </si>
  <si>
    <t>Vermont (New England)</t>
  </si>
  <si>
    <t>States above the green line are complete, scrubbed, clean</t>
  </si>
  <si>
    <t>Alabama Baptist State Board of Missions</t>
  </si>
  <si>
    <t>Alaska Baptist Resource Network</t>
  </si>
  <si>
    <t>Arizona Southern Baptist Convention</t>
  </si>
  <si>
    <t>Arkansas Baptist State Convention</t>
  </si>
  <si>
    <t>California Southern Baptist Convention</t>
  </si>
  <si>
    <t>Colorado Baptist General Convention</t>
  </si>
  <si>
    <t>Southern Baptist Convention of Virginia</t>
  </si>
  <si>
    <t>Florida Baptist Convention</t>
  </si>
  <si>
    <t>Georgia Baptist Mission Board</t>
  </si>
  <si>
    <t>Hawaii Pacific Baptist Convention</t>
  </si>
  <si>
    <t>Utah-Idaho Southern Baptist Convention</t>
  </si>
  <si>
    <t>Illinois Baptist State Association</t>
  </si>
  <si>
    <t>State Convention of Baptists in Indiana</t>
  </si>
  <si>
    <t>Kentucky Baptist Convention</t>
  </si>
  <si>
    <t>Louisiana Baptist Convention</t>
  </si>
  <si>
    <t>Baptist State Convention of Michigan</t>
  </si>
  <si>
    <t>Minnesota-Wisconsin Baptist Convention</t>
  </si>
  <si>
    <t>Mississippi Baptist Convention Board</t>
  </si>
  <si>
    <t>Montana Southern Baptist Convention</t>
  </si>
  <si>
    <t>Nevada Baptist Convention</t>
  </si>
  <si>
    <t>Baptist Convention of New York</t>
  </si>
  <si>
    <t>Baptist Convention of New Mexico</t>
  </si>
  <si>
    <t>Baptist State Convention of North Carolina</t>
  </si>
  <si>
    <t>State Convention of Baptists in Ohio</t>
  </si>
  <si>
    <t>Baptist General Convention of Oklahoma</t>
  </si>
  <si>
    <t>Northwest Baptist Convention</t>
  </si>
  <si>
    <t>Baptist Resource Network of Pennsylvania-South Jersey</t>
  </si>
  <si>
    <t>South Carolina Baptist Convention</t>
  </si>
  <si>
    <t>Tennessee Baptist Mission Board</t>
  </si>
  <si>
    <t>Southern Baptists of Texas Convention</t>
  </si>
  <si>
    <t>Baptist General Convention of Texas</t>
  </si>
  <si>
    <t>Baptist General Associaton of Virginia</t>
  </si>
  <si>
    <t>West Virginia Convention of Southern Baptists</t>
  </si>
  <si>
    <t>Wyoming Southern Baptist Mission Network</t>
  </si>
  <si>
    <t>Estimated</t>
  </si>
  <si>
    <t>by SBC</t>
  </si>
  <si>
    <r>
      <t xml:space="preserve">This information comes </t>
    </r>
    <r>
      <rPr>
        <b/>
        <u/>
        <sz val="12"/>
        <color theme="1"/>
        <rFont val="Calibri (Body)"/>
      </rPr>
      <t>DIRECTLY</t>
    </r>
    <r>
      <rPr>
        <sz val="12"/>
        <color theme="1"/>
        <rFont val="Calibri (Body)"/>
      </rPr>
      <t xml:space="preserve"> off of the church website</t>
    </r>
  </si>
  <si>
    <t>Other Information</t>
  </si>
  <si>
    <t>37.7% of pastors preach to 1-49</t>
  </si>
  <si>
    <t>close to 18,000 churches</t>
  </si>
  <si>
    <t>28.7% of pastors preach to 50-99</t>
  </si>
  <si>
    <t>close to 13,000 churches</t>
  </si>
  <si>
    <t>22.3% of pastors preach to 100-249</t>
  </si>
  <si>
    <t>close to 12,000 churches</t>
  </si>
  <si>
    <t>7.1% of pastors preach to 250-499</t>
  </si>
  <si>
    <t>close to 2,800 churches</t>
  </si>
  <si>
    <t>2.7% of pastors preach to 500-999</t>
  </si>
  <si>
    <t>close to 1,000 churches</t>
  </si>
  <si>
    <t>1.6% of pastors preach to 1,000+</t>
  </si>
  <si>
    <t>close to 490 churches</t>
  </si>
  <si>
    <t>Pinterest, Vimeo, Youtube, Google, Linkedin, etc</t>
  </si>
  <si>
    <t>Qty 20 +</t>
  </si>
  <si>
    <t>These names/contacts are from Mega/Multisite Churches only or other sources below like</t>
  </si>
  <si>
    <t>(Top 1,000 SBC Churches, largest UMC Churches, other denominational sources, etc)</t>
  </si>
  <si>
    <t>ECO Churches</t>
  </si>
  <si>
    <t>(John Ortberg was once apart of)</t>
  </si>
  <si>
    <t>Senior Leadership</t>
  </si>
  <si>
    <t>All Executive Team Members</t>
  </si>
  <si>
    <t>All Staff</t>
  </si>
  <si>
    <t>Larger Churches</t>
  </si>
  <si>
    <t>have more than 20 staffers</t>
  </si>
  <si>
    <t xml:space="preserve">Information is from </t>
  </si>
  <si>
    <t>September. 2019</t>
  </si>
  <si>
    <t>https://eco-pres.org</t>
  </si>
  <si>
    <t>5638 Hollister Ave. Suite 210, Goleta, CA 93117</t>
  </si>
  <si>
    <t>Synod Executive</t>
  </si>
  <si>
    <t>Assistant to the Synod Executive and Ministry Resource Coordinator</t>
  </si>
  <si>
    <t>robyn@eco-pres.org</t>
  </si>
  <si>
    <t>Ministry Resource &amp; Executive Coordinator</t>
  </si>
  <si>
    <t>Director of Global Engagement</t>
  </si>
  <si>
    <t>Executive Director of Leadership Formation</t>
  </si>
  <si>
    <t>President, Flourish Institute of Theology</t>
  </si>
  <si>
    <t>mark@flourishinstitute.online</t>
  </si>
  <si>
    <t>Ventura</t>
  </si>
  <si>
    <t>Coronado</t>
  </si>
  <si>
    <t>Santa Barbara</t>
  </si>
  <si>
    <t>Paso Robles</t>
  </si>
  <si>
    <t xml:space="preserve">Presbyteries/District/Network Offices </t>
  </si>
  <si>
    <t>Moderator</t>
  </si>
  <si>
    <t>alaskamod@ecopresbytery.org</t>
  </si>
  <si>
    <t>dana@eco-pres.org</t>
  </si>
  <si>
    <t>kim@eco-pres.org</t>
  </si>
  <si>
    <t>jen@eco-pres.org</t>
  </si>
  <si>
    <t>lisa@eco-pres.org</t>
  </si>
  <si>
    <t>Presbytery of Alaska</t>
  </si>
  <si>
    <t>bluewatermod@ecopresbytery.org</t>
  </si>
  <si>
    <t>Bluewater Presbytery</t>
  </si>
  <si>
    <t>cornerstonemod@ecopresbytery.org</t>
  </si>
  <si>
    <t>Cornerstone Presbytery</t>
  </si>
  <si>
    <t>eastcentralmod@ecopresbytery.org</t>
  </si>
  <si>
    <t>East Central Presbytery</t>
  </si>
  <si>
    <t>KY, WV, VA, MD</t>
  </si>
  <si>
    <t>NY NE Pennsylvania</t>
  </si>
  <si>
    <t>Nor Cal and HI</t>
  </si>
  <si>
    <t>floridamod@ecopresbytery.org</t>
  </si>
  <si>
    <t>Presbytery of Florida</t>
  </si>
  <si>
    <t>greatlakesmod@ecopresbytery.org</t>
  </si>
  <si>
    <t>Great Lakes Presbytery</t>
  </si>
  <si>
    <t>MI, OH</t>
  </si>
  <si>
    <t>IL, IN, WI</t>
  </si>
  <si>
    <t>harvestmod@ecopresbytery.org</t>
  </si>
  <si>
    <t>Presbytery of the Harvest</t>
  </si>
  <si>
    <t>Heritage Presbytery</t>
  </si>
  <si>
    <t>DE, NJ, SE Pennsylvania</t>
  </si>
  <si>
    <t>heritagemod@ecopresbytery.org</t>
  </si>
  <si>
    <t>hopemod@ecopresbytery.org</t>
  </si>
  <si>
    <t>Presbytery of Hope</t>
  </si>
  <si>
    <t>Presbytery of Mid-America</t>
  </si>
  <si>
    <t>KS, MO, OK, AR</t>
  </si>
  <si>
    <t>midamericamod@ecopresbytery.org</t>
  </si>
  <si>
    <t>Mission Presbytery</t>
  </si>
  <si>
    <t>missionmod@ecopresbytery.org</t>
  </si>
  <si>
    <t>CA Counties-SLO, Santa Barbara, Ventura, Kern and NW LA County</t>
  </si>
  <si>
    <t>northcarolinamod@ecopresbytery.org</t>
  </si>
  <si>
    <t>North Carolina Presbytery</t>
  </si>
  <si>
    <t>NYC Area (including northern NJ) to ME along NE Coast, VT</t>
  </si>
  <si>
    <t>northeastcoastmod@ecopresbytery.org</t>
  </si>
  <si>
    <t>Northeast Coast Presbytery</t>
  </si>
  <si>
    <t>Presbytery of No Cal and NV</t>
  </si>
  <si>
    <t>Northern CA and West NV</t>
  </si>
  <si>
    <t>northerncaliforniamod@ecopresbytery.org</t>
  </si>
  <si>
    <t>Presbytery of the Northwest</t>
  </si>
  <si>
    <t>WA, OR</t>
  </si>
  <si>
    <t>northwestmod@ecopresbytery.org</t>
  </si>
  <si>
    <t>Presbytery of the Rivers of Life</t>
  </si>
  <si>
    <t>Western PA</t>
  </si>
  <si>
    <t>riversoflifemod@ecopresbytery.org</t>
  </si>
  <si>
    <t>TN, MS, AL, GA</t>
  </si>
  <si>
    <t>southmod@ecopresbytery.org</t>
  </si>
  <si>
    <t>Presbytery of the South</t>
  </si>
  <si>
    <t>Presbytery of the South Carolina</t>
  </si>
  <si>
    <t>southcarolinamod@ecopresbytery.org</t>
  </si>
  <si>
    <t>Southern CA</t>
  </si>
  <si>
    <t>southerncaliforniamod@ecopresbytery.org</t>
  </si>
  <si>
    <t>Betsy</t>
  </si>
  <si>
    <t>Presbytery of the Southern California</t>
  </si>
  <si>
    <t>Presbytery of Texas</t>
  </si>
  <si>
    <t>texasmod@ecopresbytery.org</t>
  </si>
  <si>
    <t>ND, SD, MN, NE, IA</t>
  </si>
  <si>
    <t>Presbytery of Upper Midwest</t>
  </si>
  <si>
    <t>uppermidwestmod@ecopresbytery.org</t>
  </si>
  <si>
    <t>ID, MT, WY, NV, UT, CO, NM</t>
  </si>
  <si>
    <t>Presbytery of the West</t>
  </si>
  <si>
    <t>westmod@ecopresbytery.org</t>
  </si>
  <si>
    <t>https://www.econationalgathering.org</t>
  </si>
  <si>
    <t>Newport Beach, CA</t>
  </si>
  <si>
    <t>Jan 30-Feb 1, 2023</t>
  </si>
  <si>
    <t>Justin</t>
  </si>
  <si>
    <t>Lewis</t>
  </si>
  <si>
    <t>Straeter</t>
  </si>
  <si>
    <t>Ward</t>
  </si>
  <si>
    <t>Freehling</t>
  </si>
  <si>
    <t>Congregations</t>
  </si>
  <si>
    <t>805-319-4044</t>
  </si>
  <si>
    <t>805-232-5737</t>
  </si>
  <si>
    <t>805-914-5511</t>
  </si>
  <si>
    <t>724-278-3887</t>
  </si>
  <si>
    <t>805-586-3175</t>
  </si>
  <si>
    <t>805-947-3328</t>
  </si>
  <si>
    <t>Jackie</t>
  </si>
  <si>
    <t>Laurie</t>
  </si>
  <si>
    <t>Tom</t>
  </si>
  <si>
    <t>Israel</t>
  </si>
  <si>
    <t>Mike</t>
  </si>
  <si>
    <t>Valerie</t>
  </si>
  <si>
    <t>Mandeville</t>
  </si>
  <si>
    <t>Palmbush</t>
  </si>
  <si>
    <t>Wood</t>
  </si>
  <si>
    <t>Daniel</t>
  </si>
  <si>
    <t>Carter</t>
  </si>
  <si>
    <t>Kershaw</t>
  </si>
  <si>
    <t>Sherrill</t>
  </si>
  <si>
    <t>Styer</t>
  </si>
  <si>
    <t>Hobson</t>
  </si>
  <si>
    <t>Gonzalez</t>
  </si>
  <si>
    <t>Horne</t>
  </si>
  <si>
    <t>Gestal</t>
  </si>
  <si>
    <t>Robbins</t>
  </si>
  <si>
    <t>Skiffington</t>
  </si>
  <si>
    <t>Yoder</t>
  </si>
  <si>
    <t>Mote</t>
  </si>
  <si>
    <t>Allin</t>
  </si>
  <si>
    <t>Haddox</t>
  </si>
  <si>
    <t>Dana</t>
  </si>
  <si>
    <t>Robyn</t>
  </si>
  <si>
    <t>Kim</t>
  </si>
  <si>
    <t>Jen</t>
  </si>
  <si>
    <t>Lisa</t>
  </si>
  <si>
    <t>Kaitlyn</t>
  </si>
  <si>
    <t>Executive DirectorsARC Founder</t>
  </si>
  <si>
    <t>Seacoast Church</t>
  </si>
  <si>
    <t>ARC Founder</t>
  </si>
  <si>
    <t>New Life Church</t>
  </si>
  <si>
    <t>Church of the Highlands</t>
  </si>
  <si>
    <t>Fellowship Church</t>
  </si>
  <si>
    <t>Bayside Community Church</t>
  </si>
  <si>
    <t>Equip &amp; Empower Ministries</t>
  </si>
  <si>
    <t>Celebration Church</t>
  </si>
  <si>
    <t>Lifepoint Church</t>
  </si>
  <si>
    <t>Rock City Church</t>
  </si>
  <si>
    <t>People's Church</t>
  </si>
  <si>
    <t>Union Church</t>
  </si>
  <si>
    <t>C3 Church</t>
  </si>
  <si>
    <t>Substance Church</t>
  </si>
  <si>
    <t>Next Level Church</t>
  </si>
  <si>
    <t>River Valley Church</t>
  </si>
  <si>
    <t>Destiny Church</t>
  </si>
  <si>
    <t>The Rock Church</t>
  </si>
  <si>
    <t>Christ Fellowship</t>
  </si>
  <si>
    <t>Church of the Redeemer</t>
  </si>
  <si>
    <t>The Father's House</t>
  </si>
  <si>
    <t>The Church LV</t>
  </si>
  <si>
    <t>The Life Church</t>
  </si>
  <si>
    <t>Oasis Church</t>
  </si>
  <si>
    <t>Christian Faith</t>
  </si>
  <si>
    <t>1201 Lee Branch Lane</t>
  </si>
  <si>
    <t>Birmingham</t>
  </si>
  <si>
    <t>Bezet</t>
  </si>
  <si>
    <t>Matt</t>
  </si>
  <si>
    <t>Joe</t>
  </si>
  <si>
    <t>Casey</t>
  </si>
  <si>
    <t>Dale</t>
  </si>
  <si>
    <t>Obed</t>
  </si>
  <si>
    <t>Dino</t>
  </si>
  <si>
    <t>Shaun</t>
  </si>
  <si>
    <t>Philip</t>
  </si>
  <si>
    <t>Herbert</t>
  </si>
  <si>
    <t>Chad</t>
  </si>
  <si>
    <t>Greg</t>
  </si>
  <si>
    <t>Peter</t>
  </si>
  <si>
    <t>Benny</t>
  </si>
  <si>
    <t>Miles</t>
  </si>
  <si>
    <t>Fry</t>
  </si>
  <si>
    <t>Champion</t>
  </si>
  <si>
    <t>Mullins</t>
  </si>
  <si>
    <t>Treat</t>
  </si>
  <si>
    <t>Hodges</t>
  </si>
  <si>
    <t>O'Shields</t>
  </si>
  <si>
    <t>Martinez</t>
  </si>
  <si>
    <t>Caine</t>
  </si>
  <si>
    <t>Rizzo</t>
  </si>
  <si>
    <t>Hornsby</t>
  </si>
  <si>
    <t>Nepstad</t>
  </si>
  <si>
    <t>Floyd</t>
  </si>
  <si>
    <t>Keller</t>
  </si>
  <si>
    <t>Wagner</t>
  </si>
  <si>
    <t>Cooper</t>
  </si>
  <si>
    <t>Ketterling</t>
  </si>
  <si>
    <t>Surratt</t>
  </si>
  <si>
    <t>Haas</t>
  </si>
  <si>
    <t>Perez</t>
  </si>
  <si>
    <t>Siebeling</t>
  </si>
  <si>
    <t>McPherson</t>
  </si>
  <si>
    <t>Chandler</t>
  </si>
  <si>
    <t>San Diego</t>
  </si>
  <si>
    <t>Federal Way</t>
  </si>
  <si>
    <t>Indio</t>
  </si>
  <si>
    <t>Los Angeles</t>
  </si>
  <si>
    <t>Las Vegas</t>
  </si>
  <si>
    <t>Vacaville</t>
  </si>
  <si>
    <t>Memphis</t>
  </si>
  <si>
    <t>https://www.mybayside.church</t>
  </si>
  <si>
    <t>10 locations</t>
  </si>
  <si>
    <t>https://www.c3church.com</t>
  </si>
  <si>
    <t>https://www.celebration.church</t>
  </si>
  <si>
    <t>2 locations</t>
  </si>
  <si>
    <t>1 location</t>
  </si>
  <si>
    <t>https://www.christfellowship.church</t>
  </si>
  <si>
    <t>12 locations</t>
  </si>
  <si>
    <t>https://christianfaith.us</t>
  </si>
  <si>
    <t>https://www.churchofthehighlands.com</t>
  </si>
  <si>
    <t>23 locations</t>
  </si>
  <si>
    <t>https://church-redeemer.org</t>
  </si>
  <si>
    <t>https://www.destiny.online</t>
  </si>
  <si>
    <t>3 locations</t>
  </si>
  <si>
    <t>https://fczachary.com</t>
  </si>
  <si>
    <t>https://www.tfcpeople.com</t>
  </si>
  <si>
    <t>N/A</t>
  </si>
  <si>
    <t>https://lifepoint.org</t>
  </si>
  <si>
    <t>5 locations</t>
  </si>
  <si>
    <t>https://www.newlifechurch.tv</t>
  </si>
  <si>
    <t>17 locations</t>
  </si>
  <si>
    <t>https://nextlevelchurch.com</t>
  </si>
  <si>
    <t>4 locations</t>
  </si>
  <si>
    <t>https://www.oasisla.org</t>
  </si>
  <si>
    <t>818-287-8055</t>
  </si>
  <si>
    <t>https://peoples.church</t>
  </si>
  <si>
    <t>6 locations</t>
  </si>
  <si>
    <t>https://rivervalley.org</t>
  </si>
  <si>
    <t>11 locations</t>
  </si>
  <si>
    <t>https://www.seacoast.org</t>
  </si>
  <si>
    <t>14 locations</t>
  </si>
  <si>
    <t>https://substancechurch.com</t>
  </si>
  <si>
    <t>https://churchlv.com</t>
  </si>
  <si>
    <t>https://tfh.org</t>
  </si>
  <si>
    <t>https://thelifechurch.com</t>
  </si>
  <si>
    <t>https://www.sdrock.com</t>
  </si>
  <si>
    <t>https://theunionchurch.com</t>
  </si>
  <si>
    <t>Amy</t>
  </si>
  <si>
    <t>Martha</t>
  </si>
  <si>
    <t>Lori</t>
  </si>
  <si>
    <t>Julie</t>
  </si>
  <si>
    <t>Wendy</t>
  </si>
  <si>
    <t>Tammy</t>
  </si>
  <si>
    <t>Lissette</t>
  </si>
  <si>
    <t>Christine</t>
  </si>
  <si>
    <t>Delynn</t>
  </si>
  <si>
    <t>Merriann</t>
  </si>
  <si>
    <t>Dianna</t>
  </si>
  <si>
    <t>Tammie</t>
  </si>
  <si>
    <t>Michelle</t>
  </si>
  <si>
    <t>Sarah</t>
  </si>
  <si>
    <t>Holly</t>
  </si>
  <si>
    <t>Tiffany</t>
  </si>
  <si>
    <t>Becca</t>
  </si>
  <si>
    <t>Katie</t>
  </si>
  <si>
    <t>Debbie</t>
  </si>
  <si>
    <t>Carolyn</t>
  </si>
  <si>
    <t>Donna</t>
  </si>
  <si>
    <t>Leslie</t>
  </si>
  <si>
    <t>Zai</t>
  </si>
  <si>
    <t>Bradenton</t>
  </si>
  <si>
    <t>15800 Florida 64</t>
  </si>
  <si>
    <t>Clayton</t>
  </si>
  <si>
    <t>Palm Beach Gardens</t>
  </si>
  <si>
    <t>Gaithersburg</t>
  </si>
  <si>
    <t>Antioch</t>
  </si>
  <si>
    <t>Fredericksburg</t>
  </si>
  <si>
    <t>Conway</t>
  </si>
  <si>
    <t>Fort Myers</t>
  </si>
  <si>
    <t>Hillard</t>
  </si>
  <si>
    <t>Santa Ana</t>
  </si>
  <si>
    <t>Zachary</t>
  </si>
  <si>
    <t>Burnsville</t>
  </si>
  <si>
    <t>Mount Pleasant</t>
  </si>
  <si>
    <t>Spring Lake Park</t>
  </si>
  <si>
    <t>Glen Burnie</t>
  </si>
  <si>
    <t>8246 Cleveland Road</t>
  </si>
  <si>
    <t>601 Westinghouse Road</t>
  </si>
  <si>
    <t>5343 Northlake Blvd</t>
  </si>
  <si>
    <t>33645 20th Ave S</t>
  </si>
  <si>
    <t>4700 Highlands Way</t>
  </si>
  <si>
    <t>19425 Woodfield Road</t>
  </si>
  <si>
    <t>80250 Hwy 111 #A</t>
  </si>
  <si>
    <t>2781 W Macarthur Blvd #B605 </t>
  </si>
  <si>
    <t>1555 Mount Pleasant</t>
  </si>
  <si>
    <t>4873 Lone Tree Way</t>
  </si>
  <si>
    <t>1400 Central Park Blvd</t>
  </si>
  <si>
    <t>633 S Country Club Road</t>
  </si>
  <si>
    <t>12400 Plantation Road</t>
  </si>
  <si>
    <t>634 S Normandie Avenue</t>
  </si>
  <si>
    <t>800 East Britton Road</t>
  </si>
  <si>
    <t>12345 Portland Avenue</t>
  </si>
  <si>
    <t>4311 Anson Drive</t>
  </si>
  <si>
    <t>713 Long Point Road</t>
  </si>
  <si>
    <t>8299 Central Avenue NE</t>
  </si>
  <si>
    <t>3760 E Sunset Road</t>
  </si>
  <si>
    <t>4800 Horse Creek Drive</t>
  </si>
  <si>
    <t>650 Houston Hill Road</t>
  </si>
  <si>
    <t>2277 Rosencrans Street</t>
  </si>
  <si>
    <t>681 Hollins Ferry Road</t>
  </si>
  <si>
    <t>952-255-8800</t>
  </si>
  <si>
    <t>614-859-9064</t>
  </si>
  <si>
    <t>702-361-1579</t>
  </si>
  <si>
    <t>707-455-7790</t>
  </si>
  <si>
    <t>901-751-0095</t>
  </si>
  <si>
    <t>410-672-4260</t>
  </si>
  <si>
    <t>Total Churches</t>
  </si>
  <si>
    <t xml:space="preserve">Based in Santa Barbara but decentralized </t>
  </si>
  <si>
    <t>ALL Foursquare Churches</t>
  </si>
  <si>
    <t>ALL Southern Baptist Churches</t>
  </si>
  <si>
    <t>CURRENT TOTALS</t>
  </si>
  <si>
    <t>Christian Missionary Alliance Churches</t>
  </si>
  <si>
    <t>Nazarene Churches</t>
  </si>
  <si>
    <t>sharon@vineyardchurch.us</t>
  </si>
  <si>
    <t>paul@dtvchurch.org</t>
  </si>
  <si>
    <t>phil@njvine.com</t>
  </si>
  <si>
    <t>danyandletty@comcast.net</t>
  </si>
  <si>
    <t>marshal@vancouvervineyard.com</t>
  </si>
  <si>
    <t>van@vcnw.org</t>
  </si>
  <si>
    <t>laurie@vcnw.org</t>
  </si>
  <si>
    <t>joel.seymour@vineyardusa.org</t>
  </si>
  <si>
    <t>msafford@tehachapivineyard.org</t>
  </si>
  <si>
    <t>mike.yoder@tvc.us </t>
  </si>
  <si>
    <t>julie.yoder@tvc.us</t>
  </si>
  <si>
    <t>brenda.gatlin@vineyardusa.org</t>
  </si>
  <si>
    <t>john.elmer@vineyardusa.org </t>
  </si>
  <si>
    <t>Super Regional Leader</t>
  </si>
  <si>
    <t>Brenda</t>
  </si>
  <si>
    <t>Gatlin</t>
  </si>
  <si>
    <t>Midwest North, Northwest and Mountain Regions</t>
  </si>
  <si>
    <t>Phil</t>
  </si>
  <si>
    <t>Chorlian</t>
  </si>
  <si>
    <t>Eastern Region</t>
  </si>
  <si>
    <t>Van</t>
  </si>
  <si>
    <t>Cochrane</t>
  </si>
  <si>
    <t>Great Lakes Region</t>
  </si>
  <si>
    <t>Gulf Coast, Great Lakes, and Central Regions</t>
  </si>
  <si>
    <t>Elmer</t>
  </si>
  <si>
    <t>East, Southeast, and Southern California Regions</t>
  </si>
  <si>
    <t xml:space="preserve">Julie </t>
  </si>
  <si>
    <t>Midwest Central Region</t>
  </si>
  <si>
    <t>Danny</t>
  </si>
  <si>
    <t>Mercado</t>
  </si>
  <si>
    <t>Letty</t>
  </si>
  <si>
    <t>Midwest North Region</t>
  </si>
  <si>
    <t>Watson</t>
  </si>
  <si>
    <t>Mountain Region</t>
  </si>
  <si>
    <t>Marshal</t>
  </si>
  <si>
    <t>Safford</t>
  </si>
  <si>
    <t>Northwest Region</t>
  </si>
  <si>
    <t>Saffors</t>
  </si>
  <si>
    <t>SoCal Region</t>
  </si>
  <si>
    <t>Sharon</t>
  </si>
  <si>
    <t>McCarter</t>
  </si>
  <si>
    <t>Southeast Region</t>
  </si>
  <si>
    <t xml:space="preserve">Regional Leader Coach | </t>
  </si>
  <si>
    <t>Glendale</t>
  </si>
  <si>
    <t>Vice President Vineyard Church of North Phoenix</t>
  </si>
  <si>
    <t>Maryville</t>
  </si>
  <si>
    <t>Campbellsville</t>
  </si>
  <si>
    <t xml:space="preserve">Vineyard Church Maryville </t>
  </si>
  <si>
    <t>VCF Campbellsville</t>
  </si>
  <si>
    <t>Trinity Vineyard Church</t>
  </si>
  <si>
    <t xml:space="preserve">Treasurer (non-voting member)  </t>
  </si>
  <si>
    <t xml:space="preserve">Secretary (non-voting member) </t>
  </si>
  <si>
    <t>Flossmoor</t>
  </si>
  <si>
    <t>Arvada</t>
  </si>
  <si>
    <t>New Haven</t>
  </si>
  <si>
    <t>CT</t>
  </si>
  <si>
    <t>Glendora</t>
  </si>
  <si>
    <t xml:space="preserve">The South Suburban Vineyard </t>
  </si>
  <si>
    <t xml:space="preserve">Elm City Vineyard Church </t>
  </si>
  <si>
    <t xml:space="preserve">Vineyard Church </t>
  </si>
  <si>
    <t xml:space="preserve">The Vineyard Church </t>
  </si>
  <si>
    <t xml:space="preserve">North Jersey Vineyard Church </t>
  </si>
  <si>
    <t>South Hackensack</t>
  </si>
  <si>
    <t>Cincinnati</t>
  </si>
  <si>
    <t>Urbana</t>
  </si>
  <si>
    <t>Gurnee</t>
  </si>
  <si>
    <t>Grand Junction</t>
  </si>
  <si>
    <t>Lancaster</t>
  </si>
  <si>
    <t>North Jersey Vineyard Church</t>
  </si>
  <si>
    <t>Vineyard Church Northwest</t>
  </si>
  <si>
    <t>The Vineyard Church of Central Illinois</t>
  </si>
  <si>
    <t>La Viña Gurnee</t>
  </si>
  <si>
    <t>Downtown Vineyard Church</t>
  </si>
  <si>
    <t>Vancouver Vineyard Church</t>
  </si>
  <si>
    <t>Tehachapi Vineyard</t>
  </si>
  <si>
    <t>Vineyard Church</t>
  </si>
  <si>
    <t>National Director-Elect</t>
  </si>
  <si>
    <t xml:space="preserve">Mile High Vineyard </t>
  </si>
  <si>
    <t>Vineyard Justice Network</t>
  </si>
  <si>
    <t xml:space="preserve">East Denver Vineyard </t>
  </si>
  <si>
    <t>Danielle</t>
  </si>
  <si>
    <t>Pathak</t>
  </si>
  <si>
    <t>Aaron</t>
  </si>
  <si>
    <t>Adam</t>
  </si>
  <si>
    <t>Bubba</t>
  </si>
  <si>
    <t>Christian</t>
  </si>
  <si>
    <t>Geno</t>
  </si>
  <si>
    <t>Jay</t>
  </si>
  <si>
    <t>Josh</t>
  </si>
  <si>
    <t>Kathy</t>
  </si>
  <si>
    <t>Seymour</t>
  </si>
  <si>
    <t>Russell</t>
  </si>
  <si>
    <t>Anderson</t>
  </si>
  <si>
    <t>Justice</t>
  </si>
  <si>
    <t>Weber</t>
  </si>
  <si>
    <t>Olison</t>
  </si>
  <si>
    <t>Maskell</t>
  </si>
  <si>
    <t>Fields</t>
  </si>
  <si>
    <t>LEAD TEAM</t>
  </si>
  <si>
    <t>president@covchurch.org</t>
  </si>
  <si>
    <t>Chief Ministry Officer</t>
  </si>
  <si>
    <t>angela.yee@covchurch.org</t>
  </si>
  <si>
    <t>paul.robinson@covchurch.org</t>
  </si>
  <si>
    <t>paul.lessard@covchurch.org</t>
  </si>
  <si>
    <t>michelle.sanchez@covchurch.org</t>
  </si>
  <si>
    <t>grace.shim@covchurch.org</t>
  </si>
  <si>
    <t>Canada</t>
  </si>
  <si>
    <t>https://www.alaskacovenant.org</t>
  </si>
  <si>
    <t>https://www.covchurch.ca</t>
  </si>
  <si>
    <t>President/Superintendent</t>
  </si>
  <si>
    <t>glenn@covchurch.ca</t>
  </si>
  <si>
    <t>https://centralconf.org</t>
  </si>
  <si>
    <t>dmartinez@centralconf.org</t>
  </si>
  <si>
    <t xml:space="preserve">MO, IL, IN, WI, MI, </t>
  </si>
  <si>
    <t>https://eastcoastconf.org</t>
  </si>
  <si>
    <t>52 Missionary Road</t>
  </si>
  <si>
    <t>howard@eastcoastconf.org</t>
  </si>
  <si>
    <t>ME, VT, NH, MA, RI, NY, CT, NJ, MD, VA, PA</t>
  </si>
  <si>
    <t>https://greatlakes.cc</t>
  </si>
  <si>
    <t>248-821-6956</t>
  </si>
  <si>
    <t>garth@greatlakes.cc</t>
  </si>
  <si>
    <t>KY, NY, MI, PA, OH, TN, VA, WV</t>
  </si>
  <si>
    <t>http://www.midsouthcov.org</t>
  </si>
  <si>
    <t>OK, TX, AR, LA, NM</t>
  </si>
  <si>
    <t>https://www.midwestcovenant.org</t>
  </si>
  <si>
    <t>Acting Superintendent</t>
  </si>
  <si>
    <t>CO, IA, KS, MO, NE</t>
  </si>
  <si>
    <t>https://www.northwestconference.org</t>
  </si>
  <si>
    <t>WI, IA, MN, ND, SD</t>
  </si>
  <si>
    <t>http://pacnwc.org</t>
  </si>
  <si>
    <t>greg@pacnwc.org</t>
  </si>
  <si>
    <t>9311 SE 36th Street #108</t>
  </si>
  <si>
    <t>WA, OR, ID, MT</t>
  </si>
  <si>
    <t>https://pswc.org</t>
  </si>
  <si>
    <t>Bryan.Murphy@pswc.org</t>
  </si>
  <si>
    <t>CA, AZ, NV, HI</t>
  </si>
  <si>
    <t>http://southeastconf.org</t>
  </si>
  <si>
    <t>secbt18@gmail.com</t>
  </si>
  <si>
    <t>AL, FL, GA, MS, NC</t>
  </si>
  <si>
    <t>Swanson-Draheim</t>
  </si>
  <si>
    <t>Angela</t>
  </si>
  <si>
    <t>Yee</t>
  </si>
  <si>
    <t>Robinson</t>
  </si>
  <si>
    <t>Lessard</t>
  </si>
  <si>
    <t>Sanchez</t>
  </si>
  <si>
    <t>Grace</t>
  </si>
  <si>
    <t>Shim</t>
  </si>
  <si>
    <t>Curtis</t>
  </si>
  <si>
    <t>Ivanoff</t>
  </si>
  <si>
    <t>Peterson</t>
  </si>
  <si>
    <t>Howard</t>
  </si>
  <si>
    <t>Burgoyne</t>
  </si>
  <si>
    <t>Garth</t>
  </si>
  <si>
    <t>McGrath</t>
  </si>
  <si>
    <t>Kara</t>
  </si>
  <si>
    <t>Stromberg</t>
  </si>
  <si>
    <t>Bryan</t>
  </si>
  <si>
    <t>Murphy</t>
  </si>
  <si>
    <t>Catherine</t>
  </si>
  <si>
    <t>Gilliard</t>
  </si>
  <si>
    <t>Alaska Region</t>
  </si>
  <si>
    <t>Canada Region</t>
  </si>
  <si>
    <t>Central Region</t>
  </si>
  <si>
    <t>East Coast Region</t>
  </si>
  <si>
    <t>Midsouth Region</t>
  </si>
  <si>
    <t>Midwest Region</t>
  </si>
  <si>
    <t>Pacific Northwest Region</t>
  </si>
  <si>
    <t>Pacific Southwest Region</t>
  </si>
  <si>
    <t>Southeast Region</t>
  </si>
  <si>
    <t>AB</t>
  </si>
  <si>
    <t>T1P 1K2</t>
  </si>
  <si>
    <t>Chicago</t>
  </si>
  <si>
    <t>Cromwell</t>
  </si>
  <si>
    <t>248-595-8098</t>
  </si>
  <si>
    <t>Southfield</t>
  </si>
  <si>
    <t>Rogers</t>
  </si>
  <si>
    <t>Omaha</t>
  </si>
  <si>
    <t>Mercer Island</t>
  </si>
  <si>
    <t>Walnut Creek</t>
  </si>
  <si>
    <t>Atlanta</t>
  </si>
  <si>
    <t>Strathmore</t>
  </si>
  <si>
    <t>228 W 11th Avenue</t>
  </si>
  <si>
    <t>PO Box 2247</t>
  </si>
  <si>
    <t>4055 West Peterson Avenue #106</t>
  </si>
  <si>
    <t xml:space="preserve">21840 West Nine Mile Road </t>
  </si>
  <si>
    <t>1200 W. Walnut Street #2305</t>
  </si>
  <si>
    <t>17310 Wright Street #101</t>
  </si>
  <si>
    <t>3106 47th Avenue South</t>
  </si>
  <si>
    <t>PO Box 127</t>
  </si>
  <si>
    <t>2897 North Druid Hills Road NE #223</t>
  </si>
  <si>
    <t>907-222-6348</t>
  </si>
  <si>
    <t>403-324-9552</t>
  </si>
  <si>
    <t>860-635-2691</t>
  </si>
  <si>
    <t>402-334-3020</t>
  </si>
  <si>
    <t>612-721-4893</t>
  </si>
  <si>
    <t>206-275-3903</t>
  </si>
  <si>
    <t>925-677-2140</t>
  </si>
  <si>
    <t>404-768-2514</t>
  </si>
  <si>
    <t>curtis@alaskacovenant.org</t>
  </si>
  <si>
    <t>Executive Minister of Love Mercy Do Justice</t>
  </si>
  <si>
    <t>Executive Minister of Start &amp; Strengthen Churches</t>
  </si>
  <si>
    <t>Executive Minister of Make &amp; Deepen Disciples</t>
  </si>
  <si>
    <t>Executive Minister of Serve Globally</t>
  </si>
  <si>
    <t>773-784-3000</t>
  </si>
  <si>
    <t>8303 West Higgins Road</t>
  </si>
  <si>
    <t>Allegheny District</t>
  </si>
  <si>
    <t>Eastern Ohio, western Maryland, western New York, western Pennsylvania, and West Virginia</t>
  </si>
  <si>
    <t>allegheny.districts.efca.org</t>
  </si>
  <si>
    <t>Arkansas, Iowa, Missouri, and southeastern South Dakota</t>
  </si>
  <si>
    <t>efcacentral.org</t>
  </si>
  <si>
    <t>EFCA East</t>
  </si>
  <si>
    <t>Delaware, eastern Maryland, New Jersey, eastern New York including greater New York City, eastern Pennsylvania, and Virginia including Washington, DC</t>
  </si>
  <si>
    <t>efcaeast.com</t>
  </si>
  <si>
    <t>EFCA Southeast</t>
  </si>
  <si>
    <t>Alabama, Florida, Georgia, Kentucky, Louisiana, Mississippi, North Carolina, South Carolina and Tennessee</t>
  </si>
  <si>
    <t>efca-southeast.districts.efca.org</t>
  </si>
  <si>
    <t>EFCA Texas-Oklahoma District</t>
  </si>
  <si>
    <t>Texas (except El Paso) and Oklahoma</t>
  </si>
  <si>
    <t>efcatxok.org</t>
  </si>
  <si>
    <t>EFCA West</t>
  </si>
  <si>
    <t>Arizona; central and southern California; central and southern Idaho; southern Nevada; New Mexico; El Paso, Texas; and Utah</t>
  </si>
  <si>
    <t>efcawest.efcadistrict.org</t>
  </si>
  <si>
    <t>Forest Lakes District</t>
  </si>
  <si>
    <t>Western two-thirds of Upper Michigan, Wisconsin</t>
  </si>
  <si>
    <t>forestlakes-efca.org</t>
  </si>
  <si>
    <t>Great Lakes District</t>
  </si>
  <si>
    <t>Florence, Kentucky, Illinois, Indiana, Michigan's Lower Peninsula and Eastern Upper, Western Ohio</t>
  </si>
  <si>
    <t>gld-efca.org</t>
  </si>
  <si>
    <t>Hawaii District</t>
  </si>
  <si>
    <t>Inland Mountain Region</t>
  </si>
  <si>
    <t>Northern Idaho, central and western Montana and eastern Washington</t>
  </si>
  <si>
    <t>inland-mountain-region.districts.efca.org</t>
  </si>
  <si>
    <t>Midwest District</t>
  </si>
  <si>
    <t>Kansas, metropolitan area of Kansas City, Missouri and Nebraska</t>
  </si>
  <si>
    <t>efcamidwest.org</t>
  </si>
  <si>
    <t>New England District</t>
  </si>
  <si>
    <t>Connecticut, Maine, Massachusetts, New Hampshire, northeast New York, Rhode Island and Vermont</t>
  </si>
  <si>
    <t>efcneda.org</t>
  </si>
  <si>
    <t>North Central District</t>
  </si>
  <si>
    <t>Minnesota (except Ada, Moorhead, Newfolden, and Wolverton)</t>
  </si>
  <si>
    <t>ncdefca.org</t>
  </si>
  <si>
    <t>Northern Plains District</t>
  </si>
  <si>
    <t>North Dakota, northwestern Minnesota, eastern Montana, and northern South Dakota</t>
  </si>
  <si>
    <t>npdefca.com</t>
  </si>
  <si>
    <t>Pacific Northwest District</t>
  </si>
  <si>
    <t>Alaska, Oregon, and western Washington</t>
  </si>
  <si>
    <t>efcapnw.org</t>
  </si>
  <si>
    <t>Rocky Mountain District</t>
  </si>
  <si>
    <t>Colorado, southwestern South Dakota, and Wyoming</t>
  </si>
  <si>
    <t>rockymountaindistrict.org</t>
  </si>
  <si>
    <t>Western District</t>
  </si>
  <si>
    <t>Northern California and northern Nevada</t>
  </si>
  <si>
    <t>westerndistrict.org</t>
  </si>
  <si>
    <t>churches</t>
  </si>
  <si>
    <t>Superintendent </t>
  </si>
  <si>
    <t>District Co-Superintendent</t>
  </si>
  <si>
    <t>brent@efcatxok.org</t>
  </si>
  <si>
    <t>17424 W Grand Pkwy S #228</t>
  </si>
  <si>
    <t>jpayne@forestlakes-efca.org</t>
  </si>
  <si>
    <t>gld@gld-efca.org  </t>
  </si>
  <si>
    <t>574-299-9711</t>
  </si>
  <si>
    <t>4 regions</t>
  </si>
  <si>
    <t>matt@harborhawaii.org</t>
  </si>
  <si>
    <t>423 Kamakee Street</t>
  </si>
  <si>
    <t>PO Box 685</t>
  </si>
  <si>
    <t>509-255-7646</t>
  </si>
  <si>
    <t>mwd@efcamidwest.org</t>
  </si>
  <si>
    <t>npdefca.ds@gmail.com</t>
  </si>
  <si>
    <t>District Supertindent</t>
  </si>
  <si>
    <t>8089 Sandsmere Drive</t>
  </si>
  <si>
    <t>719-453-8369</t>
  </si>
  <si>
    <t>Associate District Superintendent</t>
  </si>
  <si>
    <t>EFCA Says they have 1,600 churches</t>
  </si>
  <si>
    <t>kerry.doyal@efca.org</t>
  </si>
  <si>
    <t>mshields@efcacentral.org</t>
  </si>
  <si>
    <t>glen.schrieber@efca.org</t>
  </si>
  <si>
    <t>tim.jacobs@efca.org</t>
  </si>
  <si>
    <t>rivoaks@gmail.com</t>
  </si>
  <si>
    <t>matthewstanleymoore@gmail.com</t>
  </si>
  <si>
    <t>13245 Atlantic Blvd., 4-276</t>
  </si>
  <si>
    <t>Stevens Point</t>
  </si>
  <si>
    <t>2309 Eagle Summit</t>
  </si>
  <si>
    <t>Osceola</t>
  </si>
  <si>
    <t>PO Box 286</t>
  </si>
  <si>
    <t>Sugar Land</t>
  </si>
  <si>
    <t>Liberty Lake</t>
  </si>
  <si>
    <t>724-664-9193</t>
  </si>
  <si>
    <t>515-232-9005</t>
  </si>
  <si>
    <t>904-465-2388</t>
  </si>
  <si>
    <t>281-545-7242</t>
  </si>
  <si>
    <t>541-653-7114</t>
  </si>
  <si>
    <t>916-917-7133</t>
  </si>
  <si>
    <t>Kompelien</t>
  </si>
  <si>
    <t>Kerry</t>
  </si>
  <si>
    <t>Doyal</t>
  </si>
  <si>
    <t>Shields</t>
  </si>
  <si>
    <t>Cedrick</t>
  </si>
  <si>
    <t>Brown</t>
  </si>
  <si>
    <t>Tony</t>
  </si>
  <si>
    <t>Balsamo</t>
  </si>
  <si>
    <t>Glen</t>
  </si>
  <si>
    <t>Schrieber</t>
  </si>
  <si>
    <t>Jacobs</t>
  </si>
  <si>
    <t>Jon</t>
  </si>
  <si>
    <t>Payne</t>
  </si>
  <si>
    <t>Thompson </t>
  </si>
  <si>
    <t>Dirks</t>
  </si>
  <si>
    <t>In</t>
  </si>
  <si>
    <t>Transition</t>
  </si>
  <si>
    <t>Colby</t>
  </si>
  <si>
    <t>Kinser</t>
  </si>
  <si>
    <t>Wright</t>
  </si>
  <si>
    <t>Bruce</t>
  </si>
  <si>
    <t>Burckart</t>
  </si>
  <si>
    <t>Sam</t>
  </si>
  <si>
    <t>Huggard</t>
  </si>
  <si>
    <t>Vegter</t>
  </si>
  <si>
    <t>Office of the President</t>
  </si>
  <si>
    <t>901 E 78th Street</t>
  </si>
  <si>
    <t>800-745-2202</t>
  </si>
  <si>
    <t>Vice President</t>
  </si>
  <si>
    <t>Secretary/Treasurer</t>
  </si>
  <si>
    <t>Global Missions Director</t>
  </si>
  <si>
    <t>Hispanic East Director</t>
  </si>
  <si>
    <t>Hispanic West Director</t>
  </si>
  <si>
    <t>Central Region Director</t>
  </si>
  <si>
    <t>East Region Director</t>
  </si>
  <si>
    <t>Mountain Plains Region Director</t>
  </si>
  <si>
    <t>Pacific Region Director</t>
  </si>
  <si>
    <t>Southeast Region Director</t>
  </si>
  <si>
    <t>https://openbiblecentral.org</t>
  </si>
  <si>
    <t>bruce@openbiblecentral.org</t>
  </si>
  <si>
    <t>https://www.facebook.com/bruce.pfadenhauer.9</t>
  </si>
  <si>
    <t>https://www.openbibleeast.org</t>
  </si>
  <si>
    <t>Ohio, Michigan, Pennsylvania, New York, Virginia, Kentucky, Connecticut, Indiana, Maryland, Tennessee, West Virginia</t>
  </si>
  <si>
    <t>https://openbiblemountainplains.org</t>
  </si>
  <si>
    <t>jwj362@gmail.com</t>
  </si>
  <si>
    <t>Montana, North Dakota, South Dakota, Nebraska, Colorado</t>
  </si>
  <si>
    <t>https://pacificopenbible.com</t>
  </si>
  <si>
    <t>chris@pacificopenbible.com</t>
  </si>
  <si>
    <t>https://openbiblesoutheast.com</t>
  </si>
  <si>
    <t>Regional Executive Director</t>
  </si>
  <si>
    <t>515-282-6491</t>
  </si>
  <si>
    <t>Alaska, Washington, Idaho, Oregon, California, Nevada, Utah, Arizona and Hawaii</t>
  </si>
  <si>
    <t>Louisiana  Mississippi  Alabama  Georgia  North Carolina  South Carolina  Florida</t>
  </si>
  <si>
    <t>Randall</t>
  </si>
  <si>
    <t>Bach</t>
  </si>
  <si>
    <t>Pfadenhauer</t>
  </si>
  <si>
    <t>Ehlers</t>
  </si>
  <si>
    <t>Vince</t>
  </si>
  <si>
    <t>McCarty</t>
  </si>
  <si>
    <t>Roberto</t>
  </si>
  <si>
    <t>Seda</t>
  </si>
  <si>
    <t>Jorge</t>
  </si>
  <si>
    <t>Navarrete</t>
  </si>
  <si>
    <t>Grimes</t>
  </si>
  <si>
    <t>Jimenez</t>
  </si>
  <si>
    <t>Hansler</t>
  </si>
  <si>
    <t>Hagan</t>
  </si>
  <si>
    <t>1920 Bell Avenue</t>
  </si>
  <si>
    <t>Eugene</t>
  </si>
  <si>
    <t>2320 Warren Street</t>
  </si>
  <si>
    <t>Valrico</t>
  </si>
  <si>
    <t>1432 Bloomingdale Avenue</t>
  </si>
  <si>
    <t>541-343-4021</t>
  </si>
  <si>
    <t>https://nazarene.org</t>
  </si>
  <si>
    <t>17001 Prairie Star Parkway</t>
  </si>
  <si>
    <t>Total Districts</t>
  </si>
  <si>
    <t>Stan</t>
  </si>
  <si>
    <t>Reeder</t>
  </si>
  <si>
    <t>USA/Canada Regional Director</t>
  </si>
  <si>
    <t>Title</t>
  </si>
  <si>
    <t>Field</t>
  </si>
  <si>
    <t>907-335-0354</t>
  </si>
  <si>
    <t>aknazarene@alaska.net</t>
  </si>
  <si>
    <t>https://alaskanazarene.org</t>
  </si>
  <si>
    <t>Northwest USA</t>
  </si>
  <si>
    <t>Northwest Nazarene University (NNU)</t>
  </si>
  <si>
    <t>604-841-2453</t>
  </si>
  <si>
    <t>pacificnaz@telus.net</t>
  </si>
  <si>
    <t>Ambrose University College (AU)</t>
  </si>
  <si>
    <t>403-912-3043</t>
  </si>
  <si>
    <t>nazarene@telus.net</t>
  </si>
  <si>
    <t>905-614-0914</t>
  </si>
  <si>
    <t>http://www.centralnazarene.ca/</t>
  </si>
  <si>
    <t>Ambrose University (AU)</t>
  </si>
  <si>
    <t>514-683-0722</t>
  </si>
  <si>
    <t>nazarenequebec@gmail.com</t>
  </si>
  <si>
    <t>http://www.churchofthenazarenequebec.ca/</t>
  </si>
  <si>
    <t>902-669-0603</t>
  </si>
  <si>
    <t>bcambers@nb.aibn.com</t>
  </si>
  <si>
    <t>http://atlanticnazarene.ca</t>
  </si>
  <si>
    <t>360-489-1060</t>
  </si>
  <si>
    <t>http://www.wapacnaz.org</t>
  </si>
  <si>
    <t>503-581-3950</t>
  </si>
  <si>
    <t>orpacoffice@orpac.org</t>
  </si>
  <si>
    <t>http://orpac.org/</t>
  </si>
  <si>
    <t>509-466-0452</t>
  </si>
  <si>
    <t>http://www.nwdistrict.org/</t>
  </si>
  <si>
    <t>406-606-0266</t>
  </si>
  <si>
    <t>rwskinner@rmnaz.org</t>
  </si>
  <si>
    <t>http://rmnaz.org/</t>
  </si>
  <si>
    <t>208-467-3714</t>
  </si>
  <si>
    <t>office@intermountaindistrict.org</t>
  </si>
  <si>
    <t>http://www.intermountaindistrict.org/</t>
  </si>
  <si>
    <t>720-977-9066</t>
  </si>
  <si>
    <t>http://www.conazarene.org/</t>
  </si>
  <si>
    <t>808-422–0459</t>
  </si>
  <si>
    <t>rick.power.hawaiipacific@gmail.com</t>
  </si>
  <si>
    <t>https://www.hipacnazarene.org</t>
  </si>
  <si>
    <t>Southwest USA</t>
  </si>
  <si>
    <t>Point Loma Nazarene University (PLNU)</t>
  </si>
  <si>
    <t>928-699-2033</t>
  </si>
  <si>
    <t>jrnells07@gmail.com </t>
  </si>
  <si>
    <t>snadnaz.org</t>
  </si>
  <si>
    <t>562-929-8286</t>
  </si>
  <si>
    <t>menahumberto100@yahoo.com</t>
  </si>
  <si>
    <t>575-650-1726</t>
  </si>
  <si>
    <t>benjamin30730@msn.com</t>
  </si>
  <si>
    <t>https://nazarenodsol.squarespace.com/</t>
  </si>
  <si>
    <t>210-363-7864</t>
  </si>
  <si>
    <t>supastorev@gmail.com</t>
  </si>
  <si>
    <t>TOLDdistrict.org</t>
  </si>
  <si>
    <t>South Central USA</t>
  </si>
  <si>
    <t>Southern Nazarene University (SNU)</t>
  </si>
  <si>
    <t>925-680-0538</t>
  </si>
  <si>
    <t>info@norcal.org</t>
  </si>
  <si>
    <t>http://www.norcal.org/</t>
  </si>
  <si>
    <t>916-652-1193</t>
  </si>
  <si>
    <t>http://www.sacnaz.org/</t>
  </si>
  <si>
    <t>559-222-8462</t>
  </si>
  <si>
    <t>http://www.ccdistrict.com/</t>
  </si>
  <si>
    <t>626-446-7300</t>
  </si>
  <si>
    <t>http://www.nazla.org/</t>
  </si>
  <si>
    <t>951-676-8093</t>
  </si>
  <si>
    <t>socalnazarene@gmail.com</t>
  </si>
  <si>
    <t>http://www.socalnaz.org/</t>
  </si>
  <si>
    <t>480-237-7000</t>
  </si>
  <si>
    <t>http://www.arizonadistrict.org/</t>
  </si>
  <si>
    <t>575-626-1116</t>
  </si>
  <si>
    <t>nmdist@nmnaz.com</t>
  </si>
  <si>
    <t>http://www.nmnaz.com/</t>
  </si>
  <si>
    <t>218-998-3232</t>
  </si>
  <si>
    <t>http://www.pldnaz.com</t>
  </si>
  <si>
    <t>North Central USA</t>
  </si>
  <si>
    <t>MidAmerica Nazarene University (MNU)</t>
  </si>
  <si>
    <t>515-226-9727</t>
  </si>
  <si>
    <t>admin@iowanazarene.org</t>
  </si>
  <si>
    <t>http://www.iowanazarene.org/</t>
  </si>
  <si>
    <t>402-881-7385</t>
  </si>
  <si>
    <t>pastordancole@gmail.com</t>
  </si>
  <si>
    <t>316-686-2332</t>
  </si>
  <si>
    <t>ksdist@ksnazarene.org</t>
  </si>
  <si>
    <t>http://www.ksnazarene.org/</t>
  </si>
  <si>
    <t>913-381-4466</t>
  </si>
  <si>
    <t>kcdistrict@kcdistrict.org</t>
  </si>
  <si>
    <t>http://www.kcdistrict.org/</t>
  </si>
  <si>
    <t>417-358-9624</t>
  </si>
  <si>
    <t>joplindistrictnaz@gmail.com</t>
  </si>
  <si>
    <t>http://joplindistrictnaz.org/</t>
  </si>
  <si>
    <t>314-962-8977</t>
  </si>
  <si>
    <t>mpalmer@monaz.org</t>
  </si>
  <si>
    <t>http://www.monaz.org/</t>
  </si>
  <si>
    <t>North Centra USA</t>
  </si>
  <si>
    <t>817-479-8611</t>
  </si>
  <si>
    <t>office@westexnaz.org</t>
  </si>
  <si>
    <t>http://www.westexnaz.org/</t>
  </si>
  <si>
    <t>Southern Nazarene University (TNU)</t>
  </si>
  <si>
    <t>405-789-9411</t>
  </si>
  <si>
    <t>office@oknaz.org</t>
  </si>
  <si>
    <t>http://www.oknaz.org/</t>
  </si>
  <si>
    <t>405-256-6766</t>
  </si>
  <si>
    <t>melissa@swok.org </t>
  </si>
  <si>
    <t>https://swok.org/</t>
  </si>
  <si>
    <t>918-496-0022</t>
  </si>
  <si>
    <t>501-328-3382</t>
  </si>
  <si>
    <t>narkdistrict@gmail.com</t>
  </si>
  <si>
    <t>http://www.narknaz.com</t>
  </si>
  <si>
    <t>501-224-4611</t>
  </si>
  <si>
    <t>office@soarnaz.org</t>
  </si>
  <si>
    <t>https://soarnaz.org/</t>
  </si>
  <si>
    <t>214-484-6511</t>
  </si>
  <si>
    <t>districtofficenaz@netxnaz.net</t>
  </si>
  <si>
    <t>https://www.netxnaz.net/</t>
  </si>
  <si>
    <t>281-256-7720</t>
  </si>
  <si>
    <t>office@southtexasnaz.org</t>
  </si>
  <si>
    <t>http://www.southtexasnaz.org/</t>
  </si>
  <si>
    <t>318-541-6550</t>
  </si>
  <si>
    <t>ladistrictnaz@gmail.com</t>
  </si>
  <si>
    <t>http://www.ladistrict.org/</t>
  </si>
  <si>
    <t>262-415-5339</t>
  </si>
  <si>
    <t>wisconsindistrictoffice@gmail.com</t>
  </si>
  <si>
    <t>http://www.wisnaz.com/</t>
  </si>
  <si>
    <t>Central USA</t>
  </si>
  <si>
    <t>Olivet Nazarene University (ONU)</t>
  </si>
  <si>
    <t>231-947-7707</t>
  </si>
  <si>
    <t>nmdoffice@nmdnaz.org</t>
  </si>
  <si>
    <t>http://www.nmdnaz.org/</t>
  </si>
  <si>
    <t>517-622-8450</t>
  </si>
  <si>
    <t>http://www.minaz.org/</t>
  </si>
  <si>
    <t>810-750-4080</t>
  </si>
  <si>
    <t>http://www.emdnaz.org/</t>
  </si>
  <si>
    <t>309-682-6945</t>
  </si>
  <si>
    <t>ds@nwilnaz.org</t>
  </si>
  <si>
    <t>http://www.nwilnaz.org</t>
  </si>
  <si>
    <t>312-255-0151</t>
  </si>
  <si>
    <t>http://www.ccdnaz.org/</t>
  </si>
  <si>
    <t>618-717-0381</t>
  </si>
  <si>
    <t>http://illinoisnaz.org</t>
  </si>
  <si>
    <t>765-664-8950</t>
  </si>
  <si>
    <t>http://neinazarene.org/</t>
  </si>
  <si>
    <t>219-462-0403</t>
  </si>
  <si>
    <t>office@nwindistrict.org</t>
  </si>
  <si>
    <t>http://www.nwindistrict.org/</t>
  </si>
  <si>
    <t>317-856-3715</t>
  </si>
  <si>
    <t>office@indydistrict.org</t>
  </si>
  <si>
    <t>http://indydistrict.org</t>
  </si>
  <si>
    <t>812-279-6621</t>
  </si>
  <si>
    <t>tcrump@swidnazarene.org</t>
  </si>
  <si>
    <t>http://www.swidnazarene.org/</t>
  </si>
  <si>
    <t>502-957-2974</t>
  </si>
  <si>
    <t>secretary@kynazoffice.net</t>
  </si>
  <si>
    <t>http://kynaz.com</t>
  </si>
  <si>
    <t>Southeast USA</t>
  </si>
  <si>
    <t>Trevecca Nazarene University (TNU)</t>
  </si>
  <si>
    <t>931-393-1055</t>
  </si>
  <si>
    <t>615-255-2929</t>
  </si>
  <si>
    <t>dgunter@midsouthnaz.org</t>
  </si>
  <si>
    <t>http://www.midsouthnaz.org</t>
  </si>
  <si>
    <t>256-841-5299</t>
  </si>
  <si>
    <t>alanorthdistrict@gmail.com</t>
  </si>
  <si>
    <t>334-365-3188</t>
  </si>
  <si>
    <t>office@centralgulfcoast.org</t>
  </si>
  <si>
    <t>https://centralgulfcoast.org</t>
  </si>
  <si>
    <t>704-540-8300</t>
  </si>
  <si>
    <t>office.ncnazarene@gmail.com</t>
  </si>
  <si>
    <t>http://www.ncnaz.org/</t>
  </si>
  <si>
    <t>803-794-2209</t>
  </si>
  <si>
    <t>info@southcarolinanazarene.com</t>
  </si>
  <si>
    <t>https://www.southcarolinanazarene.com/</t>
  </si>
  <si>
    <t>770-957-7790</t>
  </si>
  <si>
    <t>district.office@ganaz.org</t>
  </si>
  <si>
    <t>http://www.georgianazarenedistrict.org</t>
  </si>
  <si>
    <t>863-644-9331</t>
  </si>
  <si>
    <t>info@floridanaz.com</t>
  </si>
  <si>
    <t>http://www.floridanaz.com/</t>
  </si>
  <si>
    <t>863-531-0181</t>
  </si>
  <si>
    <t>Bwilson@sfnazarene.org</t>
  </si>
  <si>
    <t>http://sfnazarene.org/</t>
  </si>
  <si>
    <t>419-394-4517</t>
  </si>
  <si>
    <t>nwodist@bright.net</t>
  </si>
  <si>
    <t>http://www.nwonaz.org/</t>
  </si>
  <si>
    <t>East Central USA</t>
  </si>
  <si>
    <t>Mount Vernon Nazarene University (MVNU)</t>
  </si>
  <si>
    <t>513-777-5600</t>
  </si>
  <si>
    <t>rbrown@swonaz.org</t>
  </si>
  <si>
    <t>http://www.swonaz.org/</t>
  </si>
  <si>
    <t>859-623-3782</t>
  </si>
  <si>
    <t>ekdswyatt@gmail.com</t>
  </si>
  <si>
    <t>http://ekdnaz.org/</t>
  </si>
  <si>
    <t>Mount Vermon Nazarene University (MVNU)</t>
  </si>
  <si>
    <t>740-397-5740</t>
  </si>
  <si>
    <t>nco.district@mvnu.edu</t>
  </si>
  <si>
    <t>614-539-6812</t>
  </si>
  <si>
    <t>office@sconaz.org</t>
  </si>
  <si>
    <t>http://sconaz.org/</t>
  </si>
  <si>
    <t>330-491-0115</t>
  </si>
  <si>
    <t>http://www.eastohionaz.org/</t>
  </si>
  <si>
    <t>304-363-5767</t>
  </si>
  <si>
    <t>kdennis@wvnd.org</t>
  </si>
  <si>
    <t>http://www.wvnd.org/</t>
  </si>
  <si>
    <t>304-768-5015</t>
  </si>
  <si>
    <t>wvsnaz@gmail.com</t>
  </si>
  <si>
    <t>http://www.wvsnazarene.org/</t>
  </si>
  <si>
    <t>804-739-4884</t>
  </si>
  <si>
    <t>admin@vanaz.org</t>
  </si>
  <si>
    <t>http://www.vanaz.org/</t>
  </si>
  <si>
    <t>Eastern USA</t>
  </si>
  <si>
    <t>Eastern Nazarene College (ENC)</t>
  </si>
  <si>
    <t>724-287-5867</t>
  </si>
  <si>
    <t>office@pghnaz.org</t>
  </si>
  <si>
    <t>http://pghnaz.org</t>
  </si>
  <si>
    <t>443-557-0450</t>
  </si>
  <si>
    <t>manazoffice@gmail.com</t>
  </si>
  <si>
    <t>http://manaz.org/</t>
  </si>
  <si>
    <t>484-791-6518</t>
  </si>
  <si>
    <t>districtoffice@philanaz.org</t>
  </si>
  <si>
    <t>http://www.philanaz.org/</t>
  </si>
  <si>
    <t>516-561-8614</t>
  </si>
  <si>
    <t>samvassel@mnynaz.com</t>
  </si>
  <si>
    <t>http://www.mnynaz.com/</t>
  </si>
  <si>
    <t>315-698-9100</t>
  </si>
  <si>
    <t>http://www.upstatedistrict.org/</t>
  </si>
  <si>
    <t>617-786-9496</t>
  </si>
  <si>
    <t>kstanford@nednaz.org</t>
  </si>
  <si>
    <t>http://www.nednaz.org/</t>
  </si>
  <si>
    <t>207-585-2489</t>
  </si>
  <si>
    <t>mainenazoffice@gmail.com</t>
  </si>
  <si>
    <t>https://www.mainenazarene.org/</t>
  </si>
  <si>
    <t>Hartley</t>
  </si>
  <si>
    <t>Gordon</t>
  </si>
  <si>
    <t>McCann</t>
  </si>
  <si>
    <t>Rose</t>
  </si>
  <si>
    <t>Brower-Young</t>
  </si>
  <si>
    <t>Ottley</t>
  </si>
  <si>
    <t>Barrington</t>
  </si>
  <si>
    <t>Collins</t>
  </si>
  <si>
    <t>Jerry</t>
  </si>
  <si>
    <t>Kester</t>
  </si>
  <si>
    <t>Brett</t>
  </si>
  <si>
    <t>Rickey</t>
  </si>
  <si>
    <t>Mowry</t>
  </si>
  <si>
    <t>Skinner</t>
  </si>
  <si>
    <t>Shaw</t>
  </si>
  <si>
    <t>Virgil</t>
  </si>
  <si>
    <t>Askren</t>
  </si>
  <si>
    <t>Power</t>
  </si>
  <si>
    <t>Humberto</t>
  </si>
  <si>
    <t>Mena</t>
  </si>
  <si>
    <t>Benjamín</t>
  </si>
  <si>
    <t>López</t>
  </si>
  <si>
    <t>Caleb</t>
  </si>
  <si>
    <t>Herrera</t>
  </si>
  <si>
    <t>Albert</t>
  </si>
  <si>
    <t>Songer</t>
  </si>
  <si>
    <t>Gregory</t>
  </si>
  <si>
    <t>Garman</t>
  </si>
  <si>
    <t>Taylor</t>
  </si>
  <si>
    <t>Douglas</t>
  </si>
  <si>
    <t>Pierce</t>
  </si>
  <si>
    <t>Lacher</t>
  </si>
  <si>
    <t>Hoffman</t>
  </si>
  <si>
    <t>Kraemer</t>
  </si>
  <si>
    <t>Cole</t>
  </si>
  <si>
    <t>Bond</t>
  </si>
  <si>
    <t>Estep</t>
  </si>
  <si>
    <t>Rhoades</t>
  </si>
  <si>
    <t>Palmer</t>
  </si>
  <si>
    <t>Downs</t>
  </si>
  <si>
    <t>Rowland</t>
  </si>
  <si>
    <t>Lehman</t>
  </si>
  <si>
    <t>McKellips</t>
  </si>
  <si>
    <t>Lindstrom</t>
  </si>
  <si>
    <t>Keven</t>
  </si>
  <si>
    <t>Wentworth</t>
  </si>
  <si>
    <t>Jeffrey</t>
  </si>
  <si>
    <t>Charles</t>
  </si>
  <si>
    <t>Fountain</t>
  </si>
  <si>
    <t>Donley</t>
  </si>
  <si>
    <t>Gilmore</t>
  </si>
  <si>
    <t>Dyrness</t>
  </si>
  <si>
    <t>Kitsko</t>
  </si>
  <si>
    <t>Lloyd</t>
  </si>
  <si>
    <t>Brock</t>
  </si>
  <si>
    <t>McKain</t>
  </si>
  <si>
    <t>Terrill</t>
  </si>
  <si>
    <t>Armstrong</t>
  </si>
  <si>
    <t>Kellerman</t>
  </si>
  <si>
    <t>Bartley</t>
  </si>
  <si>
    <t>Ronald</t>
  </si>
  <si>
    <t>Blake</t>
  </si>
  <si>
    <t>Crump</t>
  </si>
  <si>
    <t>Powell</t>
  </si>
  <si>
    <t>Ron</t>
  </si>
  <si>
    <t>DeWitt</t>
  </si>
  <si>
    <t>Dwight</t>
  </si>
  <si>
    <t>Gunter</t>
  </si>
  <si>
    <t>Berry</t>
  </si>
  <si>
    <t>Brad</t>
  </si>
  <si>
    <t>Kochis</t>
  </si>
  <si>
    <t>Flores</t>
  </si>
  <si>
    <t>Kyle</t>
  </si>
  <si>
    <t>Poole</t>
  </si>
  <si>
    <t>Schaeffer</t>
  </si>
  <si>
    <t>Kunselman</t>
  </si>
  <si>
    <t>Mahaffey</t>
  </si>
  <si>
    <t>Wyatt</t>
  </si>
  <si>
    <t>Wendell</t>
  </si>
  <si>
    <t>Trevor</t>
  </si>
  <si>
    <t>Lutz</t>
  </si>
  <si>
    <t>Layton</t>
  </si>
  <si>
    <t>Fuller</t>
  </si>
  <si>
    <t>Eddings</t>
  </si>
  <si>
    <t>Bowser</t>
  </si>
  <si>
    <t>Willis</t>
  </si>
  <si>
    <t>Samuel</t>
  </si>
  <si>
    <t>Vassel</t>
  </si>
  <si>
    <t>Olivia</t>
  </si>
  <si>
    <t>Metcalf</t>
  </si>
  <si>
    <t>Stanford</t>
  </si>
  <si>
    <t>Dillman</t>
  </si>
  <si>
    <t>Wayjay Hung</t>
  </si>
  <si>
    <t>Lenexa</t>
  </si>
  <si>
    <t>PO Box 80967</t>
  </si>
  <si>
    <t>King's Pointe Business Park 15180 S. Wright Rd. Grand Ledge</t>
  </si>
  <si>
    <t>322 Cedar View Lane</t>
  </si>
  <si>
    <t xml:space="preserve"> Bedford</t>
  </si>
  <si>
    <t>Box 252 Oxford</t>
  </si>
  <si>
    <t>2646 RW Johnson Blvd SW #108</t>
  </si>
  <si>
    <t>Tumwater</t>
  </si>
  <si>
    <t>ON</t>
  </si>
  <si>
    <t>QC</t>
  </si>
  <si>
    <t>NS</t>
  </si>
  <si>
    <t>BC</t>
  </si>
  <si>
    <t>Kenai</t>
  </si>
  <si>
    <t>V4N 3A5</t>
  </si>
  <si>
    <t>T4B 2H3</t>
  </si>
  <si>
    <t>L4X 1W5</t>
  </si>
  <si>
    <t>H9B 1T2</t>
  </si>
  <si>
    <t>B0M 1P0</t>
  </si>
  <si>
    <t>12021 Pennsylvania Street #206</t>
  </si>
  <si>
    <t>Thornton</t>
  </si>
  <si>
    <t>Loomis</t>
  </si>
  <si>
    <t>Arcadia</t>
  </si>
  <si>
    <t>110 SE Grant Street #201</t>
  </si>
  <si>
    <t>Liberty Bank Tower 860 Airport Freeway #206</t>
  </si>
  <si>
    <t>Hurst</t>
  </si>
  <si>
    <t>Tulsa</t>
  </si>
  <si>
    <t>70 Hart Street #101</t>
  </si>
  <si>
    <t>Nashville</t>
  </si>
  <si>
    <t>4720 Cleveland Heights Blvd #303</t>
  </si>
  <si>
    <t>Canton</t>
  </si>
  <si>
    <t>Surrey</t>
  </si>
  <si>
    <t>Airdrie</t>
  </si>
  <si>
    <t>Mississauga</t>
  </si>
  <si>
    <t>Dolalrd-des-Ormeaux</t>
  </si>
  <si>
    <t>Oxford</t>
  </si>
  <si>
    <t>Salem</t>
  </si>
  <si>
    <t>Spokane</t>
  </si>
  <si>
    <t>Kailua</t>
  </si>
  <si>
    <t>Winslow</t>
  </si>
  <si>
    <t>Santa Fe Springs</t>
  </si>
  <si>
    <t>Las Cruces</t>
  </si>
  <si>
    <t>Pittsburgh</t>
  </si>
  <si>
    <t>Temecula</t>
  </si>
  <si>
    <t>Capitan</t>
  </si>
  <si>
    <t>Fergus Falld</t>
  </si>
  <si>
    <t>Lincoln</t>
  </si>
  <si>
    <t>Emporia</t>
  </si>
  <si>
    <t>Overland Park</t>
  </si>
  <si>
    <t>Carthage</t>
  </si>
  <si>
    <t>Bridgeton</t>
  </si>
  <si>
    <t>Bethany</t>
  </si>
  <si>
    <t>Mustang</t>
  </si>
  <si>
    <t>Richardson</t>
  </si>
  <si>
    <t>Cypress</t>
  </si>
  <si>
    <t>Menomonee Falls</t>
  </si>
  <si>
    <t>Traverse City</t>
  </si>
  <si>
    <t>Grand Ledge</t>
  </si>
  <si>
    <t>Flint</t>
  </si>
  <si>
    <t>Pekin</t>
  </si>
  <si>
    <t>Bourbonnais</t>
  </si>
  <si>
    <t>Bethalto</t>
  </si>
  <si>
    <t>Marion</t>
  </si>
  <si>
    <t>Valparaiso</t>
  </si>
  <si>
    <t>Plainfield</t>
  </si>
  <si>
    <t>Hillview</t>
  </si>
  <si>
    <t>Estill Springs</t>
  </si>
  <si>
    <t>Jasper</t>
  </si>
  <si>
    <t>Mebane</t>
  </si>
  <si>
    <t>Locust Grove</t>
  </si>
  <si>
    <t>Lake Placid</t>
  </si>
  <si>
    <t>Saint Marys</t>
  </si>
  <si>
    <t>West Chester</t>
  </si>
  <si>
    <t>Mt Vernon</t>
  </si>
  <si>
    <t>Grove City</t>
  </si>
  <si>
    <t>Fairmont</t>
  </si>
  <si>
    <t>West Charleston</t>
  </si>
  <si>
    <t>Midlothian</t>
  </si>
  <si>
    <t>Butler</t>
  </si>
  <si>
    <t>Royersford</t>
  </si>
  <si>
    <t>Valley Stream</t>
  </si>
  <si>
    <t>Hull</t>
  </si>
  <si>
    <t>Greene</t>
  </si>
  <si>
    <t>28465 Old Town Front Street #313</t>
  </si>
  <si>
    <t>300 Bonita Park</t>
  </si>
  <si>
    <t>PO Box 357</t>
  </si>
  <si>
    <t>2815 O'Shea Drive</t>
  </si>
  <si>
    <t>2931 West 24th Avenue</t>
  </si>
  <si>
    <t>7640 Antioch Road</t>
  </si>
  <si>
    <t>2014 Grand Avenue</t>
  </si>
  <si>
    <t>PO Box 855</t>
  </si>
  <si>
    <t>PO Box 887</t>
  </si>
  <si>
    <t>PO Box 937</t>
  </si>
  <si>
    <t>6705 East 81st Street #130</t>
  </si>
  <si>
    <t>PO Box 2129</t>
  </si>
  <si>
    <t>PO Box 55005</t>
  </si>
  <si>
    <t>PO Box 831269</t>
  </si>
  <si>
    <t>PO Box 1457</t>
  </si>
  <si>
    <t>1275 Dorchester Drive</t>
  </si>
  <si>
    <t>N74W16230 Stonewood Drive</t>
  </si>
  <si>
    <t>PO Box 1006</t>
  </si>
  <si>
    <t>PO Box 7249</t>
  </si>
  <si>
    <t>3520 Broadway Street</t>
  </si>
  <si>
    <t>PO Box 567</t>
  </si>
  <si>
    <t>PO Box 185</t>
  </si>
  <si>
    <t>1950 South 350 East</t>
  </si>
  <si>
    <t>970-B Mill Pond Road</t>
  </si>
  <si>
    <t>2055 E Hadley Road</t>
  </si>
  <si>
    <t>PO Box 790</t>
  </si>
  <si>
    <t>PO Box 69</t>
  </si>
  <si>
    <t>PO Box 1250</t>
  </si>
  <si>
    <t>PO Box 680898</t>
  </si>
  <si>
    <t>PO Box 370</t>
  </si>
  <si>
    <t>150 McSwain Drive</t>
  </si>
  <si>
    <t>PO Box 920</t>
  </si>
  <si>
    <t>2680 Placid View Drive</t>
  </si>
  <si>
    <t>272 Jack Oak Point Road</t>
  </si>
  <si>
    <t>7943 Tylersville Road</t>
  </si>
  <si>
    <t>PO Box 999</t>
  </si>
  <si>
    <t>PO Box 947</t>
  </si>
  <si>
    <t>PO Box 279</t>
  </si>
  <si>
    <t>4450 Belden Village Street NW #600</t>
  </si>
  <si>
    <t>PO Box 2029</t>
  </si>
  <si>
    <t>700 Virginia Street Street</t>
  </si>
  <si>
    <t>5906 Harbour Park Drive</t>
  </si>
  <si>
    <t>177 North Road</t>
  </si>
  <si>
    <t>108 Central Avenue</t>
  </si>
  <si>
    <t>PO Box 259</t>
  </si>
  <si>
    <t>PO Box 258</t>
  </si>
  <si>
    <t>7 Hadasah Way</t>
  </si>
  <si>
    <t>296 Route 202</t>
  </si>
  <si>
    <t>201 W Valley Stream Blvd</t>
  </si>
  <si>
    <t>PO Box 141</t>
  </si>
  <si>
    <t>9012-160th Street</t>
  </si>
  <si>
    <t>1243 Erin Drive SE</t>
  </si>
  <si>
    <t xml:space="preserve">3657 Ponytrail Drive </t>
  </si>
  <si>
    <t>451 Spring Garden Street</t>
  </si>
  <si>
    <t>2780 Market Street NE</t>
  </si>
  <si>
    <t>8607 North Division Street</t>
  </si>
  <si>
    <t>PO Box 1159</t>
  </si>
  <si>
    <t>PO Box 1986</t>
  </si>
  <si>
    <t>PO Box 520</t>
  </si>
  <si>
    <t>11226 Garetal Street</t>
  </si>
  <si>
    <t>1135 East Hadley Avenue</t>
  </si>
  <si>
    <t>PO Box 460645</t>
  </si>
  <si>
    <t>PO Box 8457</t>
  </si>
  <si>
    <t>6235 S Walnut Street #200</t>
  </si>
  <si>
    <t>1640 W Shaw Avenue #101</t>
  </si>
  <si>
    <t>225 E Santa Clara Street #300</t>
  </si>
  <si>
    <t>2420 West Ray Road #1</t>
  </si>
  <si>
    <t>Alaska District</t>
  </si>
  <si>
    <t>Canada Pacific District</t>
  </si>
  <si>
    <t>Canada West District</t>
  </si>
  <si>
    <t>Canada Central District</t>
  </si>
  <si>
    <t>Canada Quebec District</t>
  </si>
  <si>
    <t>Canada Atlantic District</t>
  </si>
  <si>
    <t>Washington Pacific District</t>
  </si>
  <si>
    <t>Oregon Pacific District</t>
  </si>
  <si>
    <t>Northwest District</t>
  </si>
  <si>
    <t>Intermountain District</t>
  </si>
  <si>
    <t>Colorado District</t>
  </si>
  <si>
    <t>Hawaii Pacific District</t>
  </si>
  <si>
    <t>Iowa District</t>
  </si>
  <si>
    <t>Nebraska District</t>
  </si>
  <si>
    <t>Kansas District</t>
  </si>
  <si>
    <t>Kansas City District</t>
  </si>
  <si>
    <t>Joplin District</t>
  </si>
  <si>
    <t>Missouri District</t>
  </si>
  <si>
    <t>West Texas District</t>
  </si>
  <si>
    <t>Oklahoma District</t>
  </si>
  <si>
    <t>Southwest Oklahoma District</t>
  </si>
  <si>
    <t>Northeast Oklahoma District</t>
  </si>
  <si>
    <t>North Arkansas District</t>
  </si>
  <si>
    <t>South Arkansas District</t>
  </si>
  <si>
    <t>South Texas District</t>
  </si>
  <si>
    <t>Wisconsin District</t>
  </si>
  <si>
    <t>Michigan District</t>
  </si>
  <si>
    <t>Kentucky District</t>
  </si>
  <si>
    <t>Midsouth District</t>
  </si>
  <si>
    <t>North Carolina District</t>
  </si>
  <si>
    <t>South Carolina District</t>
  </si>
  <si>
    <t>Georgia District</t>
  </si>
  <si>
    <t>Florida District</t>
  </si>
  <si>
    <t>East Ohio District</t>
  </si>
  <si>
    <t>Virginia District</t>
  </si>
  <si>
    <t>Mid-Atlantic District</t>
  </si>
  <si>
    <t>Maine District</t>
  </si>
  <si>
    <t>Southwest Native American District</t>
  </si>
  <si>
    <t>Western Latin American District</t>
  </si>
  <si>
    <t>Southwest Latin American District</t>
  </si>
  <si>
    <t>Texas Oklahoma District</t>
  </si>
  <si>
    <t>North California District</t>
  </si>
  <si>
    <t>Sacramento District</t>
  </si>
  <si>
    <t>Central California District</t>
  </si>
  <si>
    <t>Los Angeles District</t>
  </si>
  <si>
    <t>Southern California District</t>
  </si>
  <si>
    <t>Arizona District</t>
  </si>
  <si>
    <t>New Mexico District</t>
  </si>
  <si>
    <t>Prairie Lakes District</t>
  </si>
  <si>
    <t>North/East Texas District</t>
  </si>
  <si>
    <t>Louisiana District</t>
  </si>
  <si>
    <t>Northern Michigan District</t>
  </si>
  <si>
    <t>Eastern Michigan District</t>
  </si>
  <si>
    <t>Northwestern Illinois District</t>
  </si>
  <si>
    <t>Chicago Central District</t>
  </si>
  <si>
    <t>Illinois District</t>
  </si>
  <si>
    <t>Northeastern Indiana District</t>
  </si>
  <si>
    <t>Northwest Indiana District</t>
  </si>
  <si>
    <t>Indianapolis District</t>
  </si>
  <si>
    <t>Southwest Indiana District</t>
  </si>
  <si>
    <t>East Tennessee District</t>
  </si>
  <si>
    <t>Alabama North District</t>
  </si>
  <si>
    <t>Central Gulf Coast District</t>
  </si>
  <si>
    <t>Southern Florida District</t>
  </si>
  <si>
    <t>Northwestern Ohio District</t>
  </si>
  <si>
    <t>Southwestern Ohio District</t>
  </si>
  <si>
    <t>Eastern Kentucky District</t>
  </si>
  <si>
    <t>North Central Ohio District</t>
  </si>
  <si>
    <t>South Central Ohio District</t>
  </si>
  <si>
    <t>West Virginia North District</t>
  </si>
  <si>
    <t>West Virginia South District</t>
  </si>
  <si>
    <t>Pittsburgh District</t>
  </si>
  <si>
    <t>Philadelphia District</t>
  </si>
  <si>
    <t>Metro New York District</t>
  </si>
  <si>
    <t>Upstate New York District</t>
  </si>
  <si>
    <t>https://pacnaz.ca</t>
  </si>
  <si>
    <t>http://cwdnazarene.org</t>
  </si>
  <si>
    <t>http://etnnazdistrict.org</t>
  </si>
  <si>
    <t>edwardlestep@aol.com </t>
  </si>
  <si>
    <t>https://www.ncodistrict.org</t>
  </si>
  <si>
    <t>https://www.neokdistrict.org</t>
  </si>
  <si>
    <t>https://cmalliance.org</t>
  </si>
  <si>
    <t>One Alliance Place</t>
  </si>
  <si>
    <t>Stumbo</t>
  </si>
  <si>
    <t>Corporate Vice President</t>
  </si>
  <si>
    <t>http://cdcma.org</t>
  </si>
  <si>
    <t>csmith@cdcma.org</t>
  </si>
  <si>
    <t>Metro District</t>
  </si>
  <si>
    <t>620 Division Street</t>
  </si>
  <si>
    <t>kwalker@metrocma.org</t>
  </si>
  <si>
    <t>Northeastern District</t>
  </si>
  <si>
    <t>6275 Pillmore Drive</t>
  </si>
  <si>
    <t>315-336-4720</t>
  </si>
  <si>
    <t>https://nedcma.org</t>
  </si>
  <si>
    <t>https://davidbrucelinn.com</t>
  </si>
  <si>
    <t>Puerto Rico District</t>
  </si>
  <si>
    <t>https://www.laalianzapr.church</t>
  </si>
  <si>
    <t>PO BOX 1625</t>
  </si>
  <si>
    <t>787-816-0101</t>
  </si>
  <si>
    <t>Javier</t>
  </si>
  <si>
    <t>Gomez</t>
  </si>
  <si>
    <t>Alliance Southeast</t>
  </si>
  <si>
    <t>https://www.alliancese.org</t>
  </si>
  <si>
    <t>tflanders@alliancese.org</t>
  </si>
  <si>
    <t>State of Florida and Bahama's</t>
  </si>
  <si>
    <t>West Virginia &amp; Eastern Ohio</t>
  </si>
  <si>
    <t>Metro NYC and New Jersey</t>
  </si>
  <si>
    <t>Upstate New York</t>
  </si>
  <si>
    <t>Western Pennsylvania District</t>
  </si>
  <si>
    <t>https://www.cmawpa.org</t>
  </si>
  <si>
    <t>341 N. Chestnut Street</t>
  </si>
  <si>
    <t>Western Pennsylvania</t>
  </si>
  <si>
    <t>nageld@cmawpa.org</t>
  </si>
  <si>
    <t>Central Pacific District</t>
  </si>
  <si>
    <t>https://cpdistrict.org</t>
  </si>
  <si>
    <t>No Cal, Nevada, Utah, Hawaii and Guam</t>
  </si>
  <si>
    <t>Mid Atlantic District</t>
  </si>
  <si>
    <t>Maryland, Delaware, Virginia, Washington DC</t>
  </si>
  <si>
    <t>https://www.cmamad.org</t>
  </si>
  <si>
    <t>https://www.ncdcma.org</t>
  </si>
  <si>
    <t>Minnesota, Eastern North Dakota and Eastern South Dakota</t>
  </si>
  <si>
    <t>https://rmdcma.com</t>
  </si>
  <si>
    <t>jwiggins@rmdcma.com</t>
  </si>
  <si>
    <t>Montana, Wyoming, Southern Idaho, Western North Dakota, Western South Dakota</t>
  </si>
  <si>
    <t>South Central District</t>
  </si>
  <si>
    <t>https://alliancesouthcentral.com</t>
  </si>
  <si>
    <t>Arkansas, Louisiana, Texas, Oklahoma</t>
  </si>
  <si>
    <t>Eastern Pennsylvania District</t>
  </si>
  <si>
    <t>nate.howard@epdalliance.org</t>
  </si>
  <si>
    <t>1200 Spring Garden Drive</t>
  </si>
  <si>
    <t>https://www.epdalliance.org</t>
  </si>
  <si>
    <t>Eastern Pennsylvania</t>
  </si>
  <si>
    <t>https://mwcma.org</t>
  </si>
  <si>
    <t>bpetty@mwcma.org</t>
  </si>
  <si>
    <t>Indiana, Illinois, parts of NW Kentucky</t>
  </si>
  <si>
    <t>Ohio Valley District</t>
  </si>
  <si>
    <t>https://ovdcma.org</t>
  </si>
  <si>
    <t>3712 Willow Ridge Road</t>
  </si>
  <si>
    <t>Western Ohio, Western Kentucky, Western Tennessee</t>
  </si>
  <si>
    <t xml:space="preserve">Alliance South </t>
  </si>
  <si>
    <t>2512 N Druid Hills Road NE</t>
  </si>
  <si>
    <t>704-543-0470</t>
  </si>
  <si>
    <t>https://alliancesouth.org</t>
  </si>
  <si>
    <t>North Carolina, South Carolina, Georgia, Mississippi, Alabama, East Tennessee and the Panhandle of Florida</t>
  </si>
  <si>
    <t>Mid America District</t>
  </si>
  <si>
    <t>https://madcma.org</t>
  </si>
  <si>
    <t>402-330-1888</t>
  </si>
  <si>
    <t>Iowa, Nebraska, Northern Colorado, Western Missouri</t>
  </si>
  <si>
    <t>https://www.greatlakesdistrict.com</t>
  </si>
  <si>
    <t>thomas@greatlakesdistrict.com</t>
  </si>
  <si>
    <t>Northern Michigan, Western Michigan, Southern Michigan, North Metro Detroit, Toledo, Ohio</t>
  </si>
  <si>
    <t>734-677-8555</t>
  </si>
  <si>
    <t>34 Central Street</t>
  </si>
  <si>
    <t>508-238-3820</t>
  </si>
  <si>
    <t>trevor@alliancenewengland.org</t>
  </si>
  <si>
    <t>https://alliancenewengland.org</t>
  </si>
  <si>
    <t>Massachusetts, Rhode Island, Eastern Connecticut</t>
  </si>
  <si>
    <t>Alliance Northwest District</t>
  </si>
  <si>
    <t>https://www.alliancenw.org</t>
  </si>
  <si>
    <t xml:space="preserve">7505 NE Ambassador Place </t>
  </si>
  <si>
    <t>Washington, Oregon, Idaho, Alaska</t>
  </si>
  <si>
    <t>South Paciific District</t>
  </si>
  <si>
    <t>https://cmaspa.org</t>
  </si>
  <si>
    <t>david@cmaspa.org</t>
  </si>
  <si>
    <t>Arizona, New Mexico, parts of California and Southern Nevada</t>
  </si>
  <si>
    <t>Western Great Lakes District</t>
  </si>
  <si>
    <t>https://westerngreatlakesdistrict.org</t>
  </si>
  <si>
    <t>W6107 Aerotech Drive</t>
  </si>
  <si>
    <t>https://www.hmongdistrict.org</t>
  </si>
  <si>
    <t>Hmong District</t>
  </si>
  <si>
    <t>12287 Pennsylvania Street</t>
  </si>
  <si>
    <t>https://www.kdcma.org</t>
  </si>
  <si>
    <t>201-440-5700</t>
  </si>
  <si>
    <t>https://www.nuestraalianza.org</t>
  </si>
  <si>
    <t>620 Division St 2nd Fl</t>
  </si>
  <si>
    <t>http://ghvnhk.org</t>
  </si>
  <si>
    <t>Vietnamese District</t>
  </si>
  <si>
    <t>Rosilio Roman III</t>
  </si>
  <si>
    <t>Walker</t>
  </si>
  <si>
    <t>Kelvin</t>
  </si>
  <si>
    <t>Lane</t>
  </si>
  <si>
    <t>Linn</t>
  </si>
  <si>
    <t xml:space="preserve">David </t>
  </si>
  <si>
    <t>Flanders</t>
  </si>
  <si>
    <t>Nagel</t>
  </si>
  <si>
    <t>Conley</t>
  </si>
  <si>
    <t>Dan</t>
  </si>
  <si>
    <t>Scarrow</t>
  </si>
  <si>
    <t>Jonathan</t>
  </si>
  <si>
    <t>Wiggins</t>
  </si>
  <si>
    <t>Kent</t>
  </si>
  <si>
    <t>Sovine</t>
  </si>
  <si>
    <t>Skalberg</t>
  </si>
  <si>
    <t>Monty</t>
  </si>
  <si>
    <t>Lantzia</t>
  </si>
  <si>
    <t>Thao</t>
  </si>
  <si>
    <t>Mick</t>
  </si>
  <si>
    <t>Petty</t>
  </si>
  <si>
    <t>Noel</t>
  </si>
  <si>
    <t>Ronald J. Morrison</t>
  </si>
  <si>
    <t>Sarkis A. Diarbi</t>
  </si>
  <si>
    <t>Morrison</t>
  </si>
  <si>
    <t>Roman</t>
  </si>
  <si>
    <t>Diarbi</t>
  </si>
  <si>
    <t xml:space="preserve">Siyum </t>
  </si>
  <si>
    <t>Gebretsadik</t>
  </si>
  <si>
    <t xml:space="preserve">Rothapel E. (Rothie) </t>
  </si>
  <si>
    <t>Rañola</t>
  </si>
  <si>
    <t>Hendy</t>
  </si>
  <si>
    <t>Siu</t>
  </si>
  <si>
    <t>Chung</t>
  </si>
  <si>
    <t>Wong</t>
  </si>
  <si>
    <t>Kelly</t>
  </si>
  <si>
    <t>Fleury</t>
  </si>
  <si>
    <t>Zane</t>
  </si>
  <si>
    <t>Hector</t>
  </si>
  <si>
    <t>Lecaro</t>
  </si>
  <si>
    <t>Nareth</t>
  </si>
  <si>
    <t>May</t>
  </si>
  <si>
    <t>KC</t>
  </si>
  <si>
    <t>303-336-2911</t>
  </si>
  <si>
    <t>Wadsworth</t>
  </si>
  <si>
    <t>1231 High Street</t>
  </si>
  <si>
    <t>DeLand</t>
  </si>
  <si>
    <t>402 West New York Avenue</t>
  </si>
  <si>
    <t>Frederick</t>
  </si>
  <si>
    <t>St Bonifacius</t>
  </si>
  <si>
    <t>292 Montevue Lane</t>
  </si>
  <si>
    <t>8860 College View Drive</t>
  </si>
  <si>
    <t>Arlington</t>
  </si>
  <si>
    <t>7000 Matlock Road</t>
  </si>
  <si>
    <t>Avon</t>
  </si>
  <si>
    <t>10070 East US Highway 36</t>
  </si>
  <si>
    <t>Ann Arbor</t>
  </si>
  <si>
    <t>1301 S 119th Street</t>
  </si>
  <si>
    <t>2250 S Huron Parkway</t>
  </si>
  <si>
    <t>27377 Via Industria</t>
  </si>
  <si>
    <t>Ridgefield Park</t>
  </si>
  <si>
    <t>169 Main Street</t>
  </si>
  <si>
    <t>2275 W Lincoln Avenue</t>
  </si>
  <si>
    <t>715 Lincoln Avenue</t>
  </si>
  <si>
    <t>Reynoldsburg</t>
  </si>
  <si>
    <t>380-208-6200</t>
  </si>
  <si>
    <t>Elizabeth</t>
  </si>
  <si>
    <t>Rome</t>
  </si>
  <si>
    <t>Sabana Hoyos</t>
  </si>
  <si>
    <t>Punxsutawney</t>
  </si>
  <si>
    <t>Woodland</t>
  </si>
  <si>
    <t>Middletown</t>
  </si>
  <si>
    <t>Lexington</t>
  </si>
  <si>
    <t>South Easton</t>
  </si>
  <si>
    <t>Appleton</t>
  </si>
  <si>
    <t>Anaheim</t>
  </si>
  <si>
    <t>973-412-7025</t>
  </si>
  <si>
    <t>386-469-9040</t>
  </si>
  <si>
    <t>814-938-6920</t>
  </si>
  <si>
    <t>530-662-2500</t>
  </si>
  <si>
    <t>952-446-9318</t>
  </si>
  <si>
    <t>717-985-9240</t>
  </si>
  <si>
    <t>630-893-1355</t>
  </si>
  <si>
    <t>859-940-1042</t>
  </si>
  <si>
    <t>503-685-9160</t>
  </si>
  <si>
    <t>951-719-1191</t>
  </si>
  <si>
    <t>920-734-1123</t>
  </si>
  <si>
    <t>303-252-1793</t>
  </si>
  <si>
    <t>973-351-4226</t>
  </si>
  <si>
    <t>714-491-8007</t>
  </si>
  <si>
    <t>hopealliance@sbcglobal.net</t>
  </si>
  <si>
    <t>multicultural@cmalliance.org</t>
  </si>
  <si>
    <t>sarkisdiarbi@hotmail.com</t>
  </si>
  <si>
    <t>siyumey@yahoo.com</t>
  </si>
  <si>
    <t>rothie357@gmail.com</t>
  </si>
  <si>
    <t>hendyasiu@att.net</t>
  </si>
  <si>
    <t>jameschung@uscca.org</t>
  </si>
  <si>
    <t>pastorkcwong@gmail.com</t>
  </si>
  <si>
    <t>kfleury@hotmail.com</t>
  </si>
  <si>
    <t>nallianceassoc@gmail.com</t>
  </si>
  <si>
    <t>hlecaro41@verizon.net</t>
  </si>
  <si>
    <t>narethm@gmail.com</t>
  </si>
  <si>
    <t>African-American Pastors, Consecrated Women, &amp; Licensed Workers Association</t>
  </si>
  <si>
    <t>Alliance Jewish Ministries</t>
  </si>
  <si>
    <t>Arabic-Speaking Association</t>
  </si>
  <si>
    <t>Association of African Churches</t>
  </si>
  <si>
    <t>Association of Filipino Churches</t>
  </si>
  <si>
    <t>Association of Montagnard Churches</t>
  </si>
  <si>
    <t>Chinese Churches Association</t>
  </si>
  <si>
    <t>Haitian Association</t>
  </si>
  <si>
    <t>Native American Association</t>
  </si>
  <si>
    <t>Spanish Western Association</t>
  </si>
  <si>
    <t>The CEC (Cambodian) Association</t>
  </si>
  <si>
    <t>80 countries</t>
  </si>
  <si>
    <t>Global</t>
  </si>
  <si>
    <t>CONTACTS</t>
  </si>
  <si>
    <t>REGIONAL GOVERNANCE</t>
  </si>
  <si>
    <t>Based in Birmingham, AL</t>
  </si>
  <si>
    <t>Based in Chicago, IL</t>
  </si>
  <si>
    <t>Based in Des Moines, IA</t>
  </si>
  <si>
    <t>Headquarters</t>
  </si>
  <si>
    <t>ASSOCIATIONS</t>
  </si>
  <si>
    <t>Lead Pastor/ARC Lead Team</t>
  </si>
  <si>
    <t>https://rockcitychurch.tv</t>
  </si>
  <si>
    <t>2695 Elaine Drive</t>
  </si>
  <si>
    <t>PO Box 578</t>
  </si>
  <si>
    <t>PO Box 3547</t>
  </si>
  <si>
    <t>952-853-1755</t>
  </si>
  <si>
    <t>PO Box 360</t>
  </si>
  <si>
    <t>308-455-0878</t>
  </si>
  <si>
    <t>PO Box 867</t>
  </si>
  <si>
    <t>711 10th Avenue South</t>
  </si>
  <si>
    <t>612-338-1716</t>
  </si>
  <si>
    <t>PO Box 784</t>
  </si>
  <si>
    <t>701-840-7261</t>
  </si>
  <si>
    <t>PO Box 901</t>
  </si>
  <si>
    <t>NH</t>
  </si>
  <si>
    <t>Lower Burrell</t>
  </si>
  <si>
    <t>Boone</t>
  </si>
  <si>
    <t>Camp Hill</t>
  </si>
  <si>
    <t>Elkhorn</t>
  </si>
  <si>
    <t>Dover</t>
  </si>
  <si>
    <t>Valley City</t>
  </si>
  <si>
    <t>Hoodsport</t>
  </si>
  <si>
    <t>610-395-9034</t>
  </si>
  <si>
    <t>603-842-4482</t>
  </si>
  <si>
    <t>Vandalia</t>
  </si>
  <si>
    <t xml:space="preserve">645 Helke Road </t>
  </si>
  <si>
    <t xml:space="preserve">937-898-2864 </t>
  </si>
  <si>
    <t>11 Stanford Court</t>
  </si>
  <si>
    <t>406-927-6809</t>
  </si>
  <si>
    <t>813-681-2425</t>
  </si>
  <si>
    <t>913-577-0500</t>
  </si>
  <si>
    <t>https://alabamanorthnaz.org</t>
  </si>
  <si>
    <t>dougpierce@arizonadistrict.org</t>
  </si>
  <si>
    <t>rdsonger@gmail.com</t>
  </si>
  <si>
    <t>phartley@alaskanazarene.org</t>
  </si>
  <si>
    <t>Steve.ottley@centralnazarene.ca</t>
  </si>
  <si>
    <t>Mark.Berry@agsfaculty.indwes.edu</t>
  </si>
  <si>
    <t>lmckain@ccdnaz.org</t>
  </si>
  <si>
    <t>Vaskren@conazarene.org</t>
  </si>
  <si>
    <t>dlutz@eastohionaz.org</t>
  </si>
  <si>
    <t>rondewitt@bellsouth.net</t>
  </si>
  <si>
    <t>mikek@emdnaz.org</t>
  </si>
  <si>
    <t>terry@illinoisnaz.org</t>
  </si>
  <si>
    <t>jimbond@ksnazarene.org</t>
  </si>
  <si>
    <t>Jim</t>
  </si>
  <si>
    <t>greg@ladistnaz.org</t>
  </si>
  <si>
    <t>mainenazds@gmail.com</t>
  </si>
  <si>
    <t>bdyrness@minaz.org</t>
  </si>
  <si>
    <t>https://www.nebnaz.com</t>
  </si>
  <si>
    <t xml:space="preserve">Dan </t>
  </si>
  <si>
    <t>dmckellips@neokdistrict.com</t>
  </si>
  <si>
    <t>DSTim@neinazarene.org</t>
  </si>
  <si>
    <t xml:space="preserve">Tim </t>
  </si>
  <si>
    <t>danieltgilmore@gmail.com</t>
  </si>
  <si>
    <t>dnmowry@nwdistrict.org</t>
  </si>
  <si>
    <t>districtpastor@nwilnaz.org</t>
  </si>
  <si>
    <t>geoffkunselman@gmail.com</t>
  </si>
  <si>
    <t>Geoff</t>
  </si>
  <si>
    <t>shoffman@pldnaz.com</t>
  </si>
  <si>
    <t xml:space="preserve">Steve </t>
  </si>
  <si>
    <t>sscott@sacnaz.org</t>
  </si>
  <si>
    <t>thomastaylor915@gmail.com</t>
  </si>
  <si>
    <t>217-413-1579</t>
  </si>
  <si>
    <t>Andrews</t>
  </si>
  <si>
    <t>rmahaffey@swonaz.org</t>
  </si>
  <si>
    <t>oliviametcalf@upstatedistrict.org</t>
  </si>
  <si>
    <t xml:space="preserve">Phil </t>
  </si>
  <si>
    <t>https://twitter.com/FullerPhil</t>
  </si>
  <si>
    <t>https://www.facebook.com/fuller.phil</t>
  </si>
  <si>
    <t>jkester@wapacnaz.org</t>
  </si>
  <si>
    <t>kevindonleyds.wisconsin.naz@gmail.com</t>
  </si>
  <si>
    <t>usually in April, location is mostly Birmingham but moves</t>
  </si>
  <si>
    <t>https://brushfire.com/arc/arc-conference-2023/532139</t>
  </si>
  <si>
    <t>Conferences around the world as well</t>
  </si>
  <si>
    <t>https://covchurch.org/midwinter/</t>
  </si>
  <si>
    <t>usually in January</t>
  </si>
  <si>
    <t>https://efcaone.com</t>
  </si>
  <si>
    <t>June 20-23,2023</t>
  </si>
  <si>
    <t>Fullerton Free Church</t>
  </si>
  <si>
    <t>Based in Minneapolis</t>
  </si>
  <si>
    <t>June 9-13, 2023</t>
  </si>
  <si>
    <t>https://ga2023.nazarene.org</t>
  </si>
  <si>
    <t>https://cmalliance.org/converge/</t>
  </si>
  <si>
    <t>Jan 8-12, 2023</t>
  </si>
  <si>
    <t>Based in Lenexa, KS</t>
  </si>
  <si>
    <t>Based in Reynoldsburg, OH</t>
  </si>
  <si>
    <t xml:space="preserve">Based in Los Angeles, CA but decentralized </t>
  </si>
  <si>
    <t>Pastor Rick is speaking at</t>
  </si>
  <si>
    <t>https://vineyardusa.org/events/</t>
  </si>
  <si>
    <t>August. 2023</t>
  </si>
  <si>
    <t>Estes Park, CO</t>
  </si>
  <si>
    <t>Jacksonville, FL</t>
  </si>
  <si>
    <t>Birmingham, AL</t>
  </si>
  <si>
    <t>Fullerton, CA</t>
  </si>
  <si>
    <t># of District</t>
  </si>
  <si>
    <t>USA HQ</t>
  </si>
  <si>
    <t>Regional</t>
  </si>
  <si>
    <t># of</t>
  </si>
  <si>
    <t>Movement(s)</t>
  </si>
  <si>
    <t>Description/Bio</t>
  </si>
  <si>
    <t>Denomination</t>
  </si>
  <si>
    <t>Location</t>
  </si>
  <si>
    <t>we have</t>
  </si>
  <si>
    <t>Offices</t>
  </si>
  <si>
    <t>Description</t>
  </si>
  <si>
    <t>Membership</t>
  </si>
  <si>
    <t>Source</t>
  </si>
  <si>
    <t>Universities</t>
  </si>
  <si>
    <t>Protestantism – 900 million–1 billion</t>
  </si>
  <si>
    <t>Anglicanism – 110 million people 29 Denominations</t>
  </si>
  <si>
    <t>Anglican Church in North America – 0.13 million</t>
  </si>
  <si>
    <t>Anglican Church of Canada – 0.4 million</t>
  </si>
  <si>
    <t>http://www.anglican.ca</t>
  </si>
  <si>
    <t>Dioceses</t>
  </si>
  <si>
    <t>Handbook of Denom's</t>
  </si>
  <si>
    <t>Anglican Communion of North America</t>
  </si>
  <si>
    <t>www.theacna.org</t>
  </si>
  <si>
    <t>Ambridge, PA</t>
  </si>
  <si>
    <t>Church in the Province of the West Indies – 0.8 million</t>
  </si>
  <si>
    <t>Episcopal Church in the United States – 1.7 million</t>
  </si>
  <si>
    <t>www.episcopalchurch.org</t>
  </si>
  <si>
    <t>New York, NY</t>
  </si>
  <si>
    <t>Evangelical Anglican Church in America</t>
  </si>
  <si>
    <t>www.eaca.org</t>
  </si>
  <si>
    <t>Albuquerque, NM</t>
  </si>
  <si>
    <t>International Communion of the Charismatic Episcopal Church</t>
  </si>
  <si>
    <t>www.iccec.org</t>
  </si>
  <si>
    <t>Malverne, NY</t>
  </si>
  <si>
    <t>Reformed Episcopal Church</t>
  </si>
  <si>
    <t>www.rechurch.org</t>
  </si>
  <si>
    <t>Blue Bell, PA</t>
  </si>
  <si>
    <t>Traditional Anglican Communion – 0.4 million</t>
  </si>
  <si>
    <t>http://traditionalanglicanchurch.com</t>
  </si>
  <si>
    <t>Baptist churches – 100 million 38 Denomintions</t>
  </si>
  <si>
    <t>Alliance of Baptist Churches</t>
  </si>
  <si>
    <t>www.allianceofbaptists.org</t>
  </si>
  <si>
    <t>Washington, DC</t>
  </si>
  <si>
    <t>American Baptist Association</t>
  </si>
  <si>
    <t>www.abaptist.org</t>
  </si>
  <si>
    <t>Texarkana, TX</t>
  </si>
  <si>
    <t>American Baptist Churches USA – 1.2 million</t>
  </si>
  <si>
    <t>https://www.abc-usa.org</t>
  </si>
  <si>
    <t>King of Prussia, PA</t>
  </si>
  <si>
    <t>Association of Reformed Baptist Churches of America</t>
  </si>
  <si>
    <t>www.arbca.org</t>
  </si>
  <si>
    <t>Carlisle, PA</t>
  </si>
  <si>
    <t>Baptist Bible Fellowship International – 1.2 million</t>
  </si>
  <si>
    <t>https://www.bbfi.org</t>
  </si>
  <si>
    <t>Springfield, MO</t>
  </si>
  <si>
    <t>Baptist General Association of Virginia – 0.6 million</t>
  </si>
  <si>
    <t>Baptist General Convention of Texas – 1.7 million</t>
  </si>
  <si>
    <t>www.bgct.org</t>
  </si>
  <si>
    <t>Baptist Missionary Association of America</t>
  </si>
  <si>
    <t>www.bmaam.org</t>
  </si>
  <si>
    <t>Little Rock, AR</t>
  </si>
  <si>
    <t>Brazilian Baptist Convention – 1.8 million</t>
  </si>
  <si>
    <t>Caribbean Baptist Fellowship</t>
  </si>
  <si>
    <t>http://caribbeanbaptistfellowship.com</t>
  </si>
  <si>
    <t>Conservative Baptist Association of America – 0.2 million (NOW Venture)</t>
  </si>
  <si>
    <t>https://venturechurches.org</t>
  </si>
  <si>
    <t>Goodyear, AZ</t>
  </si>
  <si>
    <t>Converge – 0.2 million</t>
  </si>
  <si>
    <t>https://converge.org</t>
  </si>
  <si>
    <t>Cooperative Baptist Fellowship – 0.8 million</t>
  </si>
  <si>
    <t>https://cbf.net</t>
  </si>
  <si>
    <t>Decatur, GA</t>
  </si>
  <si>
    <t>Duck River and Kindred Association</t>
  </si>
  <si>
    <t>www.duckriverbaptistassociation.org</t>
  </si>
  <si>
    <t>Tullahoma, TN</t>
  </si>
  <si>
    <t>General Association of General Baptists</t>
  </si>
  <si>
    <t>www.generalbaptist.com</t>
  </si>
  <si>
    <t>Poplar Bluff, MO</t>
  </si>
  <si>
    <t>General Association of Regular Baptist Churches</t>
  </si>
  <si>
    <t>www.garbc.org</t>
  </si>
  <si>
    <t>Schaumburg, IL</t>
  </si>
  <si>
    <t>Independent Baptist Fellowship International</t>
  </si>
  <si>
    <t>www.ibfi-nbbi.org</t>
  </si>
  <si>
    <t>Fort Worth, TX</t>
  </si>
  <si>
    <t>Interstate and Foreign Landmark Missionary Baptist Association</t>
  </si>
  <si>
    <t>Lott Carey Foreign Mission Convention – 1.1 million</t>
  </si>
  <si>
    <t>National Association of Free Will Baptists – 0.2 million</t>
  </si>
  <si>
    <t>www.nafwb.org</t>
  </si>
  <si>
    <t>Antioch, TN</t>
  </si>
  <si>
    <t>National Baptist Convention (Brazil) – 0.4 million</t>
  </si>
  <si>
    <t>National Baptist Convention of America, Inc. – 3.1 million</t>
  </si>
  <si>
    <t>https://nbcainc.com</t>
  </si>
  <si>
    <t>Louisville, KY</t>
  </si>
  <si>
    <t>National Baptist Convention, USA, Inc. – 8.4 million</t>
  </si>
  <si>
    <t>https://www.nationalbaptist.com</t>
  </si>
  <si>
    <t>Nashville, TN</t>
  </si>
  <si>
    <t>National Missionary Baptist Convention of America – 3.1 million</t>
  </si>
  <si>
    <t>https://www.nmbca.org</t>
  </si>
  <si>
    <t>National Primitive Baptist Convention of the U.S.A. – 1.0 million</t>
  </si>
  <si>
    <t>http://www.npbcconvention.org</t>
  </si>
  <si>
    <t>Miami, FL</t>
  </si>
  <si>
    <t>North American Baptist Conference</t>
  </si>
  <si>
    <t>www.nabconference.org</t>
  </si>
  <si>
    <t>Oakbrook Terrace, IL</t>
  </si>
  <si>
    <t>Old Regular Baptist Churches</t>
  </si>
  <si>
    <t>www.pages.suddenlink.net/orb/orb/index.htm</t>
  </si>
  <si>
    <t>No Headquarters</t>
  </si>
  <si>
    <t>Original Freewill Baptist Convention</t>
  </si>
  <si>
    <t>www.ofwb.org</t>
  </si>
  <si>
    <t>Ayden, NC</t>
  </si>
  <si>
    <t>Primitive Baptists</t>
  </si>
  <si>
    <t>www.primitivebaptist.org</t>
  </si>
  <si>
    <t>Progressive National Baptist Convention – 1.5 million</t>
  </si>
  <si>
    <t>https://www.pnbc.org</t>
  </si>
  <si>
    <t>Seventh Day Baptists – 0.05 million</t>
  </si>
  <si>
    <t>www.seventhdaybaptist.org</t>
  </si>
  <si>
    <t>Janesville, WI</t>
  </si>
  <si>
    <t>Southwide Baptist Fellowship</t>
  </si>
  <si>
    <t>www.wayoflife.org</t>
  </si>
  <si>
    <t>Pensacola, FL</t>
  </si>
  <si>
    <t>100,00</t>
  </si>
  <si>
    <t>Southern Baptist Convention – 13.7 million</t>
  </si>
  <si>
    <t>http://sbc.net</t>
  </si>
  <si>
    <t>multiple names</t>
  </si>
  <si>
    <t>Sovereign Grace Baptists</t>
  </si>
  <si>
    <t>www.sovgrace.net</t>
  </si>
  <si>
    <t>No headquarters</t>
  </si>
  <si>
    <t>Separate Baptists in Christ</t>
  </si>
  <si>
    <t>www.separatebaptist.org</t>
  </si>
  <si>
    <t>Mooresville, IN</t>
  </si>
  <si>
    <t>Union Baptists of Latin America</t>
  </si>
  <si>
    <t>https://www.unionbetweenchristians.com/2020/12/union-of-baptists-in-latin-america-2020.html</t>
  </si>
  <si>
    <t>United American Free Will Baptist Church</t>
  </si>
  <si>
    <t>www.uafwbc.org</t>
  </si>
  <si>
    <t>Lakeland, FL</t>
  </si>
  <si>
    <t>World Baptist Fellowship</t>
  </si>
  <si>
    <t>www.wbfi.net</t>
  </si>
  <si>
    <t>Arlington, TX</t>
  </si>
  <si>
    <t>Brethren in Christ Church</t>
  </si>
  <si>
    <t>www.bic-church.org</t>
  </si>
  <si>
    <t>Grantham, PA</t>
  </si>
  <si>
    <t>Church of the Brethren</t>
  </si>
  <si>
    <t>www.brethren.org</t>
  </si>
  <si>
    <t>Elgin, IL</t>
  </si>
  <si>
    <t>Church of the United Brethren in Christ</t>
  </si>
  <si>
    <t>www.ub.org</t>
  </si>
  <si>
    <t>Huntington, IN</t>
  </si>
  <si>
    <t>Evangelical Congregational Church</t>
  </si>
  <si>
    <t>www.eccenter.com</t>
  </si>
  <si>
    <t>Myerstown, PA</t>
  </si>
  <si>
    <t>Evangelical Covenant Church</t>
  </si>
  <si>
    <t>www.covchurch.org</t>
  </si>
  <si>
    <t>Chicago, IL</t>
  </si>
  <si>
    <t>regions</t>
  </si>
  <si>
    <t>Fellowship of Grace Brethren Churches</t>
  </si>
  <si>
    <t>www.fgbc.org</t>
  </si>
  <si>
    <t>Winona Lake, IN</t>
  </si>
  <si>
    <t>Old German Baptist Brethren</t>
  </si>
  <si>
    <t>www.cob-net.org</t>
  </si>
  <si>
    <t>Englewood, OH</t>
  </si>
  <si>
    <t>Schwenkfelder Church</t>
  </si>
  <si>
    <t>www.schwenkfelder.org</t>
  </si>
  <si>
    <t>Pennsburg, PA</t>
  </si>
  <si>
    <t>Brethren Church (Ashland)</t>
  </si>
  <si>
    <t>www.brethrenchurch.org</t>
  </si>
  <si>
    <t>Ashland, OH</t>
  </si>
  <si>
    <t>Lutheranism – 70–90 million 35 Denominations</t>
  </si>
  <si>
    <t>American Association of Lutheran Churches</t>
  </si>
  <si>
    <t>www.taalc.org</t>
  </si>
  <si>
    <t>Fort Wyane, IN</t>
  </si>
  <si>
    <t>Apostolic Lutheran Church of America</t>
  </si>
  <si>
    <t>www.apostoliclutheran.org</t>
  </si>
  <si>
    <t>New Ipswich, NH</t>
  </si>
  <si>
    <t>Association of Free Lutheran Congregations</t>
  </si>
  <si>
    <t>www.aflc.org</t>
  </si>
  <si>
    <t>Minneapolis, MN</t>
  </si>
  <si>
    <t>Church of the Lutheran Brethren of America</t>
  </si>
  <si>
    <t>www.clba.org</t>
  </si>
  <si>
    <t>Fergus Falls, MN</t>
  </si>
  <si>
    <t>Church of the Lutheran Confession</t>
  </si>
  <si>
    <t>www.clclutheran.org</t>
  </si>
  <si>
    <t>Eau Claire, WI</t>
  </si>
  <si>
    <t>Evangelical Church of the Lutheran Confession in Brazil – 0.5 million</t>
  </si>
  <si>
    <t>Evangelical Free Church of America – 0.4 million</t>
  </si>
  <si>
    <t>www.efca.org</t>
  </si>
  <si>
    <t>districts</t>
  </si>
  <si>
    <t>Evangelical Lutheran Church in America – 3.1 million</t>
  </si>
  <si>
    <t>www.elca.org</t>
  </si>
  <si>
    <t>https://locator.lcms.org/district</t>
  </si>
  <si>
    <t>Evangelical Lutheran Church of Brazil – 0.2 million</t>
  </si>
  <si>
    <t>Evangelical Lutheran Synod</t>
  </si>
  <si>
    <t>www.evangelicallutheransynod.org</t>
  </si>
  <si>
    <t>Mankato, MN</t>
  </si>
  <si>
    <t>Latvian Evangelical Lutheran Church in America</t>
  </si>
  <si>
    <t>www.dcdraudze.org</t>
  </si>
  <si>
    <t>Kalamazoo, MI</t>
  </si>
  <si>
    <t>Lutheran Church–Missouri Synod – 1.8 million</t>
  </si>
  <si>
    <t>http://www.lcms.org</t>
  </si>
  <si>
    <t>St Louis, MO</t>
  </si>
  <si>
    <t>Lutheran Congregations in Mission for Christ – 0.3 million</t>
  </si>
  <si>
    <t>https://www.lcmc.net</t>
  </si>
  <si>
    <t>Canton, MI</t>
  </si>
  <si>
    <t>Wisconsin Evangelical Lutheran Synod – 0.3 million</t>
  </si>
  <si>
    <t>https://www.wels.net</t>
  </si>
  <si>
    <t>Waukesha, WI</t>
  </si>
  <si>
    <t>https://wels.net/about-wels/history/numbers/</t>
  </si>
  <si>
    <t>Presbyterianism – 40 million (Calvinism 60-80 million)</t>
  </si>
  <si>
    <t>American Waldensian Society</t>
  </si>
  <si>
    <t>www.waldensian.org</t>
  </si>
  <si>
    <t>Valdese, NC</t>
  </si>
  <si>
    <t>Associate Reformed Presbyterian Church</t>
  </si>
  <si>
    <t>www.arpsynod.org</t>
  </si>
  <si>
    <t>Greenville, SC</t>
  </si>
  <si>
    <t>Conservative Congregational Christian Conference</t>
  </si>
  <si>
    <t>www.ccccusa.org</t>
  </si>
  <si>
    <t>Lake Elmo, MN</t>
  </si>
  <si>
    <t>Cumberland Presbyterian Church in America</t>
  </si>
  <si>
    <t>www.cumberland.org/cpca</t>
  </si>
  <si>
    <t>Huntsville, AL</t>
  </si>
  <si>
    <t>ECO (recent split from PCUSA)</t>
  </si>
  <si>
    <t>Santa Barbara, CA</t>
  </si>
  <si>
    <t>presbytery's</t>
  </si>
  <si>
    <t>Evangelical Association of Reformed and Congregational Churches</t>
  </si>
  <si>
    <t>www.evangelicalassociation.org</t>
  </si>
  <si>
    <t>Lacey Spring, VA</t>
  </si>
  <si>
    <t>Evangelical Presbyterian Church</t>
  </si>
  <si>
    <t>www.epc.org</t>
  </si>
  <si>
    <t>Livonia, MI</t>
  </si>
  <si>
    <t>Korean Presbyterian Church in America</t>
  </si>
  <si>
    <t>www.kapc.org</t>
  </si>
  <si>
    <t>Los Angeles, CA</t>
  </si>
  <si>
    <t>National Association of Congregational Christian Churches</t>
  </si>
  <si>
    <t>www.naccc.org</t>
  </si>
  <si>
    <t>Oak Creek, WI</t>
  </si>
  <si>
    <t>National Presbyterian Church in Mexico – 2.8 million</t>
  </si>
  <si>
    <t>Netherlands Reformed Congregations in North America</t>
  </si>
  <si>
    <t>www.nrcrws.org</t>
  </si>
  <si>
    <t>Grand Rapids, MI</t>
  </si>
  <si>
    <t>Orthodox Presbyterian Church</t>
  </si>
  <si>
    <t>www.opc.org</t>
  </si>
  <si>
    <t>Willow Grove, PA</t>
  </si>
  <si>
    <t>Presbyterian Church (USA) – 1.2 million</t>
  </si>
  <si>
    <t>https://pcusa.org</t>
  </si>
  <si>
    <t>https://www.pcusa.org/site_media/media/uploads/oga/pdf/mid_council_listing_planningcal_201819.pdf</t>
  </si>
  <si>
    <t>Presbyterian Church in America – 0.4 million</t>
  </si>
  <si>
    <t>https://pcanet.org</t>
  </si>
  <si>
    <t>Lawrenceville, GA</t>
  </si>
  <si>
    <t>Numerous Sources</t>
  </si>
  <si>
    <t>Presbyterian Church of Brazil – 0.7 million</t>
  </si>
  <si>
    <t>Reformed Presbyterian Church of North America</t>
  </si>
  <si>
    <t>www.reformedpresbyterian.org</t>
  </si>
  <si>
    <t>Pittsburgh, PA</t>
  </si>
  <si>
    <t>United Church of Canada – 0.4 million</t>
  </si>
  <si>
    <t>Christian and Restorationist Churches (Stone-Campbell Tradition)</t>
  </si>
  <si>
    <t>Christian Church (Disciples of Christ)</t>
  </si>
  <si>
    <t>www.disciples.org</t>
  </si>
  <si>
    <t>Indianaplois, IN</t>
  </si>
  <si>
    <t>Independent Christian Churches and Churches of Christ</t>
  </si>
  <si>
    <t>www.christian-church.org</t>
  </si>
  <si>
    <t>Rapid City, SD</t>
  </si>
  <si>
    <t>Christian Congregation, Inc.</t>
  </si>
  <si>
    <t>812 West Hemlock Street</t>
  </si>
  <si>
    <t>LaFollette, TN</t>
  </si>
  <si>
    <t>Churches of Christ</t>
  </si>
  <si>
    <t>www.church-of-christ.org</t>
  </si>
  <si>
    <t>Kosciusko, MS</t>
  </si>
  <si>
    <t>International Churches of Christ</t>
  </si>
  <si>
    <t>www.icoc.org</t>
  </si>
  <si>
    <t>Continental Reformed churches – 30 million (Calvinism 60-80 million)</t>
  </si>
  <si>
    <t>Protestant Reformed Churches in America</t>
  </si>
  <si>
    <t>www.prca.org (unofficial)</t>
  </si>
  <si>
    <t>Grandville, MI</t>
  </si>
  <si>
    <t>Christian Reformed Church in North America – 0.2 million</t>
  </si>
  <si>
    <t>www.crcna.org</t>
  </si>
  <si>
    <t>Reformed Church in America</t>
  </si>
  <si>
    <t>www.rca.org</t>
  </si>
  <si>
    <t>Congregationalism – 5 million (Calvinism 60-80 million)</t>
  </si>
  <si>
    <t>United Church of Christ – 0.8 million</t>
  </si>
  <si>
    <t>www.ucc.org</t>
  </si>
  <si>
    <t>Cleveland, OH</t>
  </si>
  <si>
    <t>Methodism – 60–80 million</t>
  </si>
  <si>
    <t>African Methodist Episcopal Church – 2.5 million</t>
  </si>
  <si>
    <t>https://www.ame-church.com</t>
  </si>
  <si>
    <t>churches in the USA</t>
  </si>
  <si>
    <t>African Methodist Episcopal Zion Church – 1.4 million</t>
  </si>
  <si>
    <t>https://amez.org</t>
  </si>
  <si>
    <t>Charlotte, NC</t>
  </si>
  <si>
    <t>Christian Methodist Episcopal Church – 0.9 million</t>
  </si>
  <si>
    <t>https://thecmechurch.org</t>
  </si>
  <si>
    <t>Jackson, TN</t>
  </si>
  <si>
    <t>Church of the Nazarene – 2 million</t>
  </si>
  <si>
    <t>Lenexa, KS</t>
  </si>
  <si>
    <t>in the US</t>
  </si>
  <si>
    <t>Evangelical Church of North America</t>
  </si>
  <si>
    <t>www.theevangelicalchurch.com</t>
  </si>
  <si>
    <t>Evangelical Methodist Church</t>
  </si>
  <si>
    <t>www.emchurch.org</t>
  </si>
  <si>
    <t>Free Methodist Church – 0.9 million</t>
  </si>
  <si>
    <t>http://fmcusa.org</t>
  </si>
  <si>
    <t>Congregational Methodist Church</t>
  </si>
  <si>
    <t>www.congregationalmethodist.org</t>
  </si>
  <si>
    <t>Florence, MS</t>
  </si>
  <si>
    <t>Global Methodist Church – Just formed in May of 2022</t>
  </si>
  <si>
    <t>https://globalmethodist.org</t>
  </si>
  <si>
    <t>Fredericksburg, VA</t>
  </si>
  <si>
    <t>Methodist Church in Brazil – 0.2 million</t>
  </si>
  <si>
    <t>Southern Methodist Church</t>
  </si>
  <si>
    <t>www.southernmethodistchurch.org</t>
  </si>
  <si>
    <t>Orangeburg, SC</t>
  </si>
  <si>
    <t>Salvation Army</t>
  </si>
  <si>
    <t>www.salvationarmy.org</t>
  </si>
  <si>
    <t>Alexandria, VA</t>
  </si>
  <si>
    <t>United Methodist Church – 12 million</t>
  </si>
  <si>
    <t>https://www.umc.org</t>
  </si>
  <si>
    <t>In the US</t>
  </si>
  <si>
    <t>Wesleyan Church – 0.4 million</t>
  </si>
  <si>
    <t>https://www.wesleyan.org</t>
  </si>
  <si>
    <t>Fishers, IN</t>
  </si>
  <si>
    <t>Holiness Churches</t>
  </si>
  <si>
    <t>Churches of Christ in Christian Union</t>
  </si>
  <si>
    <t>www.cccuhq.org</t>
  </si>
  <si>
    <t>Circleville, OH</t>
  </si>
  <si>
    <t>Churches of God, General Conference</t>
  </si>
  <si>
    <t>www.cggc.org</t>
  </si>
  <si>
    <t>Findlay, OH</t>
  </si>
  <si>
    <t>New Apostolic Church of North America</t>
  </si>
  <si>
    <t>www.nak.org</t>
  </si>
  <si>
    <t>Adventism – 22.3 million</t>
  </si>
  <si>
    <t>Seventh-day Adventist Church – 21.9 million</t>
  </si>
  <si>
    <t>https://www.adventist.org</t>
  </si>
  <si>
    <t>Silverspring, MD</t>
  </si>
  <si>
    <t>Church of God (Seventh-Day) – 0.2 million</t>
  </si>
  <si>
    <t>https://cog7.org</t>
  </si>
  <si>
    <t>Denver, CO</t>
  </si>
  <si>
    <t>Advent Christian Church - 0.1 million</t>
  </si>
  <si>
    <t>https://www.acgc.us</t>
  </si>
  <si>
    <t>Salem, MA</t>
  </si>
  <si>
    <t>Seventh Day Adventist Reform Movement - 0.042 million</t>
  </si>
  <si>
    <t>https://sdarm.org</t>
  </si>
  <si>
    <t>Roanoke, VA</t>
  </si>
  <si>
    <t>Restorationism – 7 million</t>
  </si>
  <si>
    <t>Christian churches and churches of Christ – 1.1 million</t>
  </si>
  <si>
    <t>Anabaptism – 4 million</t>
  </si>
  <si>
    <t>Amish – 0.3 million</t>
  </si>
  <si>
    <t>https://en.wikipedia.org/wiki/Amish_religious_practices</t>
  </si>
  <si>
    <t>Beachy Amish Mennonite Churches</t>
  </si>
  <si>
    <t>www.beachyam.org</t>
  </si>
  <si>
    <t>Partridge, KS</t>
  </si>
  <si>
    <t>Church Communities International</t>
  </si>
  <si>
    <t>www.Churchcommunities.org</t>
  </si>
  <si>
    <t>Rifton, NY</t>
  </si>
  <si>
    <t>Church of God in Christ, Mennonite</t>
  </si>
  <si>
    <t>www.cogicm.org</t>
  </si>
  <si>
    <t>Moundridge, KS</t>
  </si>
  <si>
    <t>Conservative Mennonite Conference</t>
  </si>
  <si>
    <t>www.cmcrosedale.org</t>
  </si>
  <si>
    <t>Irwin, OH</t>
  </si>
  <si>
    <t>Fellowship of Evangelical Churches</t>
  </si>
  <si>
    <t>www.fecministries.org</t>
  </si>
  <si>
    <t>Fort Wayne, IN</t>
  </si>
  <si>
    <t>Hutterian Brethren</t>
  </si>
  <si>
    <t>www.hutterites.org</t>
  </si>
  <si>
    <t>Ste Agathe, MB</t>
  </si>
  <si>
    <t>Hutterites – 0.05 million</t>
  </si>
  <si>
    <t>https://en.wikipedia.org/wiki/Hutterites</t>
  </si>
  <si>
    <t> Western Canada and the upper Great Plains of the United States</t>
  </si>
  <si>
    <t>Mennonites – 2.1 million</t>
  </si>
  <si>
    <t>Elkhart, IN</t>
  </si>
  <si>
    <t>Missionary Church</t>
  </si>
  <si>
    <t>www.mcusa.org</t>
  </si>
  <si>
    <t>Old Order (Wisler) Mennonite Churches</t>
  </si>
  <si>
    <t>www.mhsc.ca</t>
  </si>
  <si>
    <t>Denver, PA</t>
  </si>
  <si>
    <t>U.S. Mennonite Brethren</t>
  </si>
  <si>
    <t>www.usmb.org</t>
  </si>
  <si>
    <t>Hillsboro, KS</t>
  </si>
  <si>
    <t>Plymouth Brethren – 1 million</t>
  </si>
  <si>
    <t>The Plymouth Brethren number around 1 million members</t>
  </si>
  <si>
    <t>https://en.wikipedia.org/wiki/Plymouth_Brethren</t>
  </si>
  <si>
    <t>Dubuque, IA</t>
  </si>
  <si>
    <t>Hussites – 1 million</t>
  </si>
  <si>
    <t>Moravians – 0.825 million</t>
  </si>
  <si>
    <t>www.moravian.org</t>
  </si>
  <si>
    <t>Bethlehem, PA</t>
  </si>
  <si>
    <t>Unity of the Brethren – 0.035 million</t>
  </si>
  <si>
    <t>http://unityofthebrethren.org</t>
  </si>
  <si>
    <t>Quakers – 0.4 million</t>
  </si>
  <si>
    <t>Friends (Quaker)</t>
  </si>
  <si>
    <t>Evangelical Friends International</t>
  </si>
  <si>
    <t>www.evangelicalfriends.org</t>
  </si>
  <si>
    <t>Canton, OH</t>
  </si>
  <si>
    <t>Friends General Conference</t>
  </si>
  <si>
    <t>www.fgcquaker.org</t>
  </si>
  <si>
    <t>Philadelphia, PA</t>
  </si>
  <si>
    <t>Friends United Meeting</t>
  </si>
  <si>
    <t>www.fum.org</t>
  </si>
  <si>
    <t>Richmond, IN</t>
  </si>
  <si>
    <t>Fundamentalist and Bible Churches</t>
  </si>
  <si>
    <t>Independent Fundamentalist Baptist Churches</t>
  </si>
  <si>
    <t>American Evangelical Christian Churches</t>
  </si>
  <si>
    <t>www.aeccministries.com</t>
  </si>
  <si>
    <t>Berean Fundamental Church</t>
  </si>
  <si>
    <t>www.bereanchurchfellowship.org</t>
  </si>
  <si>
    <t>Kearney, NE</t>
  </si>
  <si>
    <t>Bible Fellowship Church</t>
  </si>
  <si>
    <t>www.mybfc.org</t>
  </si>
  <si>
    <t>Whitehall, PA</t>
  </si>
  <si>
    <t>Bible Presbyterian Church</t>
  </si>
  <si>
    <t>www.bpc.org</t>
  </si>
  <si>
    <t>Grace Gospel Fellowship</t>
  </si>
  <si>
    <t>www.ggfusa.org</t>
  </si>
  <si>
    <t>IFCA International</t>
  </si>
  <si>
    <t>www.ifca.org</t>
  </si>
  <si>
    <t>Pentecostalism – 280 million</t>
  </si>
  <si>
    <t>Pentecostalism – 280 million (Modern Protestantism 400-500 million)</t>
  </si>
  <si>
    <t>Assemblies of God – 67 million</t>
  </si>
  <si>
    <t>https://worldagfellowship.org</t>
  </si>
  <si>
    <t>160 countries, we have the figures for all of these countries 370,000 churches globally, 69 million members</t>
  </si>
  <si>
    <t>Apostolic Church – 15 million</t>
  </si>
  <si>
    <t>Apostolic Faith Mission Church of God</t>
  </si>
  <si>
    <t>806 Muscogee Road</t>
  </si>
  <si>
    <t>Cantonment, FL</t>
  </si>
  <si>
    <t>Apostolic World Christian Fellowship</t>
  </si>
  <si>
    <t>www.awcf.org</t>
  </si>
  <si>
    <t>Evansville, IN</t>
  </si>
  <si>
    <t>Association of Vineyard Churches – 0.3 million</t>
  </si>
  <si>
    <t>https://www.vineyard.org</t>
  </si>
  <si>
    <t>Stafford, TX</t>
  </si>
  <si>
    <t>Globally</t>
  </si>
  <si>
    <t>Bible Way Church of Our Lord Jesus Christ World Wide, Inc.</t>
  </si>
  <si>
    <t>www.biblewaychurch.org</t>
  </si>
  <si>
    <t>Columbia, SC</t>
  </si>
  <si>
    <t>Christian Congregation of Brazil – 2.8 million</t>
  </si>
  <si>
    <t>https://en.wikipedia.org/wiki/Christian_Congregation_in_Brazil</t>
  </si>
  <si>
    <t>Church of God (Cleveland, Tennessee) - 6 million</t>
  </si>
  <si>
    <t>https://churchofgod.org</t>
  </si>
  <si>
    <t>Church of God in Christ - 6.5 million</t>
  </si>
  <si>
    <t>https://www.cogic.org</t>
  </si>
  <si>
    <t>Memphis, TN</t>
  </si>
  <si>
    <t>Church of God of Prophecy – 1.5 million</t>
  </si>
  <si>
    <t>https://cogop.org</t>
  </si>
  <si>
    <t>Cleveland, TN</t>
  </si>
  <si>
    <t>Church of Our Lord Jesus Christ of the Apostolic Faith</t>
  </si>
  <si>
    <t>www.apostolic-faith.org</t>
  </si>
  <si>
    <t>Church of the Living God (Christian Workers for Fellowship)</t>
  </si>
  <si>
    <t>Cincinnati, OH</t>
  </si>
  <si>
    <t>Congregational Holiness Church</t>
  </si>
  <si>
    <t>www.ch.church.com</t>
  </si>
  <si>
    <t>Griffin, GA</t>
  </si>
  <si>
    <t>Elim Fellowship</t>
  </si>
  <si>
    <t>www.elim.edu</t>
  </si>
  <si>
    <t>Lima, NY</t>
  </si>
  <si>
    <t>Fire Baptized Holiness Church of God</t>
  </si>
  <si>
    <t>www.fbhchurch.org</t>
  </si>
  <si>
    <t>Full Gospel Fellowship of Churches and Ministries, International</t>
  </si>
  <si>
    <t>www.fgfcmi.org</t>
  </si>
  <si>
    <t>United Holy Church of America, Inc.</t>
  </si>
  <si>
    <t>www.www.uhcoa.org</t>
  </si>
  <si>
    <t>Durham, NC</t>
  </si>
  <si>
    <t>Foursquare Church Canada</t>
  </si>
  <si>
    <t>https://www.foursquare.ca</t>
  </si>
  <si>
    <t>Port Coquitlam, BC</t>
  </si>
  <si>
    <t>God is Love Pentecostal Church – 0.8 million</t>
  </si>
  <si>
    <t>https://en.wikipedia.org/wiki/God_is_Love_Pentecostal_Church</t>
  </si>
  <si>
    <t xml:space="preserve">Brazil HQ </t>
  </si>
  <si>
    <t>Independent Assemblies Of God, International</t>
  </si>
  <si>
    <t>www.iaogi.org</t>
  </si>
  <si>
    <t>Laguana Hills, CA</t>
  </si>
  <si>
    <t>International Church of the Foursquare Gospel - 9 million</t>
  </si>
  <si>
    <t>http://foursquare.org</t>
  </si>
  <si>
    <t>Los Angles, CA</t>
  </si>
  <si>
    <t>International Circle of Faith – 11 million</t>
  </si>
  <si>
    <t>International Fellowship of Christian Assemblies</t>
  </si>
  <si>
    <t>www.ccna.org</t>
  </si>
  <si>
    <t>Transfer, PA</t>
  </si>
  <si>
    <t>International Pentecostal Holiness Church – 4 million</t>
  </si>
  <si>
    <t>https://iphc.org</t>
  </si>
  <si>
    <t>Oklahoma City, OK</t>
  </si>
  <si>
    <t>www.openbible.org</t>
  </si>
  <si>
    <t>Des Moines, IA</t>
  </si>
  <si>
    <t>Pentecostal Assemblies of the World, Inc</t>
  </si>
  <si>
    <t>www.pawinc.org</t>
  </si>
  <si>
    <t>Pentecostal Church of God</t>
  </si>
  <si>
    <t>www.pcg.org</t>
  </si>
  <si>
    <t>Joplin, MO</t>
  </si>
  <si>
    <t>Pentecostal Free Will Baptist Church, Inc</t>
  </si>
  <si>
    <t>www.pfwb.org</t>
  </si>
  <si>
    <t>Dunn, NC</t>
  </si>
  <si>
    <t>Universal Church of the Kingdom of God – 2 million</t>
  </si>
  <si>
    <t>https://www.universal.org</t>
  </si>
  <si>
    <t>United Pentecostal Church International</t>
  </si>
  <si>
    <t>www.upci.org</t>
  </si>
  <si>
    <t>Hazelwood, MO</t>
  </si>
  <si>
    <t>CMA Website</t>
  </si>
  <si>
    <t>Christian Missionary Alliance-Canada</t>
  </si>
  <si>
    <t>The Alliance Canada</t>
  </si>
  <si>
    <t>https://www.cmacan.org/</t>
  </si>
  <si>
    <t>Christian Missionary Alliance-United States</t>
  </si>
  <si>
    <t>The Christian Missionary Alliance</t>
  </si>
  <si>
    <t>http://www.cmalliance.org/</t>
  </si>
  <si>
    <t>Reynoldsburg, OH</t>
  </si>
  <si>
    <t>Apostolic Christian Churches of America</t>
  </si>
  <si>
    <t>www.apostolicchristian.org</t>
  </si>
  <si>
    <t>Peoria, IL</t>
  </si>
  <si>
    <t>Apostolic Overcoming Holy Church of God, Inc.</t>
  </si>
  <si>
    <t>www.aohchurch.com</t>
  </si>
  <si>
    <t>Mobile, AL</t>
  </si>
  <si>
    <t>Church of Christ (Holiness) U.S.A.</t>
  </si>
  <si>
    <t>www.cochusa.com</t>
  </si>
  <si>
    <t>Jackson, MS</t>
  </si>
  <si>
    <t>Church of God (Holiness)</t>
  </si>
  <si>
    <t>www.cogh.net</t>
  </si>
  <si>
    <t>Overland Park, KS</t>
  </si>
  <si>
    <t>Assemblies of the Lord Jesus Christ</t>
  </si>
  <si>
    <t>www.aljc.org</t>
  </si>
  <si>
    <t>Messianic Judaism – 0.3 million (Modern Protestantism 400-500 million)</t>
  </si>
  <si>
    <t>Messianic Judaism has a membership of 0.3 million people</t>
  </si>
  <si>
    <t>https://mjaa.org/messianic-movement/</t>
  </si>
  <si>
    <t>Nondenominational Christianity – 80–100 million (Modern Protestantism 400-500 million)</t>
  </si>
  <si>
    <t>Calvary Chapel – 25 million</t>
  </si>
  <si>
    <t>https://calvarychapel.com</t>
  </si>
  <si>
    <t>Christian and Missionary Alliance – 6 million</t>
  </si>
  <si>
    <t>http://awf.world</t>
  </si>
  <si>
    <t>Brazil</t>
  </si>
  <si>
    <t>Intl HQ is Brazil</t>
  </si>
  <si>
    <t>Church of God (Anderson, Indiana) – 1.2 million</t>
  </si>
  <si>
    <t>http://jesusisthesubject.org</t>
  </si>
  <si>
    <t>Anderson, IN</t>
  </si>
  <si>
    <t>89 countries, 7,800 churches and 887,000 members</t>
  </si>
  <si>
    <t>New Apostolic Church – 10 million (Modern Protestantism 400-500 million)</t>
  </si>
  <si>
    <t>The New Apostolic Church has around 10 million members</t>
  </si>
  <si>
    <t>https://www.nac-usa.org</t>
  </si>
  <si>
    <t>Latin Church – 1.327 billion</t>
  </si>
  <si>
    <t>Latin</t>
  </si>
  <si>
    <t>Roman Catholic Church Council</t>
  </si>
  <si>
    <t>www.vatican.va</t>
  </si>
  <si>
    <t>Canonically irregular groups</t>
  </si>
  <si>
    <t>Society of Saint Pius X – 1 million</t>
  </si>
  <si>
    <t>www.sspx.org</t>
  </si>
  <si>
    <t>Platte City, MO</t>
  </si>
  <si>
    <t>Sedevacantists</t>
  </si>
  <si>
    <t>Congregation of Mary Immaculate Queen</t>
  </si>
  <si>
    <t>Independent Catholicism – 18 million</t>
  </si>
  <si>
    <t>American Catholic Church in the United States</t>
  </si>
  <si>
    <t>www.accus.us</t>
  </si>
  <si>
    <t>Frederick, MD</t>
  </si>
  <si>
    <t>Apostolic Catholic Orthodox Church</t>
  </si>
  <si>
    <t>www.apostoliccatholic.org</t>
  </si>
  <si>
    <t>Houston, TX</t>
  </si>
  <si>
    <t>Brazilian Catholic Apostolic Church – 0.56 million</t>
  </si>
  <si>
    <t>Ecumenical Catholic Church USA</t>
  </si>
  <si>
    <t>www.ecc-usa.org</t>
  </si>
  <si>
    <t>Dardenne Prairie, MO</t>
  </si>
  <si>
    <t>Ecumenical Catholic Communion</t>
  </si>
  <si>
    <t>www.ecumenical-catholic-communion.org/</t>
  </si>
  <si>
    <t>Aurora, CO</t>
  </si>
  <si>
    <t>Mariavite Old Catholic Church, Province Of North America</t>
  </si>
  <si>
    <t>www.mariavite.org</t>
  </si>
  <si>
    <t>Wyandotte, MI</t>
  </si>
  <si>
    <t>Old Catholic Church – 0.1 million (in communion with the Anglican Communion)</t>
  </si>
  <si>
    <t>www.oldcatholic.org</t>
  </si>
  <si>
    <t>DeForest, WI</t>
  </si>
  <si>
    <t>Polish National Catholic Church – 0.03 million</t>
  </si>
  <si>
    <t>www.pncc.org</t>
  </si>
  <si>
    <t>Scranton, PA</t>
  </si>
  <si>
    <t>Reformed Catholic Church</t>
  </si>
  <si>
    <t>www.reformedcatholicchurch.org</t>
  </si>
  <si>
    <t>Traditionalist Mexican-American Catholic Church – 2 million</t>
  </si>
  <si>
    <t>Eastern Orthodoxy – 220 million</t>
  </si>
  <si>
    <t>Autocephalous churches – 168 million</t>
  </si>
  <si>
    <t>Greek Orthodox Archdiocese of America</t>
  </si>
  <si>
    <t>www.goarch.org</t>
  </si>
  <si>
    <t>Churches in communion with the above Orthodox Churches but with disputed autocephaly – 19 million</t>
  </si>
  <si>
    <t>Orthodox Church in America – 1 million</t>
  </si>
  <si>
    <t>Orthodoxy</t>
  </si>
  <si>
    <t>Orthodox and Oriental Orthodox Churches</t>
  </si>
  <si>
    <t>African Orthodox Church</t>
  </si>
  <si>
    <t>netministries.org/see/churches.exe/ch26904</t>
  </si>
  <si>
    <t>New York City, NY</t>
  </si>
  <si>
    <t>Albanian Orthodox Archdiocese in America</t>
  </si>
  <si>
    <t>www.orthodoxalbania.org</t>
  </si>
  <si>
    <t>South Boston, MA</t>
  </si>
  <si>
    <t>American Carpatho-Russian Orthodox Church</t>
  </si>
  <si>
    <t>www.acrod.org</t>
  </si>
  <si>
    <t>Johnstown, PA</t>
  </si>
  <si>
    <t>Antiochian Orthodox Christian Archdiocese of North America</t>
  </si>
  <si>
    <t>www.antiochian.org</t>
  </si>
  <si>
    <t>Englewood, NJ</t>
  </si>
  <si>
    <t>Apostolic Catholic Assyrian Church Of The East, North American Diocese</t>
  </si>
  <si>
    <t>www.cired.org</t>
  </si>
  <si>
    <t>Apostolic Episcopal Church</t>
  </si>
  <si>
    <t>bertilpersson.com/</t>
  </si>
  <si>
    <t>Queens, NY</t>
  </si>
  <si>
    <t>Armenian Apostolic Church of America</t>
  </si>
  <si>
    <t>www.armenianprelacy.org</t>
  </si>
  <si>
    <t>Coptic Orthodox Church</t>
  </si>
  <si>
    <t>www.coptic.net</t>
  </si>
  <si>
    <t>Cedar Grove, NJ</t>
  </si>
  <si>
    <t>Holy Eastern Orthodox Catholic and Apostolic Church</t>
  </si>
  <si>
    <t>www.theocacna.org</t>
  </si>
  <si>
    <t>Cedar Point, NC</t>
  </si>
  <si>
    <t>Malankara Orthodox Syrian Church</t>
  </si>
  <si>
    <t>http://malankaraorthodoxchurch.in/</t>
  </si>
  <si>
    <t>Bellerose, NY</t>
  </si>
  <si>
    <t>Mar Thoma Orthodox Syrian Church of India</t>
  </si>
  <si>
    <t>www.marthomachurch.org</t>
  </si>
  <si>
    <t>Merrick, NY</t>
  </si>
  <si>
    <t>Orthodox Church in America</t>
  </si>
  <si>
    <t>www.oca.org</t>
  </si>
  <si>
    <t>Syosset, NY</t>
  </si>
  <si>
    <t>Romanian Orthodox Episcopate of America</t>
  </si>
  <si>
    <t>www.roea.org</t>
  </si>
  <si>
    <t>Jackson, MI</t>
  </si>
  <si>
    <t>Serbian Orthodox Church in the U.S.A.</t>
  </si>
  <si>
    <t>www.serbianorthodoxchurch.org</t>
  </si>
  <si>
    <t>Syrian (Syriac) Orthodox Church of Antioch (Archdiocese of the Eastern United States)</t>
  </si>
  <si>
    <t>www.syrianorthodoxchurch.org</t>
  </si>
  <si>
    <t>Teaneck, NJ</t>
  </si>
  <si>
    <t>Adventist and Sabbatarian (Hebraic) Churches</t>
  </si>
  <si>
    <t>Advent Christian Church General Conference</t>
  </si>
  <si>
    <t>www.adventchristian.org</t>
  </si>
  <si>
    <t>Branch Davidians, General Association</t>
  </si>
  <si>
    <t>www.the-branch.org/</t>
  </si>
  <si>
    <t>Kingsland, TX</t>
  </si>
  <si>
    <t>Christadelphians</t>
  </si>
  <si>
    <t>Church of God Seventh Day</t>
  </si>
  <si>
    <t>www.cog7.org</t>
  </si>
  <si>
    <t>Church of God and Saints of Christ</t>
  </si>
  <si>
    <t>www.cogasoc.net</t>
  </si>
  <si>
    <t>Hagerstown, MD</t>
  </si>
  <si>
    <t>Church of God General Conference</t>
  </si>
  <si>
    <t>www.abc-coggc.org</t>
  </si>
  <si>
    <t>Morrow, GA</t>
  </si>
  <si>
    <t>Grace Communion International</t>
  </si>
  <si>
    <t>www.graceci.org</t>
  </si>
  <si>
    <t>Pasadena, CA</t>
  </si>
  <si>
    <t>Philadelphia Church of God</t>
  </si>
  <si>
    <t>www.pcog.org</t>
  </si>
  <si>
    <t>Edmond, OK</t>
  </si>
  <si>
    <t>United Church of God</t>
  </si>
  <si>
    <t>www.ucg.org</t>
  </si>
  <si>
    <t>Cincinatti, OH</t>
  </si>
  <si>
    <t>Networks, Community and New Paradigm Churches</t>
  </si>
  <si>
    <t>ARC Network</t>
  </si>
  <si>
    <t>Acts 29 Network</t>
  </si>
  <si>
    <t>www.acts29network.org</t>
  </si>
  <si>
    <t>Communion of Evangelical Episcopal Churches</t>
  </si>
  <si>
    <t>www.theceec.org</t>
  </si>
  <si>
    <t>Franklin, TN</t>
  </si>
  <si>
    <t>Cowboy Church Network of North America</t>
  </si>
  <si>
    <t>www.cowboycn.org</t>
  </si>
  <si>
    <t>Midland, NC</t>
  </si>
  <si>
    <t>Emergent Village</t>
  </si>
  <si>
    <t>www.emergentvillage.org</t>
  </si>
  <si>
    <t>International Council of Community Churches</t>
  </si>
  <si>
    <t>www.icccusa.com</t>
  </si>
  <si>
    <t>Frankfort, IL</t>
  </si>
  <si>
    <t>Universal Fellowship of Metropolitan Community Churches</t>
  </si>
  <si>
    <t>www.mccchurch.org</t>
  </si>
  <si>
    <t>Abilene, TX</t>
  </si>
  <si>
    <t>Judaism</t>
  </si>
  <si>
    <t>Lubavitch World Headquarters</t>
  </si>
  <si>
    <t>www.lubavitch.com</t>
  </si>
  <si>
    <t>Brooklyn, NY</t>
  </si>
  <si>
    <t>every other year</t>
  </si>
  <si>
    <t xml:space="preserve">Greg </t>
  </si>
  <si>
    <t>Count</t>
  </si>
  <si>
    <t>States below the line are in process of being scrubbed, clean with different TBD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</si>
</sst>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ourierNewPS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333333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 (Body)"/>
    </font>
    <font>
      <sz val="12"/>
      <name val="Calibri (Body)"/>
    </font>
    <font>
      <sz val="12"/>
      <color theme="1"/>
      <name val="Calibri (Body)"/>
    </font>
    <font>
      <b/>
      <sz val="14"/>
      <color theme="1"/>
      <name val="Calibri"/>
      <family val="2"/>
      <scheme val="minor"/>
    </font>
    <font>
      <sz val="18"/>
      <name val="Helvetica Neue"/>
      <family val="2"/>
    </font>
    <font>
      <sz val="12"/>
      <color rgb="FFFF0000"/>
      <name val="Calibri"/>
      <family val="2"/>
      <scheme val="minor"/>
    </font>
    <font>
      <b/>
      <sz val="12"/>
      <name val="CourierNewPS"/>
    </font>
    <font>
      <b/>
      <sz val="14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50707"/>
      <name val="Calibri"/>
      <family val="2"/>
      <scheme val="minor"/>
    </font>
    <font>
      <sz val="12"/>
      <color rgb="FF000000"/>
      <name val="Calibri (Body)"/>
    </font>
    <font>
      <b/>
      <sz val="12"/>
      <color theme="1"/>
      <name val="Calibri (Body)"/>
    </font>
    <font>
      <i/>
      <sz val="12"/>
      <color rgb="FFFF0000"/>
      <name val="Calibri"/>
      <family val="2"/>
      <scheme val="minor"/>
    </font>
    <font>
      <sz val="16"/>
      <color theme="1"/>
      <name val="Calibri (Body)"/>
    </font>
    <font>
      <b/>
      <sz val="16"/>
      <name val="Calibri (Body)"/>
    </font>
    <font>
      <sz val="16"/>
      <name val="Calibri (Body)"/>
    </font>
    <font>
      <sz val="14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theme="1"/>
      <name val="Calibri (Body)"/>
    </font>
    <font>
      <i/>
      <sz val="12"/>
      <color theme="1"/>
      <name val="Calibri (Body)"/>
    </font>
    <font>
      <b/>
      <sz val="14"/>
      <color theme="1"/>
      <name val="Calibri (Body)"/>
    </font>
    <font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8"/>
      <color rgb="FF030303"/>
      <name val="Arial"/>
      <family val="2"/>
    </font>
    <font>
      <sz val="12"/>
      <color rgb="FF050505"/>
      <name val="Calibri"/>
      <family val="2"/>
      <scheme val="minor"/>
    </font>
    <font>
      <sz val="12"/>
      <color rgb="FF202122"/>
      <name val="Calibri"/>
      <family val="2"/>
      <scheme val="minor"/>
    </font>
    <font>
      <sz val="12"/>
      <color rgb="FF47474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/>
    <xf numFmtId="3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3" fontId="0" fillId="0" borderId="3" xfId="0" applyNumberFormat="1" applyBorder="1"/>
    <xf numFmtId="0" fontId="4" fillId="0" borderId="0" xfId="0" applyFont="1"/>
    <xf numFmtId="3" fontId="0" fillId="0" borderId="3" xfId="0" applyNumberFormat="1" applyBorder="1" applyAlignment="1">
      <alignment horizontal="center"/>
    </xf>
    <xf numFmtId="0" fontId="5" fillId="0" borderId="3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1" applyFont="1" applyBorder="1" applyAlignment="1" applyProtection="1"/>
    <xf numFmtId="0" fontId="4" fillId="0" borderId="3" xfId="1" applyFont="1" applyBorder="1" applyAlignment="1" applyProtection="1">
      <alignment horizontal="center"/>
    </xf>
    <xf numFmtId="3" fontId="0" fillId="0" borderId="2" xfId="0" applyNumberFormat="1" applyBorder="1" applyAlignment="1">
      <alignment horizontal="center"/>
    </xf>
    <xf numFmtId="17" fontId="0" fillId="0" borderId="3" xfId="0" applyNumberFormat="1" applyBorder="1"/>
    <xf numFmtId="0" fontId="9" fillId="0" borderId="3" xfId="0" applyFont="1" applyBorder="1" applyAlignment="1">
      <alignment horizontal="center"/>
    </xf>
    <xf numFmtId="2" fontId="0" fillId="0" borderId="2" xfId="0" applyNumberFormat="1" applyBorder="1" applyAlignment="1">
      <alignment horizontal="left"/>
    </xf>
    <xf numFmtId="0" fontId="0" fillId="0" borderId="4" xfId="0" applyBorder="1"/>
    <xf numFmtId="0" fontId="10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2" fillId="0" borderId="3" xfId="1" applyFont="1" applyBorder="1"/>
    <xf numFmtId="0" fontId="11" fillId="0" borderId="3" xfId="0" applyFont="1" applyBorder="1"/>
    <xf numFmtId="0" fontId="4" fillId="0" borderId="3" xfId="1" applyFont="1" applyBorder="1"/>
    <xf numFmtId="0" fontId="4" fillId="0" borderId="3" xfId="0" applyFont="1" applyBorder="1" applyAlignment="1">
      <alignment horizontal="left"/>
    </xf>
    <xf numFmtId="0" fontId="1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center"/>
    </xf>
    <xf numFmtId="16" fontId="13" fillId="0" borderId="0" xfId="0" applyNumberFormat="1" applyFont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3" fillId="0" borderId="1" xfId="0" applyFont="1" applyBorder="1"/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1" applyFont="1" applyBorder="1"/>
    <xf numFmtId="0" fontId="14" fillId="0" borderId="3" xfId="0" applyFont="1" applyBorder="1" applyAlignment="1">
      <alignment horizontal="left"/>
    </xf>
    <xf numFmtId="0" fontId="4" fillId="0" borderId="3" xfId="1" applyFont="1" applyFill="1" applyBorder="1" applyAlignment="1">
      <alignment horizontal="left"/>
    </xf>
    <xf numFmtId="0" fontId="4" fillId="0" borderId="3" xfId="1" applyFont="1" applyBorder="1" applyAlignment="1">
      <alignment horizontal="left"/>
    </xf>
    <xf numFmtId="0" fontId="4" fillId="0" borderId="3" xfId="1" applyFont="1" applyBorder="1" applyAlignment="1"/>
    <xf numFmtId="0" fontId="4" fillId="0" borderId="2" xfId="0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15" fillId="0" borderId="3" xfId="0" applyFont="1" applyBorder="1"/>
    <xf numFmtId="0" fontId="16" fillId="0" borderId="3" xfId="0" applyFont="1" applyBorder="1"/>
    <xf numFmtId="0" fontId="3" fillId="0" borderId="0" xfId="0" applyFont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8" fillId="0" borderId="3" xfId="0" applyFont="1" applyBorder="1"/>
    <xf numFmtId="0" fontId="2" fillId="0" borderId="3" xfId="1" applyBorder="1"/>
    <xf numFmtId="0" fontId="17" fillId="0" borderId="3" xfId="0" applyFont="1" applyBorder="1"/>
    <xf numFmtId="0" fontId="4" fillId="0" borderId="5" xfId="1" applyFont="1" applyBorder="1" applyAlignment="1">
      <alignment horizontal="left"/>
    </xf>
    <xf numFmtId="0" fontId="4" fillId="0" borderId="3" xfId="1" applyFont="1" applyFill="1" applyBorder="1"/>
    <xf numFmtId="3" fontId="3" fillId="0" borderId="3" xfId="0" applyNumberFormat="1" applyFont="1" applyBorder="1"/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17" fontId="4" fillId="0" borderId="3" xfId="0" applyNumberFormat="1" applyFont="1" applyBorder="1"/>
    <xf numFmtId="3" fontId="6" fillId="0" borderId="3" xfId="0" applyNumberFormat="1" applyFont="1" applyBorder="1"/>
    <xf numFmtId="3" fontId="10" fillId="0" borderId="3" xfId="0" applyNumberFormat="1" applyFont="1" applyBorder="1"/>
    <xf numFmtId="3" fontId="4" fillId="0" borderId="3" xfId="0" applyNumberFormat="1" applyFont="1" applyBorder="1"/>
    <xf numFmtId="0" fontId="19" fillId="0" borderId="3" xfId="0" applyFont="1" applyBorder="1"/>
    <xf numFmtId="0" fontId="20" fillId="0" borderId="3" xfId="0" applyFont="1" applyBorder="1"/>
    <xf numFmtId="0" fontId="20" fillId="2" borderId="3" xfId="0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4" fillId="0" borderId="0" xfId="1" applyFont="1"/>
    <xf numFmtId="0" fontId="12" fillId="0" borderId="2" xfId="1" applyFont="1" applyBorder="1"/>
    <xf numFmtId="0" fontId="4" fillId="0" borderId="5" xfId="0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4" fillId="0" borderId="0" xfId="1" applyFont="1" applyBorder="1"/>
    <xf numFmtId="0" fontId="4" fillId="0" borderId="5" xfId="1" applyFont="1" applyBorder="1"/>
    <xf numFmtId="0" fontId="10" fillId="0" borderId="3" xfId="0" applyFont="1" applyBorder="1"/>
    <xf numFmtId="0" fontId="1" fillId="0" borderId="3" xfId="0" applyFont="1" applyBorder="1"/>
    <xf numFmtId="0" fontId="21" fillId="0" borderId="3" xfId="0" applyFont="1" applyBorder="1"/>
    <xf numFmtId="0" fontId="22" fillId="0" borderId="3" xfId="0" applyFont="1" applyBorder="1"/>
    <xf numFmtId="0" fontId="1" fillId="0" borderId="3" xfId="0" applyFont="1" applyBorder="1" applyAlignment="1">
      <alignment horizontal="center"/>
    </xf>
    <xf numFmtId="0" fontId="16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7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5" borderId="3" xfId="0" applyFont="1" applyFill="1" applyBorder="1" applyAlignment="1">
      <alignment horizontal="center"/>
    </xf>
    <xf numFmtId="17" fontId="25" fillId="0" borderId="3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5" fillId="0" borderId="2" xfId="0" applyFont="1" applyBorder="1"/>
    <xf numFmtId="0" fontId="14" fillId="0" borderId="2" xfId="0" applyFont="1" applyBorder="1"/>
    <xf numFmtId="17" fontId="3" fillId="6" borderId="3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9" fontId="15" fillId="0" borderId="3" xfId="0" applyNumberFormat="1" applyFont="1" applyBorder="1" applyAlignment="1">
      <alignment horizontal="center"/>
    </xf>
    <xf numFmtId="0" fontId="27" fillId="6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8" fillId="6" borderId="3" xfId="0" applyFont="1" applyFill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3" xfId="0" applyFont="1" applyBorder="1"/>
    <xf numFmtId="0" fontId="29" fillId="0" borderId="3" xfId="0" applyFont="1" applyBorder="1"/>
    <xf numFmtId="0" fontId="15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0" fillId="0" borderId="3" xfId="0" applyFont="1" applyBorder="1" applyAlignment="1">
      <alignment horizontal="left"/>
    </xf>
    <xf numFmtId="3" fontId="15" fillId="0" borderId="3" xfId="0" applyNumberFormat="1" applyFont="1" applyBorder="1" applyAlignment="1">
      <alignment horizontal="center"/>
    </xf>
    <xf numFmtId="0" fontId="15" fillId="7" borderId="3" xfId="0" applyFont="1" applyFill="1" applyBorder="1" applyAlignment="1">
      <alignment horizontal="left"/>
    </xf>
    <xf numFmtId="0" fontId="18" fillId="0" borderId="3" xfId="0" applyFont="1" applyBorder="1" applyAlignment="1">
      <alignment horizontal="left"/>
    </xf>
    <xf numFmtId="3" fontId="32" fillId="0" borderId="3" xfId="0" applyNumberFormat="1" applyFont="1" applyBorder="1" applyAlignment="1">
      <alignment horizontal="center"/>
    </xf>
    <xf numFmtId="0" fontId="33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16" fontId="10" fillId="0" borderId="3" xfId="0" applyNumberFormat="1" applyFont="1" applyBorder="1" applyAlignment="1">
      <alignment horizontal="center"/>
    </xf>
    <xf numFmtId="0" fontId="13" fillId="0" borderId="3" xfId="0" applyFont="1" applyBorder="1"/>
    <xf numFmtId="0" fontId="3" fillId="6" borderId="3" xfId="0" applyFont="1" applyFill="1" applyBorder="1"/>
    <xf numFmtId="17" fontId="4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15" fillId="8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left"/>
    </xf>
    <xf numFmtId="0" fontId="2" fillId="0" borderId="0" xfId="1" applyBorder="1" applyAlignment="1">
      <alignment horizontal="center"/>
    </xf>
    <xf numFmtId="17" fontId="15" fillId="0" borderId="2" xfId="0" applyNumberFormat="1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20" fillId="6" borderId="3" xfId="0" applyFont="1" applyFill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17" fontId="14" fillId="0" borderId="3" xfId="0" applyNumberFormat="1" applyFont="1" applyBorder="1" applyAlignment="1">
      <alignment horizontal="center"/>
    </xf>
    <xf numFmtId="0" fontId="35" fillId="0" borderId="3" xfId="0" applyFont="1" applyBorder="1"/>
    <xf numFmtId="0" fontId="22" fillId="0" borderId="3" xfId="0" applyFont="1" applyBorder="1" applyAlignment="1">
      <alignment horizontal="left"/>
    </xf>
    <xf numFmtId="0" fontId="25" fillId="7" borderId="3" xfId="0" applyFont="1" applyFill="1" applyBorder="1" applyAlignment="1">
      <alignment horizontal="left"/>
    </xf>
    <xf numFmtId="0" fontId="15" fillId="7" borderId="3" xfId="0" applyFont="1" applyFill="1" applyBorder="1" applyAlignment="1">
      <alignment horizontal="center"/>
    </xf>
    <xf numFmtId="0" fontId="25" fillId="0" borderId="3" xfId="0" applyFont="1" applyBorder="1" applyAlignment="1">
      <alignment horizontal="left"/>
    </xf>
    <xf numFmtId="0" fontId="25" fillId="0" borderId="3" xfId="0" applyFont="1" applyBorder="1"/>
    <xf numFmtId="0" fontId="16" fillId="0" borderId="0" xfId="0" applyFont="1" applyAlignment="1">
      <alignment horizontal="left"/>
    </xf>
    <xf numFmtId="0" fontId="14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36" fillId="6" borderId="3" xfId="0" applyFont="1" applyFill="1" applyBorder="1" applyAlignment="1">
      <alignment horizontal="center"/>
    </xf>
    <xf numFmtId="0" fontId="36" fillId="6" borderId="3" xfId="0" applyFont="1" applyFill="1" applyBorder="1" applyAlignment="1">
      <alignment horizontal="left"/>
    </xf>
    <xf numFmtId="0" fontId="36" fillId="0" borderId="3" xfId="0" applyFont="1" applyBorder="1" applyAlignment="1">
      <alignment horizontal="center"/>
    </xf>
    <xf numFmtId="0" fontId="36" fillId="0" borderId="3" xfId="0" applyFont="1" applyBorder="1" applyAlignment="1">
      <alignment horizontal="left"/>
    </xf>
    <xf numFmtId="3" fontId="16" fillId="0" borderId="3" xfId="0" applyNumberFormat="1" applyFont="1" applyBorder="1" applyAlignment="1">
      <alignment horizontal="center"/>
    </xf>
    <xf numFmtId="3" fontId="16" fillId="0" borderId="3" xfId="0" applyNumberFormat="1" applyFont="1" applyBorder="1"/>
    <xf numFmtId="0" fontId="6" fillId="0" borderId="3" xfId="0" applyFont="1" applyBorder="1"/>
    <xf numFmtId="0" fontId="10" fillId="0" borderId="3" xfId="0" applyFont="1" applyBorder="1" applyAlignment="1">
      <alignment horizontal="left"/>
    </xf>
    <xf numFmtId="9" fontId="0" fillId="0" borderId="3" xfId="0" applyNumberFormat="1" applyBorder="1"/>
    <xf numFmtId="0" fontId="23" fillId="0" borderId="3" xfId="0" applyFont="1" applyBorder="1"/>
    <xf numFmtId="0" fontId="16" fillId="6" borderId="3" xfId="0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38" fillId="0" borderId="3" xfId="0" applyFont="1" applyBorder="1"/>
    <xf numFmtId="3" fontId="1" fillId="0" borderId="3" xfId="0" applyNumberFormat="1" applyFont="1" applyBorder="1" applyAlignment="1">
      <alignment horizontal="center"/>
    </xf>
    <xf numFmtId="0" fontId="37" fillId="0" borderId="0" xfId="0" applyFont="1"/>
    <xf numFmtId="0" fontId="37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9" fillId="0" borderId="0" xfId="0" applyFont="1"/>
    <xf numFmtId="0" fontId="16" fillId="2" borderId="3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38" fillId="2" borderId="3" xfId="0" applyFont="1" applyFill="1" applyBorder="1"/>
    <xf numFmtId="0" fontId="38" fillId="2" borderId="3" xfId="0" applyFont="1" applyFill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40" fillId="0" borderId="0" xfId="0" applyFont="1"/>
    <xf numFmtId="0" fontId="16" fillId="2" borderId="3" xfId="0" applyFont="1" applyFill="1" applyBorder="1" applyAlignment="1">
      <alignment horizontal="left"/>
    </xf>
    <xf numFmtId="0" fontId="4" fillId="4" borderId="3" xfId="0" applyFont="1" applyFill="1" applyBorder="1"/>
    <xf numFmtId="3" fontId="8" fillId="0" borderId="3" xfId="0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3" xfId="0" applyFont="1" applyFill="1" applyBorder="1"/>
    <xf numFmtId="0" fontId="41" fillId="0" borderId="3" xfId="0" applyFont="1" applyBorder="1"/>
    <xf numFmtId="0" fontId="6" fillId="10" borderId="3" xfId="0" applyFont="1" applyFill="1" applyBorder="1"/>
    <xf numFmtId="0" fontId="6" fillId="10" borderId="3" xfId="0" applyFont="1" applyFill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4" fillId="11" borderId="3" xfId="0" applyFont="1" applyFill="1" applyBorder="1" applyAlignment="1">
      <alignment horizontal="left"/>
    </xf>
    <xf numFmtId="0" fontId="4" fillId="11" borderId="3" xfId="0" applyFont="1" applyFill="1" applyBorder="1"/>
    <xf numFmtId="0" fontId="4" fillId="11" borderId="2" xfId="0" applyFont="1" applyFill="1" applyBorder="1"/>
    <xf numFmtId="0" fontId="14" fillId="11" borderId="3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2" borderId="3" xfId="0" applyFont="1" applyFill="1" applyBorder="1"/>
    <xf numFmtId="0" fontId="6" fillId="10" borderId="0" xfId="0" applyFont="1" applyFill="1"/>
    <xf numFmtId="0" fontId="6" fillId="10" borderId="0" xfId="0" applyFont="1" applyFill="1" applyAlignment="1">
      <alignment horizontal="center"/>
    </xf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/>
    </xf>
    <xf numFmtId="0" fontId="10" fillId="10" borderId="3" xfId="0" applyFont="1" applyFill="1" applyBorder="1"/>
    <xf numFmtId="0" fontId="10" fillId="2" borderId="3" xfId="0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1" fillId="10" borderId="3" xfId="0" applyFont="1" applyFill="1" applyBorder="1"/>
    <xf numFmtId="0" fontId="4" fillId="3" borderId="2" xfId="0" applyFont="1" applyFill="1" applyBorder="1" applyAlignment="1">
      <alignment horizontal="center"/>
    </xf>
    <xf numFmtId="3" fontId="4" fillId="0" borderId="3" xfId="0" applyNumberFormat="1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42" fillId="0" borderId="3" xfId="0" applyFont="1" applyBorder="1"/>
    <xf numFmtId="0" fontId="11" fillId="0" borderId="0" xfId="0" applyFont="1"/>
    <xf numFmtId="0" fontId="4" fillId="9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10" borderId="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mailto:mloomis@imnag.or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mailto:jen@eco-pres.org" TargetMode="External"/><Relationship Id="rId2" Type="http://schemas.openxmlformats.org/officeDocument/2006/relationships/hyperlink" Target="mailto:kim@eco-pres.org" TargetMode="External"/><Relationship Id="rId1" Type="http://schemas.openxmlformats.org/officeDocument/2006/relationships/hyperlink" Target="mailto:dana@eco-pres.org" TargetMode="External"/><Relationship Id="rId4" Type="http://schemas.openxmlformats.org/officeDocument/2006/relationships/hyperlink" Target="mailto:lisa@eco-pres.or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101600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E63AC-2DFD-C84F-AA3F-D3A25D909526}"/>
            </a:ext>
          </a:extLst>
        </xdr:cNvPr>
        <xdr:cNvSpPr>
          <a:spLocks noChangeAspect="1" noChangeArrowheads="1"/>
        </xdr:cNvSpPr>
      </xdr:nvSpPr>
      <xdr:spPr bwMode="auto">
        <a:xfrm>
          <a:off x="11557000" y="125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28</xdr:row>
      <xdr:rowOff>0</xdr:rowOff>
    </xdr:from>
    <xdr:to>
      <xdr:col>23</xdr:col>
      <xdr:colOff>304800</xdr:colOff>
      <xdr:row>29</xdr:row>
      <xdr:rowOff>101600</xdr:rowOff>
    </xdr:to>
    <xdr:sp macro="" textlink="">
      <xdr:nvSpPr>
        <xdr:cNvPr id="17409" name="AutoShape 1" descr="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2F8F5-C560-8971-77D9-A5F42C94F02B}"/>
            </a:ext>
          </a:extLst>
        </xdr:cNvPr>
        <xdr:cNvSpPr>
          <a:spLocks noChangeAspect="1" noChangeArrowheads="1"/>
        </xdr:cNvSpPr>
      </xdr:nvSpPr>
      <xdr:spPr bwMode="auto">
        <a:xfrm>
          <a:off x="16078200" y="76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304800</xdr:colOff>
      <xdr:row>31</xdr:row>
      <xdr:rowOff>101600</xdr:rowOff>
    </xdr:to>
    <xdr:sp macro="" textlink="">
      <xdr:nvSpPr>
        <xdr:cNvPr id="17410" name="AutoShape 2" descr="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593B05-34B8-5719-A3D8-F53FC2E6A142}"/>
            </a:ext>
          </a:extLst>
        </xdr:cNvPr>
        <xdr:cNvSpPr>
          <a:spLocks noChangeAspect="1" noChangeArrowheads="1"/>
        </xdr:cNvSpPr>
      </xdr:nvSpPr>
      <xdr:spPr bwMode="auto">
        <a:xfrm>
          <a:off x="1607820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304800</xdr:colOff>
      <xdr:row>32</xdr:row>
      <xdr:rowOff>101600</xdr:rowOff>
    </xdr:to>
    <xdr:sp macro="" textlink="">
      <xdr:nvSpPr>
        <xdr:cNvPr id="17411" name="AutoShape 3" descr="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9BA394-324A-866D-02C1-AC0CB8C85A33}"/>
            </a:ext>
          </a:extLst>
        </xdr:cNvPr>
        <xdr:cNvSpPr>
          <a:spLocks noChangeAspect="1" noChangeArrowheads="1"/>
        </xdr:cNvSpPr>
      </xdr:nvSpPr>
      <xdr:spPr bwMode="auto">
        <a:xfrm>
          <a:off x="16078200" y="8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304800</xdr:colOff>
      <xdr:row>33</xdr:row>
      <xdr:rowOff>101600</xdr:rowOff>
    </xdr:to>
    <xdr:sp macro="" textlink="">
      <xdr:nvSpPr>
        <xdr:cNvPr id="17412" name="AutoShape 4" descr="✉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610EF7-279C-BDAB-05A2-97352BCB0068}"/>
            </a:ext>
          </a:extLst>
        </xdr:cNvPr>
        <xdr:cNvSpPr>
          <a:spLocks noChangeAspect="1" noChangeArrowheads="1"/>
        </xdr:cNvSpPr>
      </xdr:nvSpPr>
      <xdr:spPr bwMode="auto">
        <a:xfrm>
          <a:off x="16078200" y="8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deolinger/Desktop/Assembly%20of%20God%20Churches/AG%20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deolinger/Desktop/Foursquare%20Church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deolinger/Desktop/David%20Chrzan/All%20Baptist%20Church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USB20FD/Databases/ECO%20Churches%20/ECO%20Church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 by State Summary"/>
      <sheetName val="Alaska-90"/>
      <sheetName val="Kentucky-112"/>
      <sheetName val="Maryland-106"/>
      <sheetName val="Mass-113"/>
      <sheetName val="Colorado-299"/>
      <sheetName val="Georgia-420"/>
      <sheetName val="Indiana-253"/>
      <sheetName val="Iowa-142"/>
      <sheetName val="Kansas-144"/>
      <sheetName val="Louisiana-215"/>
      <sheetName val="Minnesota-348"/>
      <sheetName val="Mississippi-152"/>
      <sheetName val="West Virginia-113"/>
      <sheetName val="New Mexico-146"/>
      <sheetName val="Wisconsin-174"/>
      <sheetName val="Puerto Rico-195"/>
      <sheetName val="Tennessee-214"/>
      <sheetName val="Oregon-222"/>
      <sheetName val="Virginia-216"/>
      <sheetName val="New Jersey-266"/>
      <sheetName val="Michigan-317"/>
      <sheetName val="Arizona-283"/>
      <sheetName val="North Carolina-279"/>
      <sheetName val="Ohio-284"/>
      <sheetName val="Illinois-371"/>
      <sheetName val="New York-325"/>
      <sheetName val="Pennsylvania-402"/>
      <sheetName val="Alabama-354"/>
      <sheetName val="Washington-425"/>
      <sheetName val="Arkansas-464"/>
      <sheetName val="Missouri-514"/>
      <sheetName val="Oklahoma-480"/>
      <sheetName val="Florida-890"/>
      <sheetName val="Texas-1102"/>
      <sheetName val="California-1572"/>
      <sheetName val="Connecticut-181 finished"/>
      <sheetName val="Delaware-50 finished"/>
      <sheetName val="DC-65 finished"/>
      <sheetName val="Hawaii-193 finished"/>
      <sheetName val="Idaho-111 finished"/>
      <sheetName val="Maine-69 finished"/>
      <sheetName val="Montana-157 finished"/>
      <sheetName val="Nebraska-210 finished"/>
      <sheetName val="Nevada-131 finished"/>
      <sheetName val="New Hampshre-69 finished"/>
      <sheetName val="North Dakota-124 finished"/>
      <sheetName val="Rhode Island-25 finished"/>
      <sheetName val="South Carolina-276 finished"/>
      <sheetName val="South Dakota-80 finished"/>
      <sheetName val="Utah-99 finished"/>
      <sheetName val="Vermont-31 finished"/>
      <sheetName val="Wyoming-78 finis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53">
          <cell r="CE15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States"/>
      <sheetName val="Summary"/>
      <sheetName val="Alabama-21 clean"/>
      <sheetName val="Alaska-3 clean"/>
      <sheetName val="Arizona-103 clean"/>
      <sheetName val="Arkansas-22 clean"/>
      <sheetName val="California-1172 clean"/>
      <sheetName val="Colorado-156 clean"/>
      <sheetName val="Connecticut-6 clean"/>
      <sheetName val="Florida-49 clean"/>
      <sheetName val="Georgia-17 clean"/>
      <sheetName val="Hawaii-213 clean"/>
      <sheetName val="Idaho-28 clean"/>
      <sheetName val="Illinois-93 clean"/>
      <sheetName val="Indiana-43 clean"/>
      <sheetName val="Iowa-42 clean"/>
      <sheetName val="Kansas-40 clean"/>
      <sheetName val="Kentucky-20 clean"/>
      <sheetName val="Louisiana-14 clean"/>
      <sheetName val="Maine-8 clean"/>
      <sheetName val="Maryland-30 clean"/>
      <sheetName val="Mass-25 clean"/>
      <sheetName val="Michigan-28 clean"/>
      <sheetName val="Minnesota-14 clean"/>
      <sheetName val="Mississippi-2 clean"/>
      <sheetName val="Missouri-57 clean"/>
      <sheetName val="Montana-77 clean"/>
      <sheetName val="Nebraska-21 clean"/>
      <sheetName val="Nevada-74 clean"/>
      <sheetName val="New Hampshire-35 clean"/>
      <sheetName val="New Jersey-20 clean"/>
      <sheetName val="New Mexico-19 clean"/>
      <sheetName val="New York-14 clean"/>
      <sheetName val="North Carolina-97 clean"/>
      <sheetName val="North Dakota-18 clean"/>
      <sheetName val="Ohio-65 clean"/>
      <sheetName val="Oklahoma-22 clean"/>
      <sheetName val="Oregon-432 clean"/>
      <sheetName val="Pennsylvania-30 clean"/>
      <sheetName val="Rhode Island-4 clean"/>
      <sheetName val="South Carolina-18 clean"/>
      <sheetName val="South Dakota-20 clean"/>
      <sheetName val="Tennessee-30 clean"/>
      <sheetName val="Texas-154 clean"/>
      <sheetName val="Utah-41 clean"/>
      <sheetName val="Vermont-1 clean"/>
      <sheetName val="Virginia-94 clean"/>
      <sheetName val="Washington-715 clean"/>
      <sheetName val="West Virginia-10 clean"/>
      <sheetName val="Wyoming-19 clean"/>
      <sheetName val="Wisconsin-30 clean"/>
      <sheetName val="Alberta-5 clean"/>
      <sheetName val="British Columbia-123 clean"/>
      <sheetName val="Manitoba-2 clean"/>
      <sheetName val="New Brunswick-4 clean"/>
      <sheetName val="Nova Scotia-1 clean"/>
      <sheetName val="Ontario-34 clean"/>
      <sheetName val="Quebec-2 clean"/>
      <sheetName val="Saskatchewan-17 clean"/>
      <sheetName val="Yukon-2 clean"/>
      <sheetName val="Larger Churches"/>
      <sheetName val="11-District Offices"/>
      <sheetName val="Quick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0">
          <cell r="AS220">
            <v>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8">
          <cell r="AY68">
            <v>2</v>
          </cell>
        </row>
      </sheetData>
      <sheetData sheetId="26">
        <row r="88">
          <cell r="CC88">
            <v>0</v>
          </cell>
          <cell r="CI88">
            <v>0</v>
          </cell>
          <cell r="CJ88">
            <v>0</v>
          </cell>
          <cell r="CK88">
            <v>0</v>
          </cell>
          <cell r="CM88">
            <v>0</v>
          </cell>
          <cell r="CN88">
            <v>0</v>
          </cell>
          <cell r="CP88">
            <v>0</v>
          </cell>
          <cell r="CR88">
            <v>0</v>
          </cell>
          <cell r="CS88">
            <v>0</v>
          </cell>
          <cell r="CU88">
            <v>0</v>
          </cell>
          <cell r="CV88">
            <v>0</v>
          </cell>
        </row>
      </sheetData>
      <sheetData sheetId="27">
        <row r="32">
          <cell r="CC32">
            <v>0</v>
          </cell>
          <cell r="CI32">
            <v>0</v>
          </cell>
          <cell r="CJ32">
            <v>0</v>
          </cell>
          <cell r="CK32">
            <v>0</v>
          </cell>
          <cell r="CM32">
            <v>0</v>
          </cell>
          <cell r="CN32">
            <v>0</v>
          </cell>
          <cell r="CP32">
            <v>0</v>
          </cell>
          <cell r="CR32">
            <v>0</v>
          </cell>
          <cell r="CS32">
            <v>0</v>
          </cell>
          <cell r="CU32">
            <v>0</v>
          </cell>
          <cell r="CV32">
            <v>0</v>
          </cell>
        </row>
      </sheetData>
      <sheetData sheetId="28">
        <row r="86">
          <cell r="CC86">
            <v>0</v>
          </cell>
          <cell r="CI86">
            <v>0</v>
          </cell>
          <cell r="CJ86">
            <v>0</v>
          </cell>
          <cell r="CK86">
            <v>0</v>
          </cell>
          <cell r="CM86">
            <v>0</v>
          </cell>
          <cell r="CN86">
            <v>0</v>
          </cell>
          <cell r="CP86">
            <v>0</v>
          </cell>
          <cell r="CR86">
            <v>0</v>
          </cell>
          <cell r="CS86">
            <v>0</v>
          </cell>
          <cell r="CU86">
            <v>0</v>
          </cell>
          <cell r="CV86">
            <v>0</v>
          </cell>
        </row>
      </sheetData>
      <sheetData sheetId="29">
        <row r="44">
          <cell r="CC44">
            <v>0</v>
          </cell>
          <cell r="CI44">
            <v>0</v>
          </cell>
          <cell r="CJ44">
            <v>0</v>
          </cell>
          <cell r="CK44">
            <v>0</v>
          </cell>
          <cell r="CP44">
            <v>0</v>
          </cell>
          <cell r="CU44">
            <v>0</v>
          </cell>
          <cell r="CV44">
            <v>0</v>
          </cell>
        </row>
      </sheetData>
      <sheetData sheetId="30">
        <row r="30">
          <cell r="CI30">
            <v>0</v>
          </cell>
          <cell r="CP30">
            <v>0</v>
          </cell>
          <cell r="CU30">
            <v>0</v>
          </cell>
          <cell r="CV30">
            <v>0</v>
          </cell>
        </row>
      </sheetData>
      <sheetData sheetId="31">
        <row r="29">
          <cell r="CC29">
            <v>0</v>
          </cell>
          <cell r="CG29">
            <v>0</v>
          </cell>
          <cell r="CI29">
            <v>0</v>
          </cell>
          <cell r="CJ29">
            <v>0</v>
          </cell>
          <cell r="CK29">
            <v>0</v>
          </cell>
          <cell r="CM29">
            <v>0</v>
          </cell>
          <cell r="CN29">
            <v>0</v>
          </cell>
          <cell r="CP29">
            <v>0</v>
          </cell>
          <cell r="CR29">
            <v>0</v>
          </cell>
          <cell r="CS29">
            <v>0</v>
          </cell>
          <cell r="CU29">
            <v>0</v>
          </cell>
          <cell r="CV29">
            <v>0</v>
          </cell>
        </row>
      </sheetData>
      <sheetData sheetId="32">
        <row r="24">
          <cell r="AN24">
            <v>2</v>
          </cell>
          <cell r="CC24">
            <v>0</v>
          </cell>
          <cell r="CG24">
            <v>0</v>
          </cell>
          <cell r="CI24">
            <v>0</v>
          </cell>
          <cell r="CJ24">
            <v>0</v>
          </cell>
          <cell r="CK24">
            <v>0</v>
          </cell>
          <cell r="CM24">
            <v>0</v>
          </cell>
          <cell r="CN24">
            <v>0</v>
          </cell>
          <cell r="CP24">
            <v>0</v>
          </cell>
          <cell r="CR24">
            <v>0</v>
          </cell>
          <cell r="CS24">
            <v>0</v>
          </cell>
          <cell r="CU24">
            <v>0</v>
          </cell>
          <cell r="CV24">
            <v>0</v>
          </cell>
        </row>
      </sheetData>
      <sheetData sheetId="33">
        <row r="107">
          <cell r="CC107">
            <v>0</v>
          </cell>
          <cell r="CI107">
            <v>0</v>
          </cell>
          <cell r="CJ107">
            <v>0</v>
          </cell>
          <cell r="CK107">
            <v>0</v>
          </cell>
          <cell r="CM107">
            <v>0</v>
          </cell>
          <cell r="CN107">
            <v>0</v>
          </cell>
          <cell r="CP107">
            <v>0</v>
          </cell>
          <cell r="CR107">
            <v>0</v>
          </cell>
          <cell r="CS107">
            <v>0</v>
          </cell>
          <cell r="CU107">
            <v>0</v>
          </cell>
          <cell r="CV107">
            <v>0</v>
          </cell>
        </row>
      </sheetData>
      <sheetData sheetId="34">
        <row r="26">
          <cell r="CC26">
            <v>0</v>
          </cell>
          <cell r="CG26">
            <v>0</v>
          </cell>
          <cell r="CI26">
            <v>0</v>
          </cell>
          <cell r="CJ26">
            <v>0</v>
          </cell>
          <cell r="CK26">
            <v>0</v>
          </cell>
          <cell r="CP26">
            <v>0</v>
          </cell>
          <cell r="CR26">
            <v>0</v>
          </cell>
          <cell r="CS26">
            <v>0</v>
          </cell>
          <cell r="CU26">
            <v>0</v>
          </cell>
          <cell r="CV26">
            <v>0</v>
          </cell>
        </row>
      </sheetData>
      <sheetData sheetId="35">
        <row r="75">
          <cell r="CI75">
            <v>0</v>
          </cell>
          <cell r="CJ75">
            <v>0</v>
          </cell>
          <cell r="CK75">
            <v>0</v>
          </cell>
          <cell r="CP75">
            <v>0</v>
          </cell>
          <cell r="CU75">
            <v>0</v>
          </cell>
          <cell r="CV75">
            <v>0</v>
          </cell>
        </row>
      </sheetData>
      <sheetData sheetId="36">
        <row r="35">
          <cell r="CI35">
            <v>0</v>
          </cell>
          <cell r="CJ35">
            <v>0</v>
          </cell>
          <cell r="CK35">
            <v>0</v>
          </cell>
          <cell r="CP35">
            <v>0</v>
          </cell>
          <cell r="CR35">
            <v>0</v>
          </cell>
          <cell r="CS35">
            <v>0</v>
          </cell>
          <cell r="CU35">
            <v>0</v>
          </cell>
          <cell r="CV35">
            <v>0</v>
          </cell>
        </row>
      </sheetData>
      <sheetData sheetId="37">
        <row r="443">
          <cell r="CV443">
            <v>0</v>
          </cell>
          <cell r="CW443">
            <v>0</v>
          </cell>
        </row>
      </sheetData>
      <sheetData sheetId="38">
        <row r="42">
          <cell r="CC42">
            <v>0</v>
          </cell>
          <cell r="CI42">
            <v>0</v>
          </cell>
          <cell r="CJ42">
            <v>0</v>
          </cell>
          <cell r="CK42">
            <v>0</v>
          </cell>
          <cell r="CM42">
            <v>0</v>
          </cell>
          <cell r="CN42">
            <v>0</v>
          </cell>
          <cell r="CP42">
            <v>0</v>
          </cell>
          <cell r="CR42">
            <v>0</v>
          </cell>
          <cell r="CS42">
            <v>0</v>
          </cell>
          <cell r="CU42">
            <v>0</v>
          </cell>
          <cell r="CV42">
            <v>0</v>
          </cell>
        </row>
      </sheetData>
      <sheetData sheetId="39">
        <row r="12">
          <cell r="CC12">
            <v>0</v>
          </cell>
          <cell r="CG12">
            <v>0</v>
          </cell>
          <cell r="CI12">
            <v>0</v>
          </cell>
          <cell r="CJ12">
            <v>0</v>
          </cell>
          <cell r="CK12">
            <v>0</v>
          </cell>
          <cell r="CM12">
            <v>0</v>
          </cell>
          <cell r="CN12">
            <v>0</v>
          </cell>
          <cell r="CP12">
            <v>0</v>
          </cell>
          <cell r="CR12">
            <v>0</v>
          </cell>
          <cell r="CS12">
            <v>0</v>
          </cell>
          <cell r="CU12">
            <v>0</v>
          </cell>
          <cell r="CV12">
            <v>0</v>
          </cell>
        </row>
      </sheetData>
      <sheetData sheetId="40">
        <row r="28">
          <cell r="CC28">
            <v>0</v>
          </cell>
          <cell r="CG28">
            <v>0</v>
          </cell>
          <cell r="CI28">
            <v>0</v>
          </cell>
          <cell r="CJ28">
            <v>0</v>
          </cell>
          <cell r="CK28">
            <v>0</v>
          </cell>
          <cell r="CM28">
            <v>0</v>
          </cell>
          <cell r="CN28">
            <v>0</v>
          </cell>
          <cell r="CP28">
            <v>0</v>
          </cell>
          <cell r="CR28">
            <v>0</v>
          </cell>
          <cell r="CS28">
            <v>0</v>
          </cell>
          <cell r="CU28">
            <v>0</v>
          </cell>
          <cell r="CV28">
            <v>0</v>
          </cell>
        </row>
      </sheetData>
      <sheetData sheetId="41">
        <row r="31">
          <cell r="CC31">
            <v>0</v>
          </cell>
          <cell r="CG31">
            <v>0</v>
          </cell>
          <cell r="CI31">
            <v>0</v>
          </cell>
          <cell r="CJ31">
            <v>0</v>
          </cell>
          <cell r="CK31">
            <v>0</v>
          </cell>
          <cell r="CM31">
            <v>0</v>
          </cell>
          <cell r="CN31">
            <v>0</v>
          </cell>
          <cell r="CP31">
            <v>0</v>
          </cell>
          <cell r="CR31">
            <v>0</v>
          </cell>
          <cell r="CS31">
            <v>0</v>
          </cell>
          <cell r="CU31">
            <v>0</v>
          </cell>
          <cell r="CV31">
            <v>0</v>
          </cell>
        </row>
      </sheetData>
      <sheetData sheetId="42">
        <row r="39">
          <cell r="CC39">
            <v>0</v>
          </cell>
          <cell r="CG39">
            <v>0</v>
          </cell>
          <cell r="CI39">
            <v>0</v>
          </cell>
          <cell r="CJ39">
            <v>0</v>
          </cell>
          <cell r="CK39">
            <v>0</v>
          </cell>
          <cell r="CM39">
            <v>0</v>
          </cell>
          <cell r="CN39">
            <v>0</v>
          </cell>
          <cell r="CP39">
            <v>0</v>
          </cell>
          <cell r="CR39">
            <v>0</v>
          </cell>
          <cell r="CS39">
            <v>0</v>
          </cell>
          <cell r="CU39">
            <v>0</v>
          </cell>
          <cell r="CV39">
            <v>0</v>
          </cell>
        </row>
      </sheetData>
      <sheetData sheetId="43">
        <row r="165">
          <cell r="CC165">
            <v>0</v>
          </cell>
          <cell r="CI165">
            <v>0</v>
          </cell>
          <cell r="CM165">
            <v>0</v>
          </cell>
          <cell r="CN165">
            <v>0</v>
          </cell>
          <cell r="CR165">
            <v>0</v>
          </cell>
          <cell r="CS165">
            <v>0</v>
          </cell>
          <cell r="CU165">
            <v>0</v>
          </cell>
          <cell r="CV165">
            <v>0</v>
          </cell>
        </row>
      </sheetData>
      <sheetData sheetId="44">
        <row r="51">
          <cell r="CC51">
            <v>0</v>
          </cell>
          <cell r="CI51">
            <v>0</v>
          </cell>
          <cell r="CJ51">
            <v>0</v>
          </cell>
          <cell r="CK51">
            <v>0</v>
          </cell>
          <cell r="CM51">
            <v>0</v>
          </cell>
          <cell r="CN51">
            <v>0</v>
          </cell>
          <cell r="CP51">
            <v>0</v>
          </cell>
          <cell r="CR51">
            <v>0</v>
          </cell>
          <cell r="CS51">
            <v>0</v>
          </cell>
          <cell r="CU51">
            <v>0</v>
          </cell>
          <cell r="CV51">
            <v>0</v>
          </cell>
        </row>
      </sheetData>
      <sheetData sheetId="45">
        <row r="7">
          <cell r="CC7">
            <v>0</v>
          </cell>
          <cell r="CG7">
            <v>0</v>
          </cell>
          <cell r="CI7">
            <v>0</v>
          </cell>
          <cell r="CJ7">
            <v>0</v>
          </cell>
          <cell r="CK7">
            <v>0</v>
          </cell>
          <cell r="CM7">
            <v>0</v>
          </cell>
          <cell r="CN7">
            <v>0</v>
          </cell>
          <cell r="CP7">
            <v>0</v>
          </cell>
          <cell r="CR7">
            <v>0</v>
          </cell>
          <cell r="CS7">
            <v>0</v>
          </cell>
          <cell r="CU7">
            <v>0</v>
          </cell>
          <cell r="CV7">
            <v>0</v>
          </cell>
        </row>
      </sheetData>
      <sheetData sheetId="46">
        <row r="102">
          <cell r="CC102">
            <v>0</v>
          </cell>
          <cell r="CG102">
            <v>0</v>
          </cell>
          <cell r="CI102">
            <v>0</v>
          </cell>
          <cell r="CJ102">
            <v>0</v>
          </cell>
          <cell r="CK102">
            <v>0</v>
          </cell>
          <cell r="CM102">
            <v>0</v>
          </cell>
          <cell r="CN102">
            <v>0</v>
          </cell>
          <cell r="CP102">
            <v>0</v>
          </cell>
          <cell r="CR102">
            <v>0</v>
          </cell>
          <cell r="CS102">
            <v>0</v>
          </cell>
          <cell r="CU102">
            <v>0</v>
          </cell>
          <cell r="CV102">
            <v>0</v>
          </cell>
        </row>
      </sheetData>
      <sheetData sheetId="47">
        <row r="723">
          <cell r="CJ723">
            <v>0</v>
          </cell>
          <cell r="CV723">
            <v>0</v>
          </cell>
          <cell r="CW723">
            <v>0</v>
          </cell>
        </row>
      </sheetData>
      <sheetData sheetId="48">
        <row r="20">
          <cell r="CC20">
            <v>0</v>
          </cell>
          <cell r="CG20">
            <v>0</v>
          </cell>
          <cell r="CI20">
            <v>0</v>
          </cell>
          <cell r="CJ20">
            <v>0</v>
          </cell>
          <cell r="CK20">
            <v>0</v>
          </cell>
          <cell r="CM20">
            <v>0</v>
          </cell>
          <cell r="CN20">
            <v>0</v>
          </cell>
          <cell r="CP20">
            <v>0</v>
          </cell>
          <cell r="CR20">
            <v>0</v>
          </cell>
          <cell r="CS20">
            <v>0</v>
          </cell>
          <cell r="CU20">
            <v>0</v>
          </cell>
          <cell r="CV20">
            <v>0</v>
          </cell>
        </row>
      </sheetData>
      <sheetData sheetId="49">
        <row r="27">
          <cell r="CC27">
            <v>0</v>
          </cell>
          <cell r="CG27">
            <v>0</v>
          </cell>
          <cell r="CI27">
            <v>0</v>
          </cell>
          <cell r="CJ27">
            <v>0</v>
          </cell>
          <cell r="CK27">
            <v>0</v>
          </cell>
          <cell r="CP27">
            <v>0</v>
          </cell>
          <cell r="CU27">
            <v>0</v>
          </cell>
          <cell r="CV27">
            <v>0</v>
          </cell>
        </row>
      </sheetData>
      <sheetData sheetId="50">
        <row r="41">
          <cell r="CC41">
            <v>0</v>
          </cell>
          <cell r="CG41">
            <v>0</v>
          </cell>
          <cell r="CI41">
            <v>0</v>
          </cell>
          <cell r="CJ41">
            <v>0</v>
          </cell>
          <cell r="CK41">
            <v>0</v>
          </cell>
          <cell r="CM41">
            <v>0</v>
          </cell>
          <cell r="CN41">
            <v>0</v>
          </cell>
          <cell r="CR41">
            <v>0</v>
          </cell>
          <cell r="CS41">
            <v>0</v>
          </cell>
          <cell r="CU41">
            <v>0</v>
          </cell>
          <cell r="CV41">
            <v>0</v>
          </cell>
        </row>
      </sheetData>
      <sheetData sheetId="51">
        <row r="13">
          <cell r="D13">
            <v>5</v>
          </cell>
          <cell r="E13">
            <v>3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R13">
            <v>2</v>
          </cell>
          <cell r="S13">
            <v>0</v>
          </cell>
          <cell r="T13">
            <v>0</v>
          </cell>
          <cell r="U13">
            <v>0</v>
          </cell>
          <cell r="V13">
            <v>1</v>
          </cell>
          <cell r="W13">
            <v>0</v>
          </cell>
          <cell r="X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I13">
            <v>3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3</v>
          </cell>
          <cell r="BR13">
            <v>3</v>
          </cell>
          <cell r="BT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C13">
            <v>0</v>
          </cell>
          <cell r="CE13">
            <v>4</v>
          </cell>
          <cell r="CG13">
            <v>0</v>
          </cell>
          <cell r="CI13">
            <v>0</v>
          </cell>
          <cell r="CJ13">
            <v>0</v>
          </cell>
          <cell r="CK13">
            <v>0</v>
          </cell>
          <cell r="CM13">
            <v>0</v>
          </cell>
          <cell r="CN13">
            <v>0</v>
          </cell>
          <cell r="CP13">
            <v>0</v>
          </cell>
          <cell r="CR13">
            <v>0</v>
          </cell>
          <cell r="CS13">
            <v>0</v>
          </cell>
          <cell r="CU13">
            <v>0</v>
          </cell>
          <cell r="CV13">
            <v>0</v>
          </cell>
        </row>
      </sheetData>
      <sheetData sheetId="52">
        <row r="134">
          <cell r="D134">
            <v>123</v>
          </cell>
          <cell r="E134">
            <v>24</v>
          </cell>
          <cell r="F134">
            <v>1</v>
          </cell>
          <cell r="G134">
            <v>3</v>
          </cell>
          <cell r="H134">
            <v>1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R134">
            <v>20</v>
          </cell>
          <cell r="S134">
            <v>0</v>
          </cell>
          <cell r="T134">
            <v>0</v>
          </cell>
          <cell r="U134">
            <v>3</v>
          </cell>
          <cell r="V134">
            <v>10</v>
          </cell>
          <cell r="W134">
            <v>1</v>
          </cell>
          <cell r="X134">
            <v>6</v>
          </cell>
          <cell r="Z134">
            <v>3</v>
          </cell>
          <cell r="AA134">
            <v>1</v>
          </cell>
          <cell r="AB134">
            <v>0</v>
          </cell>
          <cell r="AC134">
            <v>0</v>
          </cell>
          <cell r="AD134">
            <v>0</v>
          </cell>
          <cell r="AE134">
            <v>2</v>
          </cell>
          <cell r="AF134">
            <v>2</v>
          </cell>
          <cell r="AI134">
            <v>36</v>
          </cell>
          <cell r="AJ134">
            <v>5</v>
          </cell>
          <cell r="AK134">
            <v>3</v>
          </cell>
          <cell r="AL134">
            <v>2</v>
          </cell>
          <cell r="AM134">
            <v>5</v>
          </cell>
          <cell r="AN134">
            <v>15</v>
          </cell>
          <cell r="AO134">
            <v>16</v>
          </cell>
          <cell r="AP134">
            <v>10</v>
          </cell>
          <cell r="AQ134">
            <v>8</v>
          </cell>
          <cell r="AR134">
            <v>10</v>
          </cell>
          <cell r="AS134">
            <v>7</v>
          </cell>
          <cell r="AT134">
            <v>3</v>
          </cell>
          <cell r="AU134">
            <v>4</v>
          </cell>
          <cell r="AV134">
            <v>6</v>
          </cell>
          <cell r="AW134">
            <v>5</v>
          </cell>
          <cell r="AX134">
            <v>6</v>
          </cell>
          <cell r="AY134">
            <v>2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31</v>
          </cell>
          <cell r="BR134">
            <v>31</v>
          </cell>
          <cell r="BT134">
            <v>1</v>
          </cell>
          <cell r="BV134">
            <v>1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C134">
            <v>1</v>
          </cell>
          <cell r="CE134">
            <v>91</v>
          </cell>
          <cell r="CG134">
            <v>3</v>
          </cell>
          <cell r="CI134">
            <v>0</v>
          </cell>
          <cell r="CJ134">
            <v>0</v>
          </cell>
          <cell r="CK134">
            <v>0</v>
          </cell>
          <cell r="CM134">
            <v>7</v>
          </cell>
          <cell r="CN134">
            <v>4194</v>
          </cell>
          <cell r="CP134">
            <v>0</v>
          </cell>
          <cell r="CR134">
            <v>6</v>
          </cell>
          <cell r="CS134">
            <v>3028</v>
          </cell>
          <cell r="CU134">
            <v>0</v>
          </cell>
          <cell r="CV134">
            <v>0</v>
          </cell>
        </row>
      </sheetData>
      <sheetData sheetId="53">
        <row r="8">
          <cell r="D8">
            <v>2</v>
          </cell>
          <cell r="E8">
            <v>2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R8">
            <v>1</v>
          </cell>
          <cell r="S8">
            <v>0</v>
          </cell>
          <cell r="T8">
            <v>0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I8">
            <v>2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2</v>
          </cell>
          <cell r="BR8">
            <v>2</v>
          </cell>
          <cell r="BT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C8">
            <v>0</v>
          </cell>
          <cell r="CE8">
            <v>2</v>
          </cell>
          <cell r="CG8">
            <v>0</v>
          </cell>
          <cell r="CI8">
            <v>0</v>
          </cell>
          <cell r="CJ8">
            <v>0</v>
          </cell>
          <cell r="CK8">
            <v>0</v>
          </cell>
          <cell r="CM8">
            <v>0</v>
          </cell>
          <cell r="CN8">
            <v>0</v>
          </cell>
          <cell r="CP8">
            <v>0</v>
          </cell>
          <cell r="CR8">
            <v>0</v>
          </cell>
          <cell r="CS8">
            <v>0</v>
          </cell>
          <cell r="CU8">
            <v>0</v>
          </cell>
          <cell r="CV8">
            <v>0</v>
          </cell>
        </row>
      </sheetData>
      <sheetData sheetId="54">
        <row r="10">
          <cell r="D10">
            <v>4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2</v>
          </cell>
          <cell r="W10">
            <v>0</v>
          </cell>
          <cell r="X10">
            <v>0</v>
          </cell>
          <cell r="Z10">
            <v>1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I10">
            <v>4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3</v>
          </cell>
          <cell r="BR10">
            <v>3</v>
          </cell>
          <cell r="BS10"/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C10">
            <v>0</v>
          </cell>
          <cell r="CE10">
            <v>1</v>
          </cell>
          <cell r="CG10">
            <v>0</v>
          </cell>
          <cell r="CI10">
            <v>0</v>
          </cell>
          <cell r="CJ10">
            <v>0</v>
          </cell>
          <cell r="CK10">
            <v>0</v>
          </cell>
          <cell r="CM10">
            <v>0</v>
          </cell>
          <cell r="CN10">
            <v>0</v>
          </cell>
          <cell r="CP10">
            <v>0</v>
          </cell>
          <cell r="CR10">
            <v>0</v>
          </cell>
          <cell r="CS10">
            <v>0</v>
          </cell>
          <cell r="CU10">
            <v>0</v>
          </cell>
          <cell r="CV10">
            <v>0</v>
          </cell>
        </row>
      </sheetData>
      <sheetData sheetId="55">
        <row r="6">
          <cell r="D6">
            <v>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0</v>
          </cell>
          <cell r="X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1</v>
          </cell>
          <cell r="BR6">
            <v>1</v>
          </cell>
          <cell r="BT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C6">
            <v>0</v>
          </cell>
          <cell r="CE6">
            <v>1</v>
          </cell>
          <cell r="CG6">
            <v>0</v>
          </cell>
          <cell r="CI6">
            <v>0</v>
          </cell>
          <cell r="CJ6">
            <v>0</v>
          </cell>
          <cell r="CK6">
            <v>0</v>
          </cell>
          <cell r="CM6">
            <v>0</v>
          </cell>
          <cell r="CN6">
            <v>0</v>
          </cell>
          <cell r="CP6">
            <v>0</v>
          </cell>
          <cell r="CR6">
            <v>0</v>
          </cell>
          <cell r="CS6">
            <v>0</v>
          </cell>
          <cell r="CU6">
            <v>0</v>
          </cell>
          <cell r="CV6">
            <v>0</v>
          </cell>
        </row>
      </sheetData>
      <sheetData sheetId="56">
        <row r="41">
          <cell r="D41">
            <v>34</v>
          </cell>
          <cell r="E41">
            <v>23</v>
          </cell>
          <cell r="F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R41">
            <v>2</v>
          </cell>
          <cell r="S41">
            <v>2</v>
          </cell>
          <cell r="T41">
            <v>1</v>
          </cell>
          <cell r="U41">
            <v>0</v>
          </cell>
          <cell r="V41">
            <v>17</v>
          </cell>
          <cell r="W41">
            <v>2</v>
          </cell>
          <cell r="X41">
            <v>2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I41">
            <v>24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  <cell r="AO41">
            <v>0</v>
          </cell>
          <cell r="AP41">
            <v>1</v>
          </cell>
          <cell r="AQ41">
            <v>0</v>
          </cell>
          <cell r="AR41">
            <v>4</v>
          </cell>
          <cell r="AS41">
            <v>0</v>
          </cell>
          <cell r="AT41">
            <v>0</v>
          </cell>
          <cell r="AU41">
            <v>3</v>
          </cell>
          <cell r="AV41">
            <v>0</v>
          </cell>
          <cell r="AW41">
            <v>0</v>
          </cell>
          <cell r="AX41">
            <v>1</v>
          </cell>
          <cell r="AY41">
            <v>1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24</v>
          </cell>
          <cell r="BR41">
            <v>24</v>
          </cell>
          <cell r="BT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C41">
            <v>0</v>
          </cell>
          <cell r="CE41">
            <v>5</v>
          </cell>
          <cell r="CG41">
            <v>0</v>
          </cell>
          <cell r="CI41">
            <v>0</v>
          </cell>
          <cell r="CJ41">
            <v>0</v>
          </cell>
          <cell r="CK41">
            <v>0</v>
          </cell>
          <cell r="CM41">
            <v>0</v>
          </cell>
          <cell r="CN41">
            <v>0</v>
          </cell>
          <cell r="CP41">
            <v>0</v>
          </cell>
          <cell r="CR41">
            <v>0</v>
          </cell>
          <cell r="CS41">
            <v>0</v>
          </cell>
          <cell r="CU41">
            <v>0</v>
          </cell>
          <cell r="CV41">
            <v>0</v>
          </cell>
        </row>
      </sheetData>
      <sheetData sheetId="57">
        <row r="7">
          <cell r="D7">
            <v>2</v>
          </cell>
          <cell r="E7">
            <v>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</v>
          </cell>
          <cell r="W7">
            <v>0</v>
          </cell>
          <cell r="X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I7">
            <v>2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2</v>
          </cell>
          <cell r="BR7">
            <v>2</v>
          </cell>
          <cell r="BT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C7">
            <v>0</v>
          </cell>
          <cell r="CE7">
            <v>2</v>
          </cell>
          <cell r="CG7">
            <v>0</v>
          </cell>
          <cell r="CI7">
            <v>0</v>
          </cell>
          <cell r="CJ7">
            <v>0</v>
          </cell>
          <cell r="CK7">
            <v>0</v>
          </cell>
          <cell r="CM7">
            <v>0</v>
          </cell>
          <cell r="CN7">
            <v>0</v>
          </cell>
          <cell r="CP7">
            <v>0</v>
          </cell>
          <cell r="CR7">
            <v>0</v>
          </cell>
          <cell r="CS7">
            <v>0</v>
          </cell>
          <cell r="CU7">
            <v>0</v>
          </cell>
          <cell r="CV7">
            <v>0</v>
          </cell>
        </row>
      </sheetData>
      <sheetData sheetId="58">
        <row r="26">
          <cell r="D26">
            <v>17</v>
          </cell>
          <cell r="E26">
            <v>11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R26">
            <v>3</v>
          </cell>
          <cell r="S26">
            <v>0</v>
          </cell>
          <cell r="T26">
            <v>0</v>
          </cell>
          <cell r="U26">
            <v>0</v>
          </cell>
          <cell r="V26">
            <v>8</v>
          </cell>
          <cell r="W26">
            <v>0</v>
          </cell>
          <cell r="X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I26">
            <v>12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1</v>
          </cell>
          <cell r="AP26">
            <v>0</v>
          </cell>
          <cell r="AQ26">
            <v>1</v>
          </cell>
          <cell r="AR26">
            <v>0</v>
          </cell>
          <cell r="AS26">
            <v>0</v>
          </cell>
          <cell r="AT26">
            <v>0</v>
          </cell>
          <cell r="AU26">
            <v>2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11</v>
          </cell>
          <cell r="BR26">
            <v>11</v>
          </cell>
          <cell r="BT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C26">
            <v>0</v>
          </cell>
          <cell r="CE26">
            <v>9</v>
          </cell>
          <cell r="CG26">
            <v>0</v>
          </cell>
          <cell r="CI26">
            <v>0</v>
          </cell>
          <cell r="CJ26">
            <v>0</v>
          </cell>
          <cell r="CK26">
            <v>0</v>
          </cell>
          <cell r="CM26">
            <v>0</v>
          </cell>
          <cell r="CN26">
            <v>0</v>
          </cell>
          <cell r="CP26">
            <v>1</v>
          </cell>
          <cell r="CR26">
            <v>0</v>
          </cell>
          <cell r="CS26">
            <v>0</v>
          </cell>
          <cell r="CU26">
            <v>0</v>
          </cell>
          <cell r="CV26">
            <v>0</v>
          </cell>
        </row>
      </sheetData>
      <sheetData sheetId="59">
        <row r="7">
          <cell r="D7">
            <v>2</v>
          </cell>
          <cell r="E7">
            <v>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R7">
            <v>1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I7">
            <v>1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1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BI7">
            <v>1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R7">
            <v>1</v>
          </cell>
          <cell r="BT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C7">
            <v>0</v>
          </cell>
          <cell r="CE7">
            <v>0</v>
          </cell>
          <cell r="CG7">
            <v>0</v>
          </cell>
          <cell r="CI7">
            <v>0</v>
          </cell>
          <cell r="CJ7">
            <v>0</v>
          </cell>
          <cell r="CK7">
            <v>0</v>
          </cell>
          <cell r="CM7">
            <v>0</v>
          </cell>
          <cell r="CN7">
            <v>0</v>
          </cell>
          <cell r="CP7">
            <v>0</v>
          </cell>
          <cell r="CR7">
            <v>0</v>
          </cell>
          <cell r="CS7">
            <v>0</v>
          </cell>
          <cell r="CU7">
            <v>0</v>
          </cell>
          <cell r="CV7">
            <v>0</v>
          </cell>
        </row>
      </sheetData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 by State Summary"/>
      <sheetName val="Dashboard"/>
      <sheetName val="AL-714 March 2017"/>
      <sheetName val="Alaska-120"/>
      <sheetName val="AZ-274 August 2018"/>
      <sheetName val="AR-260 Dec 2018"/>
      <sheetName val="CA-2629 March 2019"/>
      <sheetName val="CO-140 Dec 2018"/>
      <sheetName val="CT-39 Sept 2018"/>
      <sheetName val="DE-13 July 2018"/>
      <sheetName val="DC-20 July 2018"/>
      <sheetName val="FL-1468 Feb 2017"/>
      <sheetName val="GA-1521 April 2018"/>
      <sheetName val="HI-0 Sept 2018"/>
      <sheetName val="ID-0 Sept 2018"/>
      <sheetName val="IA-152 November 2018"/>
      <sheetName val="IL-119 Feb 2018"/>
      <sheetName val="IN-230 April 2017"/>
      <sheetName val="KS-90 Nov 2018"/>
      <sheetName val="KY-226 Oct 2018"/>
      <sheetName val="LA-481 Oct 2018"/>
      <sheetName val="Maine-0 Feb 2020"/>
      <sheetName val="Mass-7 July 2018"/>
      <sheetName val="MD-130 December 2018"/>
      <sheetName val="MI-152 Jan 2019"/>
      <sheetName val="MN-495 Feb 2019"/>
      <sheetName val="MO-2311 Dece 2019"/>
      <sheetName val="MS-332 August 2018"/>
      <sheetName val="MT-0 July 2018"/>
      <sheetName val="NC-1003 April 2017"/>
      <sheetName val="ND-0 July 2018"/>
      <sheetName val="NE-47 November 2018"/>
      <sheetName val="NH-0 July 2018"/>
      <sheetName val="NJ-20 November 2018"/>
      <sheetName val="NM-46 Sept 2018"/>
      <sheetName val="NV-171 November 2018"/>
      <sheetName val="NY-92 Dec 2018"/>
      <sheetName val="OH-242 Nov 2017"/>
      <sheetName val="OK-407 Jan 2019"/>
      <sheetName val="OR-63 October 2018"/>
      <sheetName val="PA-58 Jan 2019"/>
      <sheetName val="Rhode Island"/>
      <sheetName val="SC-1130 April 2019"/>
      <sheetName val="SD-75 July 2018"/>
      <sheetName val="TN-1509 Jan 2020"/>
      <sheetName val="TX-4319 Sept 2018"/>
      <sheetName val="UT-20 July 2018"/>
      <sheetName val="VA-872 Nov 2019"/>
      <sheetName val="VT-49 Feb 2020"/>
      <sheetName val="WA-203 October 2018"/>
      <sheetName val="WI-52 November 2018"/>
      <sheetName val="WV-27 July 2018"/>
      <sheetName val="WY-15 July 2018"/>
    </sheetNames>
    <sheetDataSet>
      <sheetData sheetId="0" refreshError="1"/>
      <sheetData sheetId="1" refreshError="1"/>
      <sheetData sheetId="2" refreshError="1">
        <row r="722">
          <cell r="C722">
            <v>202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AX722">
            <v>0</v>
          </cell>
          <cell r="BH722">
            <v>0</v>
          </cell>
          <cell r="BI722">
            <v>0</v>
          </cell>
          <cell r="BJ722">
            <v>0</v>
          </cell>
          <cell r="BR722">
            <v>0</v>
          </cell>
          <cell r="CA722">
            <v>0</v>
          </cell>
          <cell r="CB722">
            <v>0</v>
          </cell>
          <cell r="CD722">
            <v>0</v>
          </cell>
          <cell r="CE722">
            <v>0</v>
          </cell>
        </row>
      </sheetData>
      <sheetData sheetId="3" refreshError="1">
        <row r="129">
          <cell r="B129">
            <v>0</v>
          </cell>
          <cell r="E129">
            <v>0</v>
          </cell>
          <cell r="G129">
            <v>0</v>
          </cell>
          <cell r="H129">
            <v>0</v>
          </cell>
          <cell r="N129">
            <v>0</v>
          </cell>
          <cell r="O129">
            <v>0</v>
          </cell>
          <cell r="R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BD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N129">
            <v>0</v>
          </cell>
          <cell r="BR129">
            <v>0</v>
          </cell>
          <cell r="BS129">
            <v>0</v>
          </cell>
          <cell r="BT129">
            <v>0</v>
          </cell>
          <cell r="BV129">
            <v>0</v>
          </cell>
          <cell r="BW129">
            <v>0</v>
          </cell>
          <cell r="BY129">
            <v>0</v>
          </cell>
          <cell r="CA129">
            <v>0</v>
          </cell>
          <cell r="CB129">
            <v>0</v>
          </cell>
          <cell r="CD129">
            <v>0</v>
          </cell>
          <cell r="CE129">
            <v>0</v>
          </cell>
        </row>
      </sheetData>
      <sheetData sheetId="4" refreshError="1">
        <row r="283">
          <cell r="C283">
            <v>145</v>
          </cell>
          <cell r="P283">
            <v>0</v>
          </cell>
          <cell r="Q283">
            <v>0</v>
          </cell>
          <cell r="R283">
            <v>0</v>
          </cell>
          <cell r="AY283">
            <v>0</v>
          </cell>
          <cell r="BH283">
            <v>0</v>
          </cell>
          <cell r="BI283">
            <v>0</v>
          </cell>
          <cell r="BJ283">
            <v>0</v>
          </cell>
        </row>
      </sheetData>
      <sheetData sheetId="5" refreshError="1">
        <row r="1813">
          <cell r="C1813">
            <v>107</v>
          </cell>
          <cell r="O1813">
            <v>0</v>
          </cell>
          <cell r="P1813">
            <v>0</v>
          </cell>
          <cell r="R1813">
            <v>0</v>
          </cell>
          <cell r="BH1813">
            <v>0</v>
          </cell>
          <cell r="BI1813">
            <v>0</v>
          </cell>
          <cell r="BJ1813">
            <v>0</v>
          </cell>
          <cell r="CD1813">
            <v>0</v>
          </cell>
          <cell r="CE1813">
            <v>0</v>
          </cell>
        </row>
      </sheetData>
      <sheetData sheetId="6" refreshError="1">
        <row r="2638">
          <cell r="C2638">
            <v>926</v>
          </cell>
          <cell r="AW2638">
            <v>0</v>
          </cell>
        </row>
      </sheetData>
      <sheetData sheetId="7" refreshError="1">
        <row r="149">
          <cell r="B149">
            <v>0</v>
          </cell>
          <cell r="E149">
            <v>0</v>
          </cell>
          <cell r="F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W149">
            <v>0</v>
          </cell>
          <cell r="AE149">
            <v>0</v>
          </cell>
          <cell r="AU149">
            <v>0</v>
          </cell>
          <cell r="AX149">
            <v>0</v>
          </cell>
          <cell r="AY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N149">
            <v>0</v>
          </cell>
          <cell r="BR149">
            <v>0</v>
          </cell>
          <cell r="BS149">
            <v>0</v>
          </cell>
          <cell r="BT149">
            <v>0</v>
          </cell>
          <cell r="BV149">
            <v>0</v>
          </cell>
          <cell r="BW149">
            <v>0</v>
          </cell>
          <cell r="BY149">
            <v>0</v>
          </cell>
          <cell r="CA149">
            <v>0</v>
          </cell>
          <cell r="CB149">
            <v>0</v>
          </cell>
          <cell r="CD149">
            <v>0</v>
          </cell>
          <cell r="CE149">
            <v>0</v>
          </cell>
        </row>
      </sheetData>
      <sheetData sheetId="8" refreshError="1">
        <row r="116">
          <cell r="B116">
            <v>0</v>
          </cell>
          <cell r="R116">
            <v>0</v>
          </cell>
          <cell r="W116">
            <v>0</v>
          </cell>
          <cell r="AU116">
            <v>0</v>
          </cell>
          <cell r="AW116">
            <v>0</v>
          </cell>
          <cell r="AX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N116">
            <v>0</v>
          </cell>
          <cell r="BR116">
            <v>0</v>
          </cell>
          <cell r="CE116">
            <v>0</v>
          </cell>
        </row>
      </sheetData>
      <sheetData sheetId="9" refreshError="1">
        <row r="25">
          <cell r="B25">
            <v>0</v>
          </cell>
          <cell r="H25">
            <v>0</v>
          </cell>
          <cell r="R25">
            <v>0</v>
          </cell>
          <cell r="AJ25">
            <v>0</v>
          </cell>
          <cell r="AU25">
            <v>0</v>
          </cell>
          <cell r="AW25">
            <v>0</v>
          </cell>
          <cell r="AX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N25">
            <v>0</v>
          </cell>
          <cell r="BR25">
            <v>0</v>
          </cell>
          <cell r="BS25">
            <v>0</v>
          </cell>
          <cell r="BT25">
            <v>0</v>
          </cell>
          <cell r="BY25">
            <v>0</v>
          </cell>
          <cell r="CA25">
            <v>0</v>
          </cell>
          <cell r="CB25">
            <v>0</v>
          </cell>
          <cell r="CD25">
            <v>0</v>
          </cell>
          <cell r="CE25">
            <v>0</v>
          </cell>
        </row>
      </sheetData>
      <sheetData sheetId="10" refreshError="1">
        <row r="33">
          <cell r="B33">
            <v>0</v>
          </cell>
          <cell r="E33">
            <v>0</v>
          </cell>
          <cell r="F33">
            <v>0</v>
          </cell>
          <cell r="G33">
            <v>0</v>
          </cell>
          <cell r="M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V33">
            <v>0</v>
          </cell>
          <cell r="W33">
            <v>0</v>
          </cell>
          <cell r="Y33">
            <v>0</v>
          </cell>
          <cell r="AB33">
            <v>0</v>
          </cell>
          <cell r="AE33">
            <v>0</v>
          </cell>
          <cell r="AH33">
            <v>0</v>
          </cell>
          <cell r="AI33">
            <v>0</v>
          </cell>
          <cell r="AJ33">
            <v>0</v>
          </cell>
          <cell r="AU33">
            <v>0</v>
          </cell>
          <cell r="AW33">
            <v>0</v>
          </cell>
          <cell r="AX33">
            <v>0</v>
          </cell>
          <cell r="AY33">
            <v>0</v>
          </cell>
          <cell r="BD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N33">
            <v>0</v>
          </cell>
          <cell r="BY33">
            <v>0</v>
          </cell>
          <cell r="CA33">
            <v>0</v>
          </cell>
          <cell r="CB33">
            <v>0</v>
          </cell>
          <cell r="CD33">
            <v>0</v>
          </cell>
          <cell r="CE33">
            <v>0</v>
          </cell>
        </row>
      </sheetData>
      <sheetData sheetId="11" refreshError="1">
        <row r="1480">
          <cell r="E1480">
            <v>9</v>
          </cell>
          <cell r="P1480">
            <v>0</v>
          </cell>
          <cell r="R1480">
            <v>0</v>
          </cell>
          <cell r="AU1480">
            <v>0</v>
          </cell>
          <cell r="BH1480">
            <v>0</v>
          </cell>
          <cell r="BI1480">
            <v>0</v>
          </cell>
          <cell r="CD1480">
            <v>0</v>
          </cell>
          <cell r="CE1480">
            <v>0</v>
          </cell>
        </row>
      </sheetData>
      <sheetData sheetId="12" refreshError="1">
        <row r="1529">
          <cell r="C1529">
            <v>472</v>
          </cell>
          <cell r="O1529">
            <v>0</v>
          </cell>
          <cell r="P1529">
            <v>0</v>
          </cell>
          <cell r="R1529">
            <v>0</v>
          </cell>
          <cell r="AU1529">
            <v>0</v>
          </cell>
          <cell r="BH1529">
            <v>0</v>
          </cell>
          <cell r="BI1529">
            <v>0</v>
          </cell>
          <cell r="BJ1529">
            <v>0</v>
          </cell>
        </row>
      </sheetData>
      <sheetData sheetId="13" refreshError="1">
        <row r="10">
          <cell r="B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D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N10">
            <v>0</v>
          </cell>
          <cell r="BP10">
            <v>0</v>
          </cell>
          <cell r="BR10">
            <v>0</v>
          </cell>
          <cell r="BS10">
            <v>0</v>
          </cell>
          <cell r="BT10">
            <v>0</v>
          </cell>
          <cell r="BV10">
            <v>0</v>
          </cell>
          <cell r="BW10">
            <v>0</v>
          </cell>
          <cell r="BY10">
            <v>0</v>
          </cell>
          <cell r="CA10">
            <v>0</v>
          </cell>
          <cell r="CB10">
            <v>0</v>
          </cell>
          <cell r="CD10">
            <v>0</v>
          </cell>
          <cell r="CE10">
            <v>0</v>
          </cell>
        </row>
      </sheetData>
      <sheetData sheetId="14" refreshError="1">
        <row r="193">
          <cell r="B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R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BD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N193">
            <v>0</v>
          </cell>
          <cell r="BP193">
            <v>0</v>
          </cell>
          <cell r="BR193">
            <v>0</v>
          </cell>
          <cell r="BS193">
            <v>0</v>
          </cell>
          <cell r="BT193">
            <v>0</v>
          </cell>
          <cell r="BV193">
            <v>0</v>
          </cell>
          <cell r="BW193">
            <v>0</v>
          </cell>
          <cell r="BY193">
            <v>0</v>
          </cell>
          <cell r="CA193">
            <v>0</v>
          </cell>
          <cell r="CB193">
            <v>0</v>
          </cell>
          <cell r="CD193">
            <v>0</v>
          </cell>
          <cell r="CE193">
            <v>0</v>
          </cell>
        </row>
      </sheetData>
      <sheetData sheetId="15" refreshError="1">
        <row r="162">
          <cell r="C162">
            <v>67</v>
          </cell>
          <cell r="R162">
            <v>0</v>
          </cell>
          <cell r="AU162">
            <v>0</v>
          </cell>
          <cell r="AW162">
            <v>0</v>
          </cell>
          <cell r="AX162">
            <v>0</v>
          </cell>
          <cell r="BH162">
            <v>0</v>
          </cell>
          <cell r="BI162">
            <v>0</v>
          </cell>
          <cell r="BJ162">
            <v>0</v>
          </cell>
          <cell r="BN162">
            <v>0</v>
          </cell>
          <cell r="BY162">
            <v>0</v>
          </cell>
        </row>
      </sheetData>
      <sheetData sheetId="16" refreshError="1">
        <row r="126">
          <cell r="C126">
            <v>37</v>
          </cell>
          <cell r="O126">
            <v>0</v>
          </cell>
          <cell r="P126">
            <v>0</v>
          </cell>
          <cell r="R126">
            <v>0</v>
          </cell>
          <cell r="AU126">
            <v>0</v>
          </cell>
          <cell r="AY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N126">
            <v>0</v>
          </cell>
          <cell r="BR126">
            <v>0</v>
          </cell>
          <cell r="BS126">
            <v>0</v>
          </cell>
          <cell r="BT126">
            <v>0</v>
          </cell>
          <cell r="BV126">
            <v>0</v>
          </cell>
          <cell r="BW126">
            <v>0</v>
          </cell>
          <cell r="CA126">
            <v>0</v>
          </cell>
          <cell r="CB126">
            <v>0</v>
          </cell>
          <cell r="CD126">
            <v>0</v>
          </cell>
          <cell r="CE126">
            <v>0</v>
          </cell>
        </row>
      </sheetData>
      <sheetData sheetId="17" refreshError="1">
        <row r="243">
          <cell r="C243">
            <v>69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AE243">
            <v>0</v>
          </cell>
          <cell r="AU243">
            <v>0</v>
          </cell>
          <cell r="AY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R243">
            <v>0</v>
          </cell>
          <cell r="CD243">
            <v>0</v>
          </cell>
          <cell r="CE243">
            <v>0</v>
          </cell>
        </row>
      </sheetData>
      <sheetData sheetId="18" refreshError="1">
        <row r="99">
          <cell r="C99">
            <v>24</v>
          </cell>
          <cell r="R99">
            <v>0</v>
          </cell>
          <cell r="AU99">
            <v>0</v>
          </cell>
          <cell r="BG99">
            <v>0</v>
          </cell>
          <cell r="BI99">
            <v>0</v>
          </cell>
          <cell r="BJ99">
            <v>0</v>
          </cell>
          <cell r="BN99">
            <v>0</v>
          </cell>
          <cell r="CD99">
            <v>0</v>
          </cell>
          <cell r="CE99">
            <v>0</v>
          </cell>
        </row>
      </sheetData>
      <sheetData sheetId="19" refreshError="1">
        <row r="240">
          <cell r="C240">
            <v>90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AU240">
            <v>0</v>
          </cell>
          <cell r="AW240">
            <v>0</v>
          </cell>
          <cell r="AY240">
            <v>0</v>
          </cell>
          <cell r="BG240">
            <v>0</v>
          </cell>
          <cell r="BH240">
            <v>0</v>
          </cell>
          <cell r="BJ240">
            <v>0</v>
          </cell>
          <cell r="CD240">
            <v>0</v>
          </cell>
          <cell r="CE240">
            <v>0</v>
          </cell>
        </row>
      </sheetData>
      <sheetData sheetId="20" refreshError="1">
        <row r="489">
          <cell r="C489">
            <v>186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W489">
            <v>0</v>
          </cell>
          <cell r="AU489">
            <v>0</v>
          </cell>
          <cell r="AY489">
            <v>0</v>
          </cell>
          <cell r="BG489">
            <v>0</v>
          </cell>
          <cell r="BI489">
            <v>0</v>
          </cell>
          <cell r="CD489">
            <v>0</v>
          </cell>
          <cell r="CE489">
            <v>0</v>
          </cell>
        </row>
      </sheetData>
      <sheetData sheetId="21" refreshError="1">
        <row r="8">
          <cell r="B8">
            <v>0</v>
          </cell>
          <cell r="R8">
            <v>0</v>
          </cell>
          <cell r="V8">
            <v>0</v>
          </cell>
          <cell r="X8">
            <v>0</v>
          </cell>
          <cell r="AI8">
            <v>0</v>
          </cell>
          <cell r="AU8">
            <v>0</v>
          </cell>
          <cell r="AV8">
            <v>0</v>
          </cell>
        </row>
      </sheetData>
      <sheetData sheetId="22" refreshError="1">
        <row r="77">
          <cell r="B77">
            <v>0</v>
          </cell>
          <cell r="H77">
            <v>0</v>
          </cell>
          <cell r="R77">
            <v>0</v>
          </cell>
          <cell r="V77">
            <v>0</v>
          </cell>
          <cell r="W77">
            <v>0</v>
          </cell>
          <cell r="AF77">
            <v>0</v>
          </cell>
          <cell r="AU77">
            <v>0</v>
          </cell>
          <cell r="AW77">
            <v>0</v>
          </cell>
          <cell r="AX77">
            <v>0</v>
          </cell>
          <cell r="BD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N77">
            <v>0</v>
          </cell>
          <cell r="BR77">
            <v>0</v>
          </cell>
        </row>
      </sheetData>
      <sheetData sheetId="23" refreshError="1">
        <row r="137">
          <cell r="B137">
            <v>0</v>
          </cell>
          <cell r="F137">
            <v>0</v>
          </cell>
          <cell r="O137">
            <v>0</v>
          </cell>
          <cell r="Q137">
            <v>0</v>
          </cell>
          <cell r="R137">
            <v>0</v>
          </cell>
          <cell r="W137">
            <v>0</v>
          </cell>
          <cell r="AU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N137">
            <v>0</v>
          </cell>
          <cell r="BR137">
            <v>0</v>
          </cell>
        </row>
      </sheetData>
      <sheetData sheetId="24" refreshError="1">
        <row r="161">
          <cell r="C161">
            <v>13</v>
          </cell>
          <cell r="F161">
            <v>0</v>
          </cell>
          <cell r="O161">
            <v>0</v>
          </cell>
          <cell r="P161">
            <v>0</v>
          </cell>
          <cell r="W161">
            <v>0</v>
          </cell>
          <cell r="AU161">
            <v>0</v>
          </cell>
          <cell r="BH161">
            <v>0</v>
          </cell>
          <cell r="BI161">
            <v>0</v>
          </cell>
          <cell r="BJ161">
            <v>0</v>
          </cell>
          <cell r="BN161">
            <v>0</v>
          </cell>
          <cell r="BR161">
            <v>0</v>
          </cell>
        </row>
      </sheetData>
      <sheetData sheetId="25" refreshError="1">
        <row r="574">
          <cell r="C574">
            <v>64</v>
          </cell>
          <cell r="E574">
            <v>0</v>
          </cell>
          <cell r="F574">
            <v>0</v>
          </cell>
          <cell r="N574">
            <v>0</v>
          </cell>
          <cell r="O574">
            <v>0</v>
          </cell>
          <cell r="P574">
            <v>0</v>
          </cell>
          <cell r="R574">
            <v>0</v>
          </cell>
          <cell r="AU574">
            <v>0</v>
          </cell>
          <cell r="BH574">
            <v>0</v>
          </cell>
          <cell r="BI574">
            <v>0</v>
          </cell>
          <cell r="BJ574">
            <v>0</v>
          </cell>
          <cell r="BN574">
            <v>0</v>
          </cell>
          <cell r="BR574">
            <v>0</v>
          </cell>
          <cell r="CD574">
            <v>0</v>
          </cell>
          <cell r="CE574">
            <v>0</v>
          </cell>
        </row>
      </sheetData>
      <sheetData sheetId="26" refreshError="1">
        <row r="2313">
          <cell r="C2313">
            <v>199</v>
          </cell>
          <cell r="AW2313">
            <v>0</v>
          </cell>
          <cell r="AX2313">
            <v>0</v>
          </cell>
          <cell r="BH2313">
            <v>0</v>
          </cell>
          <cell r="BJ2313">
            <v>0</v>
          </cell>
          <cell r="BS2313">
            <v>0</v>
          </cell>
        </row>
      </sheetData>
      <sheetData sheetId="27" refreshError="1">
        <row r="341">
          <cell r="C341">
            <v>157</v>
          </cell>
          <cell r="E341">
            <v>0</v>
          </cell>
          <cell r="F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AU341">
            <v>0</v>
          </cell>
          <cell r="AY341">
            <v>0</v>
          </cell>
          <cell r="BH341">
            <v>0</v>
          </cell>
          <cell r="BI341">
            <v>0</v>
          </cell>
          <cell r="BJ341">
            <v>0</v>
          </cell>
          <cell r="BR341">
            <v>0</v>
          </cell>
          <cell r="BY341">
            <v>0</v>
          </cell>
          <cell r="CA341">
            <v>0</v>
          </cell>
          <cell r="CB341">
            <v>0</v>
          </cell>
          <cell r="CD341">
            <v>0</v>
          </cell>
          <cell r="CE341">
            <v>0</v>
          </cell>
        </row>
      </sheetData>
      <sheetData sheetId="28" refreshError="1">
        <row r="14">
          <cell r="B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B14">
            <v>0</v>
          </cell>
          <cell r="BD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N14">
            <v>0</v>
          </cell>
          <cell r="BP14">
            <v>0</v>
          </cell>
          <cell r="BR14">
            <v>0</v>
          </cell>
          <cell r="BS14">
            <v>0</v>
          </cell>
          <cell r="BT14">
            <v>0</v>
          </cell>
          <cell r="BV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D14">
            <v>0</v>
          </cell>
          <cell r="CE14">
            <v>0</v>
          </cell>
        </row>
      </sheetData>
      <sheetData sheetId="29" refreshError="1">
        <row r="1013">
          <cell r="C1013">
            <v>307</v>
          </cell>
          <cell r="O1013">
            <v>0</v>
          </cell>
          <cell r="P1013">
            <v>0</v>
          </cell>
          <cell r="R1013">
            <v>0</v>
          </cell>
          <cell r="W1013">
            <v>0</v>
          </cell>
          <cell r="CD1013">
            <v>0</v>
          </cell>
          <cell r="CE1013">
            <v>0</v>
          </cell>
        </row>
      </sheetData>
      <sheetData sheetId="30" refreshError="1">
        <row r="7">
          <cell r="B7">
            <v>0</v>
          </cell>
          <cell r="R7">
            <v>0</v>
          </cell>
          <cell r="AU7">
            <v>0</v>
          </cell>
          <cell r="AW7">
            <v>0</v>
          </cell>
          <cell r="AX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N7">
            <v>0</v>
          </cell>
          <cell r="BS7">
            <v>0</v>
          </cell>
          <cell r="CA7">
            <v>0</v>
          </cell>
          <cell r="CB7">
            <v>0</v>
          </cell>
          <cell r="CD7">
            <v>0</v>
          </cell>
          <cell r="CE7">
            <v>0</v>
          </cell>
        </row>
      </sheetData>
      <sheetData sheetId="31" refreshError="1">
        <row r="61">
          <cell r="B61">
            <v>0</v>
          </cell>
          <cell r="R61">
            <v>0</v>
          </cell>
          <cell r="AU61">
            <v>0</v>
          </cell>
          <cell r="AW61">
            <v>0</v>
          </cell>
          <cell r="AX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N61">
            <v>0</v>
          </cell>
          <cell r="CD61">
            <v>0</v>
          </cell>
          <cell r="CE61">
            <v>0</v>
          </cell>
        </row>
      </sheetData>
      <sheetData sheetId="32" refreshError="1">
        <row r="13">
          <cell r="B13">
            <v>0</v>
          </cell>
          <cell r="G13">
            <v>0</v>
          </cell>
          <cell r="H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AK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BD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N13">
            <v>0</v>
          </cell>
          <cell r="BR13">
            <v>0</v>
          </cell>
          <cell r="BY13">
            <v>0</v>
          </cell>
          <cell r="CD13">
            <v>0</v>
          </cell>
          <cell r="CE13">
            <v>0</v>
          </cell>
        </row>
      </sheetData>
      <sheetData sheetId="33" refreshError="1">
        <row r="31">
          <cell r="B31">
            <v>0</v>
          </cell>
          <cell r="G31">
            <v>0</v>
          </cell>
          <cell r="H31">
            <v>0</v>
          </cell>
          <cell r="M31">
            <v>0</v>
          </cell>
          <cell r="O31">
            <v>0</v>
          </cell>
          <cell r="P31">
            <v>0</v>
          </cell>
          <cell r="R31">
            <v>0</v>
          </cell>
          <cell r="V31">
            <v>0</v>
          </cell>
          <cell r="W31">
            <v>0</v>
          </cell>
          <cell r="X31">
            <v>0</v>
          </cell>
          <cell r="AG31">
            <v>0</v>
          </cell>
          <cell r="AH31">
            <v>0</v>
          </cell>
          <cell r="AI31">
            <v>0</v>
          </cell>
          <cell r="AU31">
            <v>0</v>
          </cell>
          <cell r="AW31">
            <v>0</v>
          </cell>
          <cell r="AX31">
            <v>0</v>
          </cell>
          <cell r="BD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N31">
            <v>0</v>
          </cell>
          <cell r="BR31">
            <v>0</v>
          </cell>
          <cell r="BS31">
            <v>0</v>
          </cell>
          <cell r="BT31">
            <v>0</v>
          </cell>
          <cell r="BV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D31">
            <v>0</v>
          </cell>
          <cell r="CE31">
            <v>0</v>
          </cell>
        </row>
      </sheetData>
      <sheetData sheetId="34" refreshError="1">
        <row r="386">
          <cell r="B386">
            <v>0</v>
          </cell>
          <cell r="E386">
            <v>0</v>
          </cell>
          <cell r="G386">
            <v>0</v>
          </cell>
          <cell r="N386">
            <v>0</v>
          </cell>
          <cell r="O386">
            <v>0</v>
          </cell>
          <cell r="P386">
            <v>0</v>
          </cell>
          <cell r="R386">
            <v>0</v>
          </cell>
          <cell r="W386">
            <v>0</v>
          </cell>
          <cell r="X386">
            <v>0</v>
          </cell>
          <cell r="Y386">
            <v>0</v>
          </cell>
          <cell r="AE386">
            <v>0</v>
          </cell>
          <cell r="AU386">
            <v>0</v>
          </cell>
          <cell r="AW386">
            <v>0</v>
          </cell>
          <cell r="BH386">
            <v>0</v>
          </cell>
          <cell r="BI386">
            <v>0</v>
          </cell>
          <cell r="BN386">
            <v>0</v>
          </cell>
          <cell r="BR386">
            <v>0</v>
          </cell>
          <cell r="BS386">
            <v>0</v>
          </cell>
          <cell r="BT386">
            <v>0</v>
          </cell>
          <cell r="BV386">
            <v>0</v>
          </cell>
          <cell r="BW386">
            <v>0</v>
          </cell>
          <cell r="BY386">
            <v>0</v>
          </cell>
          <cell r="CA386">
            <v>0</v>
          </cell>
          <cell r="CB386">
            <v>0</v>
          </cell>
          <cell r="CD386">
            <v>0</v>
          </cell>
          <cell r="CE386">
            <v>0</v>
          </cell>
        </row>
      </sheetData>
      <sheetData sheetId="35" refreshError="1">
        <row r="182">
          <cell r="C182">
            <v>112</v>
          </cell>
          <cell r="F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AU182">
            <v>0</v>
          </cell>
          <cell r="AW182">
            <v>0</v>
          </cell>
          <cell r="AX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CD182">
            <v>0</v>
          </cell>
          <cell r="CE182">
            <v>0</v>
          </cell>
        </row>
      </sheetData>
      <sheetData sheetId="36" refreshError="1">
        <row r="168">
          <cell r="C168">
            <v>36</v>
          </cell>
          <cell r="P168">
            <v>0</v>
          </cell>
          <cell r="R168">
            <v>0</v>
          </cell>
          <cell r="W168">
            <v>0</v>
          </cell>
          <cell r="AU168">
            <v>0</v>
          </cell>
          <cell r="AX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N168">
            <v>0</v>
          </cell>
          <cell r="BR168">
            <v>0</v>
          </cell>
          <cell r="CA168">
            <v>0</v>
          </cell>
          <cell r="CB168">
            <v>0</v>
          </cell>
          <cell r="CD168">
            <v>0</v>
          </cell>
          <cell r="CE168">
            <v>0</v>
          </cell>
        </row>
      </sheetData>
      <sheetData sheetId="37" refreshError="1">
        <row r="251">
          <cell r="C251">
            <v>94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AX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R251">
            <v>0</v>
          </cell>
          <cell r="CD251">
            <v>0</v>
          </cell>
          <cell r="CE251">
            <v>0</v>
          </cell>
        </row>
      </sheetData>
      <sheetData sheetId="38" refreshError="1">
        <row r="418">
          <cell r="C418">
            <v>179</v>
          </cell>
          <cell r="E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AU418">
            <v>0</v>
          </cell>
          <cell r="AX418">
            <v>0</v>
          </cell>
          <cell r="BH418">
            <v>0</v>
          </cell>
          <cell r="BI418">
            <v>0</v>
          </cell>
          <cell r="BJ418">
            <v>0</v>
          </cell>
          <cell r="CA418">
            <v>0</v>
          </cell>
          <cell r="CB418">
            <v>0</v>
          </cell>
          <cell r="CD418">
            <v>0</v>
          </cell>
          <cell r="CE418">
            <v>0</v>
          </cell>
        </row>
      </sheetData>
      <sheetData sheetId="39" refreshError="1">
        <row r="73">
          <cell r="B73">
            <v>0</v>
          </cell>
          <cell r="E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W73">
            <v>0</v>
          </cell>
          <cell r="AU73">
            <v>0</v>
          </cell>
          <cell r="AX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N73">
            <v>0</v>
          </cell>
          <cell r="BR73">
            <v>0</v>
          </cell>
          <cell r="CA73">
            <v>0</v>
          </cell>
          <cell r="CB73">
            <v>0</v>
          </cell>
          <cell r="CD73">
            <v>0</v>
          </cell>
          <cell r="CE73">
            <v>0</v>
          </cell>
        </row>
      </sheetData>
      <sheetData sheetId="40" refreshError="1">
        <row r="69">
          <cell r="C69">
            <v>6</v>
          </cell>
          <cell r="H69">
            <v>0</v>
          </cell>
          <cell r="M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V69">
            <v>0</v>
          </cell>
          <cell r="X69">
            <v>0</v>
          </cell>
          <cell r="AB69">
            <v>0</v>
          </cell>
          <cell r="AH69">
            <v>0</v>
          </cell>
          <cell r="AJ69">
            <v>0</v>
          </cell>
          <cell r="AU69">
            <v>0</v>
          </cell>
          <cell r="AX69">
            <v>0</v>
          </cell>
          <cell r="AY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N69">
            <v>0</v>
          </cell>
          <cell r="BR69">
            <v>0</v>
          </cell>
          <cell r="BS69">
            <v>0</v>
          </cell>
          <cell r="BT69">
            <v>0</v>
          </cell>
          <cell r="BV69">
            <v>0</v>
          </cell>
          <cell r="BW69">
            <v>0</v>
          </cell>
          <cell r="BY69">
            <v>0</v>
          </cell>
          <cell r="CA69">
            <v>0</v>
          </cell>
          <cell r="CB69">
            <v>0</v>
          </cell>
          <cell r="CD69">
            <v>0</v>
          </cell>
          <cell r="CE69">
            <v>0</v>
          </cell>
        </row>
      </sheetData>
      <sheetData sheetId="41" refreshError="1"/>
      <sheetData sheetId="42" refreshError="1">
        <row r="1139">
          <cell r="C1139">
            <v>597</v>
          </cell>
          <cell r="O1139">
            <v>0</v>
          </cell>
          <cell r="P1139">
            <v>0</v>
          </cell>
          <cell r="R1139">
            <v>0</v>
          </cell>
          <cell r="AU1139">
            <v>0</v>
          </cell>
          <cell r="BG1139">
            <v>0</v>
          </cell>
          <cell r="BI1139">
            <v>0</v>
          </cell>
          <cell r="BJ1139">
            <v>0</v>
          </cell>
          <cell r="BN1139">
            <v>0</v>
          </cell>
          <cell r="BR1139">
            <v>0</v>
          </cell>
        </row>
      </sheetData>
      <sheetData sheetId="43" refreshError="1">
        <row r="90">
          <cell r="C90">
            <v>36</v>
          </cell>
          <cell r="E90">
            <v>0</v>
          </cell>
          <cell r="F90">
            <v>0</v>
          </cell>
          <cell r="G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AB90">
            <v>0</v>
          </cell>
          <cell r="AJ90">
            <v>0</v>
          </cell>
          <cell r="AU90">
            <v>0</v>
          </cell>
          <cell r="AW90">
            <v>0</v>
          </cell>
          <cell r="AX90">
            <v>0</v>
          </cell>
          <cell r="AY90">
            <v>0</v>
          </cell>
          <cell r="BF90">
            <v>0</v>
          </cell>
          <cell r="BH90">
            <v>0</v>
          </cell>
          <cell r="BN90">
            <v>0</v>
          </cell>
          <cell r="BR90">
            <v>0</v>
          </cell>
          <cell r="BS90">
            <v>0</v>
          </cell>
          <cell r="BT90">
            <v>0</v>
          </cell>
          <cell r="BV90">
            <v>0</v>
          </cell>
          <cell r="BW90">
            <v>0</v>
          </cell>
          <cell r="BY90">
            <v>0</v>
          </cell>
          <cell r="CA90">
            <v>0</v>
          </cell>
          <cell r="CB90">
            <v>0</v>
          </cell>
          <cell r="CD90">
            <v>0</v>
          </cell>
          <cell r="CE90">
            <v>0</v>
          </cell>
        </row>
      </sheetData>
      <sheetData sheetId="44" refreshError="1">
        <row r="1519">
          <cell r="C1519">
            <v>675</v>
          </cell>
          <cell r="O1519">
            <v>0</v>
          </cell>
          <cell r="P1519">
            <v>0</v>
          </cell>
          <cell r="R1519">
            <v>0</v>
          </cell>
          <cell r="AU1519">
            <v>0</v>
          </cell>
          <cell r="AY1519">
            <v>0</v>
          </cell>
          <cell r="BH1519">
            <v>0</v>
          </cell>
        </row>
      </sheetData>
      <sheetData sheetId="45" refreshError="1">
        <row r="4333">
          <cell r="C4333">
            <v>1741</v>
          </cell>
          <cell r="R4333">
            <v>0</v>
          </cell>
          <cell r="BH4333">
            <v>0</v>
          </cell>
          <cell r="BI4333">
            <v>0</v>
          </cell>
          <cell r="BJ4333">
            <v>0</v>
          </cell>
          <cell r="BN4333">
            <v>0</v>
          </cell>
        </row>
      </sheetData>
      <sheetData sheetId="46" refreshError="1">
        <row r="29">
          <cell r="B29">
            <v>0</v>
          </cell>
          <cell r="E29">
            <v>0</v>
          </cell>
          <cell r="F29">
            <v>0</v>
          </cell>
          <cell r="H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AB29">
            <v>0</v>
          </cell>
          <cell r="AE29">
            <v>0</v>
          </cell>
          <cell r="AF29">
            <v>4</v>
          </cell>
          <cell r="AG29">
            <v>0</v>
          </cell>
          <cell r="AJ29">
            <v>0</v>
          </cell>
          <cell r="AU29">
            <v>0</v>
          </cell>
          <cell r="AW29">
            <v>0</v>
          </cell>
          <cell r="AX29">
            <v>0</v>
          </cell>
          <cell r="AY29">
            <v>0</v>
          </cell>
          <cell r="BD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N29">
            <v>0</v>
          </cell>
          <cell r="BP29">
            <v>20</v>
          </cell>
          <cell r="BR29">
            <v>0</v>
          </cell>
          <cell r="BS29">
            <v>0</v>
          </cell>
          <cell r="BT29">
            <v>0</v>
          </cell>
          <cell r="BV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D29">
            <v>0</v>
          </cell>
          <cell r="CE29">
            <v>0</v>
          </cell>
        </row>
      </sheetData>
      <sheetData sheetId="47" refreshError="1">
        <row r="880">
          <cell r="C880">
            <v>265</v>
          </cell>
          <cell r="O880">
            <v>0</v>
          </cell>
          <cell r="P880">
            <v>0</v>
          </cell>
          <cell r="AY880">
            <v>0</v>
          </cell>
          <cell r="BH880">
            <v>0</v>
          </cell>
          <cell r="BI880">
            <v>0</v>
          </cell>
          <cell r="BJ880">
            <v>0</v>
          </cell>
        </row>
      </sheetData>
      <sheetData sheetId="48" refreshError="1">
        <row r="55">
          <cell r="B55">
            <v>0</v>
          </cell>
          <cell r="H55">
            <v>0</v>
          </cell>
        </row>
      </sheetData>
      <sheetData sheetId="49" refreshError="1">
        <row r="213">
          <cell r="C213">
            <v>94</v>
          </cell>
          <cell r="E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W213">
            <v>0</v>
          </cell>
          <cell r="AX213">
            <v>0</v>
          </cell>
          <cell r="AY213">
            <v>0</v>
          </cell>
          <cell r="BH213">
            <v>0</v>
          </cell>
          <cell r="BI213">
            <v>0</v>
          </cell>
          <cell r="BJ213">
            <v>0</v>
          </cell>
          <cell r="BR213">
            <v>0</v>
          </cell>
        </row>
      </sheetData>
      <sheetData sheetId="50" refreshError="1">
        <row r="140">
          <cell r="B140">
            <v>0</v>
          </cell>
          <cell r="E140">
            <v>0</v>
          </cell>
          <cell r="F140">
            <v>0</v>
          </cell>
          <cell r="G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W140">
            <v>0</v>
          </cell>
          <cell r="AE140">
            <v>0</v>
          </cell>
          <cell r="AU140">
            <v>0</v>
          </cell>
          <cell r="AW140">
            <v>0</v>
          </cell>
          <cell r="AX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N140">
            <v>0</v>
          </cell>
          <cell r="BR140">
            <v>0</v>
          </cell>
          <cell r="BS140">
            <v>0</v>
          </cell>
          <cell r="BT140">
            <v>0</v>
          </cell>
          <cell r="BV140">
            <v>0</v>
          </cell>
          <cell r="BW140">
            <v>0</v>
          </cell>
          <cell r="BY140">
            <v>0</v>
          </cell>
          <cell r="CA140">
            <v>0</v>
          </cell>
          <cell r="CB140">
            <v>0</v>
          </cell>
          <cell r="CD140">
            <v>0</v>
          </cell>
          <cell r="CE140">
            <v>0</v>
          </cell>
        </row>
      </sheetData>
      <sheetData sheetId="51" refreshError="1">
        <row r="247">
          <cell r="B247">
            <v>0</v>
          </cell>
          <cell r="E247">
            <v>0</v>
          </cell>
          <cell r="F247">
            <v>0</v>
          </cell>
          <cell r="G247">
            <v>0</v>
          </cell>
          <cell r="N247">
            <v>0</v>
          </cell>
          <cell r="O247">
            <v>0</v>
          </cell>
          <cell r="P247">
            <v>0</v>
          </cell>
          <cell r="R247">
            <v>0</v>
          </cell>
          <cell r="V247">
            <v>0</v>
          </cell>
          <cell r="W247">
            <v>0</v>
          </cell>
          <cell r="X247">
            <v>0</v>
          </cell>
          <cell r="AB247">
            <v>0</v>
          </cell>
          <cell r="AD247">
            <v>0</v>
          </cell>
          <cell r="AE247">
            <v>0</v>
          </cell>
          <cell r="AH247">
            <v>0</v>
          </cell>
          <cell r="AJ247">
            <v>0</v>
          </cell>
          <cell r="AV247">
            <v>0</v>
          </cell>
          <cell r="AW247">
            <v>0</v>
          </cell>
          <cell r="AX247">
            <v>0</v>
          </cell>
          <cell r="BD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R247">
            <v>0</v>
          </cell>
          <cell r="BS247">
            <v>0</v>
          </cell>
          <cell r="BT247">
            <v>0</v>
          </cell>
          <cell r="BV247">
            <v>0</v>
          </cell>
          <cell r="BW247">
            <v>0</v>
          </cell>
          <cell r="BY247">
            <v>0</v>
          </cell>
          <cell r="CA247">
            <v>0</v>
          </cell>
          <cell r="CB247">
            <v>0</v>
          </cell>
          <cell r="CD247">
            <v>0</v>
          </cell>
          <cell r="CE247">
            <v>0</v>
          </cell>
        </row>
      </sheetData>
      <sheetData sheetId="52" refreshError="1">
        <row r="67">
          <cell r="C67">
            <v>12</v>
          </cell>
          <cell r="E67">
            <v>0</v>
          </cell>
          <cell r="F67">
            <v>0</v>
          </cell>
          <cell r="H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V67">
            <v>0</v>
          </cell>
          <cell r="AB67">
            <v>0</v>
          </cell>
          <cell r="AD67">
            <v>2</v>
          </cell>
          <cell r="AE67">
            <v>0</v>
          </cell>
          <cell r="AJ67">
            <v>0</v>
          </cell>
          <cell r="AU67">
            <v>0</v>
          </cell>
          <cell r="AW67">
            <v>0</v>
          </cell>
          <cell r="AX67">
            <v>0</v>
          </cell>
          <cell r="BD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CD67">
            <v>0</v>
          </cell>
          <cell r="CE67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labama-clean 7"/>
      <sheetName val="Alaska-clean18"/>
      <sheetName val="Arizona-clean 70"/>
      <sheetName val="Arkansas-clean 3"/>
      <sheetName val="California-clean 657"/>
      <sheetName val="Colorado-clean 117"/>
      <sheetName val="Connecticut-clean 10"/>
      <sheetName val="Delaware-clean 14"/>
      <sheetName val="Florida-clean 159"/>
      <sheetName val="Georgia-clean 114"/>
      <sheetName val="Hawaii-clean 28"/>
      <sheetName val="Idaho-clean 24"/>
      <sheetName val="Illinois-clean 67"/>
      <sheetName val="Indiana-clean 7"/>
      <sheetName val="Iowa-clean 11"/>
      <sheetName val="Kentucky-clean 2"/>
      <sheetName val="Maryland-clean 10"/>
      <sheetName val="Massachusetts-clean 8"/>
      <sheetName val="Michigan-clean 3"/>
      <sheetName val="Minnesota-clean 59"/>
      <sheetName val="Mississippi-clean 15"/>
      <sheetName val="Missouri-clean 71"/>
      <sheetName val="Nevada-clean 11"/>
      <sheetName val="New Jersey-clean 57"/>
      <sheetName val="New York-clean 25"/>
      <sheetName val="North Carolina-clean 151"/>
      <sheetName val="North Dakota-clean 6"/>
      <sheetName val="Ohio-clean 53"/>
      <sheetName val="Oklahoma-clean 25"/>
      <sheetName val="Oregon-clean 55"/>
      <sheetName val="Pennsylvania-clean 251"/>
      <sheetName val="Rhode Island-clean 1"/>
      <sheetName val="South Carolina-clean 149"/>
      <sheetName val="Tennessee-clean 10"/>
      <sheetName val="Texas-clean 472"/>
      <sheetName val="Virginia-clean 125"/>
      <sheetName val="Washington-clean 154"/>
      <sheetName val="West Virginia-clean 7"/>
      <sheetName val="Wisconsin-clean 3"/>
    </sheetNames>
    <sheetDataSet>
      <sheetData sheetId="0" refreshError="1"/>
      <sheetData sheetId="1" refreshError="1">
        <row r="14">
          <cell r="C14">
            <v>0</v>
          </cell>
        </row>
      </sheetData>
      <sheetData sheetId="2" refreshError="1">
        <row r="26">
          <cell r="N26">
            <v>0</v>
          </cell>
          <cell r="O26">
            <v>0</v>
          </cell>
          <cell r="Q26">
            <v>0</v>
          </cell>
          <cell r="R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BD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N26">
            <v>0</v>
          </cell>
          <cell r="BR26">
            <v>0</v>
          </cell>
          <cell r="BS26">
            <v>0</v>
          </cell>
          <cell r="BT26">
            <v>0</v>
          </cell>
          <cell r="BV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D26">
            <v>0</v>
          </cell>
          <cell r="CE26">
            <v>0</v>
          </cell>
        </row>
      </sheetData>
      <sheetData sheetId="3" refreshError="1"/>
      <sheetData sheetId="4" refreshError="1">
        <row r="14">
          <cell r="B14">
            <v>0</v>
          </cell>
          <cell r="C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D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R14">
            <v>0</v>
          </cell>
          <cell r="BS14">
            <v>0</v>
          </cell>
          <cell r="BT14">
            <v>0</v>
          </cell>
        </row>
      </sheetData>
      <sheetData sheetId="5" refreshError="1">
        <row r="666">
          <cell r="O666">
            <v>0</v>
          </cell>
          <cell r="AU666">
            <v>0</v>
          </cell>
          <cell r="AV666">
            <v>0</v>
          </cell>
          <cell r="AX666">
            <v>0</v>
          </cell>
          <cell r="BF666">
            <v>0</v>
          </cell>
          <cell r="BH666">
            <v>0</v>
          </cell>
          <cell r="BI666">
            <v>0</v>
          </cell>
          <cell r="BJ666">
            <v>0</v>
          </cell>
          <cell r="BN666">
            <v>0</v>
          </cell>
          <cell r="BR666">
            <v>0</v>
          </cell>
          <cell r="BS666">
            <v>0</v>
          </cell>
          <cell r="BT666">
            <v>0</v>
          </cell>
          <cell r="BV666">
            <v>0</v>
          </cell>
          <cell r="BW666">
            <v>0</v>
          </cell>
          <cell r="CA666">
            <v>0</v>
          </cell>
          <cell r="CB666">
            <v>0</v>
          </cell>
          <cell r="CD666">
            <v>0</v>
          </cell>
          <cell r="CE666">
            <v>0</v>
          </cell>
        </row>
      </sheetData>
      <sheetData sheetId="6" refreshError="1">
        <row r="123">
          <cell r="N123">
            <v>0</v>
          </cell>
          <cell r="O123">
            <v>0</v>
          </cell>
          <cell r="P123">
            <v>0</v>
          </cell>
          <cell r="V123">
            <v>0</v>
          </cell>
          <cell r="W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BD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R123">
            <v>0</v>
          </cell>
          <cell r="BY123">
            <v>0</v>
          </cell>
        </row>
      </sheetData>
      <sheetData sheetId="7" refreshError="1">
        <row r="16">
          <cell r="B16">
            <v>0</v>
          </cell>
        </row>
      </sheetData>
      <sheetData sheetId="8" refreshError="1">
        <row r="23">
          <cell r="B23">
            <v>0</v>
          </cell>
          <cell r="E23">
            <v>0</v>
          </cell>
        </row>
      </sheetData>
      <sheetData sheetId="9" refreshError="1"/>
      <sheetData sheetId="10" refreshError="1">
        <row r="122">
          <cell r="AK122">
            <v>0</v>
          </cell>
        </row>
      </sheetData>
      <sheetData sheetId="11" refreshError="1">
        <row r="34">
          <cell r="B34">
            <v>0</v>
          </cell>
        </row>
      </sheetData>
      <sheetData sheetId="12" refreshError="1">
        <row r="30">
          <cell r="N30">
            <v>0</v>
          </cell>
          <cell r="O30">
            <v>0</v>
          </cell>
          <cell r="R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AB30">
            <v>0</v>
          </cell>
          <cell r="AE30">
            <v>0</v>
          </cell>
          <cell r="AF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V30">
            <v>0</v>
          </cell>
        </row>
      </sheetData>
      <sheetData sheetId="13" refreshError="1">
        <row r="73">
          <cell r="H73">
            <v>0</v>
          </cell>
          <cell r="AT73">
            <v>0</v>
          </cell>
        </row>
      </sheetData>
      <sheetData sheetId="14" refreshError="1">
        <row r="17">
          <cell r="B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D17">
            <v>0</v>
          </cell>
          <cell r="AE17">
            <v>0</v>
          </cell>
          <cell r="AF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BD17">
            <v>0</v>
          </cell>
        </row>
      </sheetData>
      <sheetData sheetId="15" refreshError="1">
        <row r="21">
          <cell r="B21">
            <v>0</v>
          </cell>
          <cell r="G21">
            <v>0</v>
          </cell>
          <cell r="H21">
            <v>0</v>
          </cell>
        </row>
      </sheetData>
      <sheetData sheetId="16" refreshError="1"/>
      <sheetData sheetId="17" refreshError="1">
        <row r="19">
          <cell r="B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AE19">
            <v>0</v>
          </cell>
          <cell r="AH19">
            <v>0</v>
          </cell>
          <cell r="AI19">
            <v>0</v>
          </cell>
          <cell r="AK19">
            <v>0</v>
          </cell>
          <cell r="AV19">
            <v>0</v>
          </cell>
          <cell r="AW19">
            <v>0</v>
          </cell>
          <cell r="AX19">
            <v>0</v>
          </cell>
          <cell r="BD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N19">
            <v>0</v>
          </cell>
          <cell r="BR19">
            <v>0</v>
          </cell>
          <cell r="BS19">
            <v>0</v>
          </cell>
          <cell r="BT19">
            <v>0</v>
          </cell>
          <cell r="BV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D19">
            <v>0</v>
          </cell>
          <cell r="CE19">
            <v>0</v>
          </cell>
        </row>
      </sheetData>
      <sheetData sheetId="18" refreshError="1">
        <row r="16">
          <cell r="B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AB16">
            <v>0</v>
          </cell>
          <cell r="AE16">
            <v>0</v>
          </cell>
          <cell r="AF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</row>
      </sheetData>
      <sheetData sheetId="19" refreshError="1">
        <row r="11">
          <cell r="B11">
            <v>0</v>
          </cell>
          <cell r="C11">
            <v>0</v>
          </cell>
        </row>
      </sheetData>
      <sheetData sheetId="20" refreshError="1">
        <row r="66">
          <cell r="B66">
            <v>0</v>
          </cell>
          <cell r="G66">
            <v>0</v>
          </cell>
        </row>
      </sheetData>
      <sheetData sheetId="21" refreshError="1">
        <row r="27">
          <cell r="B27">
            <v>0</v>
          </cell>
          <cell r="G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B27">
            <v>0</v>
          </cell>
          <cell r="AE27">
            <v>0</v>
          </cell>
          <cell r="AF27">
            <v>0</v>
          </cell>
          <cell r="AJ27">
            <v>0</v>
          </cell>
          <cell r="AK27">
            <v>0</v>
          </cell>
        </row>
      </sheetData>
      <sheetData sheetId="22" refreshError="1">
        <row r="77">
          <cell r="P77">
            <v>0</v>
          </cell>
        </row>
      </sheetData>
      <sheetData sheetId="23" refreshError="1">
        <row r="18">
          <cell r="B18">
            <v>0</v>
          </cell>
        </row>
      </sheetData>
      <sheetData sheetId="24" refreshError="1"/>
      <sheetData sheetId="25" refreshError="1"/>
      <sheetData sheetId="26" refreshError="1">
        <row r="158">
          <cell r="AB158">
            <v>0</v>
          </cell>
          <cell r="AJ158">
            <v>0</v>
          </cell>
          <cell r="AU158">
            <v>0</v>
          </cell>
        </row>
      </sheetData>
      <sheetData sheetId="27" refreshError="1">
        <row r="16">
          <cell r="B16">
            <v>0</v>
          </cell>
        </row>
      </sheetData>
      <sheetData sheetId="28" refreshError="1">
        <row r="62">
          <cell r="AH62">
            <v>0</v>
          </cell>
          <cell r="AJ62">
            <v>0</v>
          </cell>
        </row>
      </sheetData>
      <sheetData sheetId="29" refreshError="1">
        <row r="32">
          <cell r="B32">
            <v>0</v>
          </cell>
        </row>
      </sheetData>
      <sheetData sheetId="30" refreshError="1">
        <row r="64">
          <cell r="B64">
            <v>0</v>
          </cell>
        </row>
      </sheetData>
      <sheetData sheetId="31" refreshError="1"/>
      <sheetData sheetId="32" refreshError="1">
        <row r="7">
          <cell r="B7">
            <v>0</v>
          </cell>
          <cell r="C7">
            <v>0</v>
          </cell>
        </row>
      </sheetData>
      <sheetData sheetId="33" refreshError="1">
        <row r="161">
          <cell r="AJ161">
            <v>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>
        <row r="16">
          <cell r="B16">
            <v>0</v>
          </cell>
          <cell r="C16">
            <v>0</v>
          </cell>
          <cell r="M16">
            <v>0</v>
          </cell>
        </row>
      </sheetData>
      <sheetData sheetId="39" refreshError="1"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BD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N12">
            <v>0</v>
          </cell>
          <cell r="BR12">
            <v>0</v>
          </cell>
          <cell r="BS12">
            <v>0</v>
          </cell>
          <cell r="BT12">
            <v>0</v>
          </cell>
          <cell r="BV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D12">
            <v>0</v>
          </cell>
          <cell r="CE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Unity_of_the_Brethren_Baptists" TargetMode="External"/><Relationship Id="rId13" Type="http://schemas.openxmlformats.org/officeDocument/2006/relationships/hyperlink" Target="https://en.wikipedia.org/wiki/International_Pentecostal_Holiness_Church" TargetMode="External"/><Relationship Id="rId18" Type="http://schemas.openxmlformats.org/officeDocument/2006/relationships/hyperlink" Target="https://en.wikipedia.org/wiki/Calvary_Chapel" TargetMode="External"/><Relationship Id="rId26" Type="http://schemas.openxmlformats.org/officeDocument/2006/relationships/hyperlink" Target="https://en.wikipedia.org/wiki/Congregational_church" TargetMode="External"/><Relationship Id="rId3" Type="http://schemas.openxmlformats.org/officeDocument/2006/relationships/hyperlink" Target="https://en.wikipedia.org/wiki/Seventh_Day_Adventist_Reform_Movement" TargetMode="External"/><Relationship Id="rId21" Type="http://schemas.openxmlformats.org/officeDocument/2006/relationships/hyperlink" Target="https://en.wikipedia.org/wiki/List_of_Christian_denominations_by_number_of_members" TargetMode="External"/><Relationship Id="rId7" Type="http://schemas.openxmlformats.org/officeDocument/2006/relationships/hyperlink" Target="https://en.wikipedia.org/wiki/Moravian_Church" TargetMode="External"/><Relationship Id="rId12" Type="http://schemas.openxmlformats.org/officeDocument/2006/relationships/hyperlink" Target="https://en.wikipedia.org/wiki/Church_of_God_(Cleveland,_Tennessee)" TargetMode="External"/><Relationship Id="rId17" Type="http://schemas.openxmlformats.org/officeDocument/2006/relationships/hyperlink" Target="https://en.wikipedia.org/wiki/God_is_Love_Pentecostal_Church" TargetMode="External"/><Relationship Id="rId25" Type="http://schemas.openxmlformats.org/officeDocument/2006/relationships/hyperlink" Target="https://en.wikipedia.org/wiki/Continental_Reformed_church" TargetMode="External"/><Relationship Id="rId2" Type="http://schemas.openxmlformats.org/officeDocument/2006/relationships/hyperlink" Target="https://en.wikipedia.org/wiki/Advent_Christian_Church" TargetMode="External"/><Relationship Id="rId16" Type="http://schemas.openxmlformats.org/officeDocument/2006/relationships/hyperlink" Target="https://en.wikipedia.org/wiki/Church_of_God_of_Prophecy" TargetMode="External"/><Relationship Id="rId20" Type="http://schemas.openxmlformats.org/officeDocument/2006/relationships/hyperlink" Target="https://en.wikipedia.org/wiki/List_of_Christian_denominations_by_number_of_members" TargetMode="External"/><Relationship Id="rId29" Type="http://schemas.openxmlformats.org/officeDocument/2006/relationships/hyperlink" Target="http://www.cmalliance.org/" TargetMode="External"/><Relationship Id="rId1" Type="http://schemas.openxmlformats.org/officeDocument/2006/relationships/hyperlink" Target="https://en.wikipedia.org/wiki/Church_of_God_(Seventh-Day)" TargetMode="External"/><Relationship Id="rId6" Type="http://schemas.openxmlformats.org/officeDocument/2006/relationships/hyperlink" Target="https://en.wikipedia.org/wiki/List_of_Christian_denominations_by_number_of_members" TargetMode="External"/><Relationship Id="rId11" Type="http://schemas.openxmlformats.org/officeDocument/2006/relationships/hyperlink" Target="https://en.wikipedia.org/wiki/International_Church_of_the_Foursquare_Gospel" TargetMode="External"/><Relationship Id="rId24" Type="http://schemas.openxmlformats.org/officeDocument/2006/relationships/hyperlink" Target="https://en.wikipedia.org/wiki/Polish_National_Catholic_Church" TargetMode="External"/><Relationship Id="rId5" Type="http://schemas.openxmlformats.org/officeDocument/2006/relationships/hyperlink" Target="https://en.wikipedia.org/wiki/Hutterite" TargetMode="External"/><Relationship Id="rId15" Type="http://schemas.openxmlformats.org/officeDocument/2006/relationships/hyperlink" Target="https://en.wikipedia.org/wiki/Universal_Church_of_the_Kingdom_of_God" TargetMode="External"/><Relationship Id="rId23" Type="http://schemas.openxmlformats.org/officeDocument/2006/relationships/hyperlink" Target="https://en.wikipedia.org/wiki/Traditionalist_Mexican-American_Catholic_Church" TargetMode="External"/><Relationship Id="rId28" Type="http://schemas.openxmlformats.org/officeDocument/2006/relationships/hyperlink" Target="https://www.cmacan.org/" TargetMode="External"/><Relationship Id="rId10" Type="http://schemas.openxmlformats.org/officeDocument/2006/relationships/hyperlink" Target="https://en.wikipedia.org/wiki/List_of_Christian_denominations_by_number_of_members" TargetMode="External"/><Relationship Id="rId19" Type="http://schemas.openxmlformats.org/officeDocument/2006/relationships/hyperlink" Target="https://en.wikipedia.org/wiki/Church_of_God_(Anderson,_Indiana)" TargetMode="External"/><Relationship Id="rId4" Type="http://schemas.openxmlformats.org/officeDocument/2006/relationships/hyperlink" Target="https://en.wikipedia.org/wiki/Amish" TargetMode="External"/><Relationship Id="rId9" Type="http://schemas.openxmlformats.org/officeDocument/2006/relationships/hyperlink" Target="https://en.wikipedia.org/wiki/Apostolic_Church_(denomination)" TargetMode="External"/><Relationship Id="rId14" Type="http://schemas.openxmlformats.org/officeDocument/2006/relationships/hyperlink" Target="https://en.wikipedia.org/wiki/Christian_Congregation_of_Brazil" TargetMode="External"/><Relationship Id="rId22" Type="http://schemas.openxmlformats.org/officeDocument/2006/relationships/hyperlink" Target="https://en.wikipedia.org/wiki/Congregation_of_Mary_Immaculate_Queen" TargetMode="External"/><Relationship Id="rId27" Type="http://schemas.openxmlformats.org/officeDocument/2006/relationships/hyperlink" Target="https://en.wikipedia.org/w/index.php?title=List_of_Christian_denominations_by_number_of_members&amp;action=edit&amp;section=4" TargetMode="External"/><Relationship Id="rId30" Type="http://schemas.openxmlformats.org/officeDocument/2006/relationships/hyperlink" Target="https://en.wikipedia.org/wiki/Latin_Church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dmin@nhdistrict.org" TargetMode="External"/><Relationship Id="rId21" Type="http://schemas.openxmlformats.org/officeDocument/2006/relationships/hyperlink" Target="http://www.socalnetwork.org/" TargetMode="External"/><Relationship Id="rId42" Type="http://schemas.openxmlformats.org/officeDocument/2006/relationships/hyperlink" Target="mailto:jfilbeck@mnaog.org" TargetMode="External"/><Relationship Id="rId63" Type="http://schemas.openxmlformats.org/officeDocument/2006/relationships/hyperlink" Target="mailto:wtdistag@sbcglobal.net" TargetMode="External"/><Relationship Id="rId84" Type="http://schemas.openxmlformats.org/officeDocument/2006/relationships/hyperlink" Target="https://ag.org/church?g=69ae82cc-0a6b-47b0-a90e-6d791835e094&amp;d=False" TargetMode="External"/><Relationship Id="rId138" Type="http://schemas.openxmlformats.org/officeDocument/2006/relationships/hyperlink" Target="mailto:haligaz@gmail.com" TargetMode="External"/><Relationship Id="rId159" Type="http://schemas.openxmlformats.org/officeDocument/2006/relationships/hyperlink" Target="https://ethnicrelations.ag.org/Fellowships/National-Chinese-Fellowship" TargetMode="External"/><Relationship Id="rId170" Type="http://schemas.openxmlformats.org/officeDocument/2006/relationships/hyperlink" Target="https://ethnicrelations.ag.org/Fellowships/National-Jewish-Fellowship" TargetMode="External"/><Relationship Id="rId191" Type="http://schemas.openxmlformats.org/officeDocument/2006/relationships/hyperlink" Target="http://colleges.ag.org/Directory" TargetMode="External"/><Relationship Id="rId107" Type="http://schemas.openxmlformats.org/officeDocument/2006/relationships/hyperlink" Target="mailto:PhilWall@gadistag.org" TargetMode="External"/><Relationship Id="rId11" Type="http://schemas.openxmlformats.org/officeDocument/2006/relationships/hyperlink" Target="http://www.gccaz.org/" TargetMode="External"/><Relationship Id="rId32" Type="http://schemas.openxmlformats.org/officeDocument/2006/relationships/hyperlink" Target="mailto:guy@imnag.org" TargetMode="External"/><Relationship Id="rId53" Type="http://schemas.openxmlformats.org/officeDocument/2006/relationships/hyperlink" Target="http://www.nyministrynetwork.org/" TargetMode="External"/><Relationship Id="rId74" Type="http://schemas.openxmlformats.org/officeDocument/2006/relationships/hyperlink" Target="mailto:frank.cargill@okag.org" TargetMode="External"/><Relationship Id="rId128" Type="http://schemas.openxmlformats.org/officeDocument/2006/relationships/hyperlink" Target="mailto:txlahisdistrict@gmail.com" TargetMode="External"/><Relationship Id="rId149" Type="http://schemas.openxmlformats.org/officeDocument/2006/relationships/hyperlink" Target="https://www.facebook.com/agjapanesefellowship/" TargetMode="External"/><Relationship Id="rId5" Type="http://schemas.openxmlformats.org/officeDocument/2006/relationships/hyperlink" Target="http://www.akministrynetwork.org/" TargetMode="External"/><Relationship Id="rId95" Type="http://schemas.openxmlformats.org/officeDocument/2006/relationships/hyperlink" Target="mailto:paul@snemn.com" TargetMode="External"/><Relationship Id="rId160" Type="http://schemas.openxmlformats.org/officeDocument/2006/relationships/hyperlink" Target="https://ethnicrelations.ag.org/Fellowships/National-Deaf-Culture" TargetMode="External"/><Relationship Id="rId181" Type="http://schemas.openxmlformats.org/officeDocument/2006/relationships/hyperlink" Target="http://www.labitexas.org/" TargetMode="External"/><Relationship Id="rId22" Type="http://schemas.openxmlformats.org/officeDocument/2006/relationships/hyperlink" Target="http://socalnetwork.org/rich-guerra/" TargetMode="External"/><Relationship Id="rId43" Type="http://schemas.openxmlformats.org/officeDocument/2006/relationships/hyperlink" Target="http://www.msaog.org/" TargetMode="External"/><Relationship Id="rId64" Type="http://schemas.openxmlformats.org/officeDocument/2006/relationships/hyperlink" Target="http://www.agncn.org/" TargetMode="External"/><Relationship Id="rId118" Type="http://schemas.openxmlformats.org/officeDocument/2006/relationships/hyperlink" Target="http://www.agskdc.org/" TargetMode="External"/><Relationship Id="rId139" Type="http://schemas.openxmlformats.org/officeDocument/2006/relationships/hyperlink" Target="mailto:inosibatibasaga@yahoo.com" TargetMode="External"/><Relationship Id="rId85" Type="http://schemas.openxmlformats.org/officeDocument/2006/relationships/hyperlink" Target="mailto:info@cadpr.org" TargetMode="External"/><Relationship Id="rId150" Type="http://schemas.openxmlformats.org/officeDocument/2006/relationships/hyperlink" Target="mailto:joshkang1@hotmail.com" TargetMode="External"/><Relationship Id="rId171" Type="http://schemas.openxmlformats.org/officeDocument/2006/relationships/hyperlink" Target="https://ethnicrelations.ag.org/Fellowships/Korean-English-Fellowship" TargetMode="External"/><Relationship Id="rId192" Type="http://schemas.openxmlformats.org/officeDocument/2006/relationships/hyperlink" Target="https://www.northwestu.edu/" TargetMode="External"/><Relationship Id="rId12" Type="http://schemas.openxmlformats.org/officeDocument/2006/relationships/hyperlink" Target="mailto:SHARRIS@AZAG.ORG" TargetMode="External"/><Relationship Id="rId33" Type="http://schemas.openxmlformats.org/officeDocument/2006/relationships/hyperlink" Target="mailto:guy@imnag.org" TargetMode="External"/><Relationship Id="rId108" Type="http://schemas.openxmlformats.org/officeDocument/2006/relationships/hyperlink" Target="http://wfldag.org/" TargetMode="External"/><Relationship Id="rId129" Type="http://schemas.openxmlformats.org/officeDocument/2006/relationships/hyperlink" Target="http://www.centraldistrictag.org/" TargetMode="External"/><Relationship Id="rId54" Type="http://schemas.openxmlformats.org/officeDocument/2006/relationships/hyperlink" Target="mailto:gendeliv@nyministrynetwork.org" TargetMode="External"/><Relationship Id="rId75" Type="http://schemas.openxmlformats.org/officeDocument/2006/relationships/hyperlink" Target="http://www.oregonag.org/" TargetMode="External"/><Relationship Id="rId96" Type="http://schemas.openxmlformats.org/officeDocument/2006/relationships/hyperlink" Target="http://www.swdistrict.com/" TargetMode="External"/><Relationship Id="rId140" Type="http://schemas.openxmlformats.org/officeDocument/2006/relationships/hyperlink" Target="mailto:mysavior26@yahoo.com" TargetMode="External"/><Relationship Id="rId161" Type="http://schemas.openxmlformats.org/officeDocument/2006/relationships/hyperlink" Target="https://ethnicrelations.ag.org/Fellowships/Ethiopian-Fellowship" TargetMode="External"/><Relationship Id="rId182" Type="http://schemas.openxmlformats.org/officeDocument/2006/relationships/hyperlink" Target="http://www.evangel.edu/" TargetMode="External"/><Relationship Id="rId6" Type="http://schemas.openxmlformats.org/officeDocument/2006/relationships/hyperlink" Target="mailto:billwelch@alaskaag.org" TargetMode="External"/><Relationship Id="rId23" Type="http://schemas.openxmlformats.org/officeDocument/2006/relationships/hyperlink" Target="http://socalnetwork.org/rich-guerra/" TargetMode="External"/><Relationship Id="rId119" Type="http://schemas.openxmlformats.org/officeDocument/2006/relationships/hyperlink" Target="mailto:agskdc@gmail.com" TargetMode="External"/><Relationship Id="rId44" Type="http://schemas.openxmlformats.org/officeDocument/2006/relationships/hyperlink" Target="mailto:dyoungblood@msaog.org" TargetMode="External"/><Relationship Id="rId65" Type="http://schemas.openxmlformats.org/officeDocument/2006/relationships/hyperlink" Target="http://www.nomoag.org/" TargetMode="External"/><Relationship Id="rId86" Type="http://schemas.openxmlformats.org/officeDocument/2006/relationships/hyperlink" Target="http://rmdc.org/" TargetMode="External"/><Relationship Id="rId130" Type="http://schemas.openxmlformats.org/officeDocument/2006/relationships/hyperlink" Target="mailto:cladc@aol.com" TargetMode="External"/><Relationship Id="rId151" Type="http://schemas.openxmlformats.org/officeDocument/2006/relationships/hyperlink" Target="mailto:chinkkhai@gmail.com" TargetMode="External"/><Relationship Id="rId172" Type="http://schemas.openxmlformats.org/officeDocument/2006/relationships/hyperlink" Target="https://ethnicrelations.ag.org/Fellowships/Myanmar-AG-Fellowship-USA" TargetMode="External"/><Relationship Id="rId193" Type="http://schemas.openxmlformats.org/officeDocument/2006/relationships/hyperlink" Target="http://www.seu.edu/" TargetMode="External"/><Relationship Id="rId13" Type="http://schemas.openxmlformats.org/officeDocument/2006/relationships/hyperlink" Target="http://www.araog.org/" TargetMode="External"/><Relationship Id="rId109" Type="http://schemas.openxmlformats.org/officeDocument/2006/relationships/hyperlink" Target="http://fmdag.org/" TargetMode="External"/><Relationship Id="rId34" Type="http://schemas.openxmlformats.org/officeDocument/2006/relationships/hyperlink" Target="mailto:cwielenga@imnag.org" TargetMode="External"/><Relationship Id="rId55" Type="http://schemas.openxmlformats.org/officeDocument/2006/relationships/hyperlink" Target="http://www.ncag.org/" TargetMode="External"/><Relationship Id="rId76" Type="http://schemas.openxmlformats.org/officeDocument/2006/relationships/hyperlink" Target="mailto:info@oregonag.org" TargetMode="External"/><Relationship Id="rId97" Type="http://schemas.openxmlformats.org/officeDocument/2006/relationships/hyperlink" Target="http://www.tnaog.org/" TargetMode="External"/><Relationship Id="rId120" Type="http://schemas.openxmlformats.org/officeDocument/2006/relationships/hyperlink" Target="http://www.schdag.org/" TargetMode="External"/><Relationship Id="rId141" Type="http://schemas.openxmlformats.org/officeDocument/2006/relationships/hyperlink" Target="https://www.nationalfilamfellowshipag.org/index.html" TargetMode="External"/><Relationship Id="rId7" Type="http://schemas.openxmlformats.org/officeDocument/2006/relationships/hyperlink" Target="http://www.appag.net/" TargetMode="External"/><Relationship Id="rId162" Type="http://schemas.openxmlformats.org/officeDocument/2006/relationships/hyperlink" Target="https://ethnicrelations.ag.org/Fellowships/National-Fijian-Fellowship" TargetMode="External"/><Relationship Id="rId183" Type="http://schemas.openxmlformats.org/officeDocument/2006/relationships/hyperlink" Target="http://colleges.ag.org/Directory" TargetMode="External"/><Relationship Id="rId2" Type="http://schemas.openxmlformats.org/officeDocument/2006/relationships/hyperlink" Target="https://twitter.com/@DougClay" TargetMode="External"/><Relationship Id="rId29" Type="http://schemas.openxmlformats.org/officeDocument/2006/relationships/hyperlink" Target="http://www.idcag.org/" TargetMode="External"/><Relationship Id="rId24" Type="http://schemas.openxmlformats.org/officeDocument/2006/relationships/hyperlink" Target="mailto:rguerra@socalnetwork.org" TargetMode="External"/><Relationship Id="rId40" Type="http://schemas.openxmlformats.org/officeDocument/2006/relationships/hyperlink" Target="mailto:lnagle@aogmi.org" TargetMode="External"/><Relationship Id="rId45" Type="http://schemas.openxmlformats.org/officeDocument/2006/relationships/hyperlink" Target="http://www.montanaministrynetwork.com/" TargetMode="External"/><Relationship Id="rId66" Type="http://schemas.openxmlformats.org/officeDocument/2006/relationships/hyperlink" Target="mailto:pastoray@nomoag.org" TargetMode="External"/><Relationship Id="rId87" Type="http://schemas.openxmlformats.org/officeDocument/2006/relationships/hyperlink" Target="mailto:randy@rmdc.org" TargetMode="External"/><Relationship Id="rId110" Type="http://schemas.openxmlformats.org/officeDocument/2006/relationships/hyperlink" Target="mailto:supsec@fmdag.org" TargetMode="External"/><Relationship Id="rId115" Type="http://schemas.openxmlformats.org/officeDocument/2006/relationships/hyperlink" Target="http://www.mdcag.org/" TargetMode="External"/><Relationship Id="rId131" Type="http://schemas.openxmlformats.org/officeDocument/2006/relationships/hyperlink" Target="mailto:secretaria@confradeb.org" TargetMode="External"/><Relationship Id="rId136" Type="http://schemas.openxmlformats.org/officeDocument/2006/relationships/hyperlink" Target="mailto:jason75free@yahoo.com" TargetMode="External"/><Relationship Id="rId157" Type="http://schemas.openxmlformats.org/officeDocument/2006/relationships/hyperlink" Target="mailto:qnguyen_email@yahoo.com" TargetMode="External"/><Relationship Id="rId178" Type="http://schemas.openxmlformats.org/officeDocument/2006/relationships/hyperlink" Target="https://ethnicrelations.ag.org/Fellowships/Vietnamese-Fellowship" TargetMode="External"/><Relationship Id="rId61" Type="http://schemas.openxmlformats.org/officeDocument/2006/relationships/hyperlink" Target="mailto:kauleen@stxag.org" TargetMode="External"/><Relationship Id="rId82" Type="http://schemas.openxmlformats.org/officeDocument/2006/relationships/hyperlink" Target="mailto:bpucher@potomacag.org" TargetMode="External"/><Relationship Id="rId152" Type="http://schemas.openxmlformats.org/officeDocument/2006/relationships/hyperlink" Target="mailto:secretary@agnaf.org" TargetMode="External"/><Relationship Id="rId173" Type="http://schemas.openxmlformats.org/officeDocument/2006/relationships/hyperlink" Target="https://ethnicrelations.ag.org/Fellowships/Native-American-Fellowship" TargetMode="External"/><Relationship Id="rId194" Type="http://schemas.openxmlformats.org/officeDocument/2006/relationships/hyperlink" Target="http://www.sagu.edu/" TargetMode="External"/><Relationship Id="rId199" Type="http://schemas.openxmlformats.org/officeDocument/2006/relationships/hyperlink" Target="http://colleges.ag.org/Directory" TargetMode="External"/><Relationship Id="rId19" Type="http://schemas.openxmlformats.org/officeDocument/2006/relationships/hyperlink" Target="http://www.cpmnag.org/" TargetMode="External"/><Relationship Id="rId14" Type="http://schemas.openxmlformats.org/officeDocument/2006/relationships/hyperlink" Target="mailto:crussell@araog.org" TargetMode="External"/><Relationship Id="rId30" Type="http://schemas.openxmlformats.org/officeDocument/2006/relationships/hyperlink" Target="mailto:idcstaff@idcag.org" TargetMode="External"/><Relationship Id="rId35" Type="http://schemas.openxmlformats.org/officeDocument/2006/relationships/hyperlink" Target="http://www.imnag.org/" TargetMode="External"/><Relationship Id="rId56" Type="http://schemas.openxmlformats.org/officeDocument/2006/relationships/hyperlink" Target="http://www.nddcag.com/" TargetMode="External"/><Relationship Id="rId77" Type="http://schemas.openxmlformats.org/officeDocument/2006/relationships/hyperlink" Target="https://ag.org/church?g=bcd43bf9-6d5b-489d-ad2d-773b665d9e84&amp;d=False" TargetMode="External"/><Relationship Id="rId100" Type="http://schemas.openxmlformats.org/officeDocument/2006/relationships/hyperlink" Target="mailto:supt@wtapag.org" TargetMode="External"/><Relationship Id="rId105" Type="http://schemas.openxmlformats.org/officeDocument/2006/relationships/hyperlink" Target="mailto:office@wyaog.com" TargetMode="External"/><Relationship Id="rId126" Type="http://schemas.openxmlformats.org/officeDocument/2006/relationships/hyperlink" Target="mailto:malvarez@sedag.org" TargetMode="External"/><Relationship Id="rId147" Type="http://schemas.openxmlformats.org/officeDocument/2006/relationships/hyperlink" Target="mailto:rudylolowang@yahoo.com" TargetMode="External"/><Relationship Id="rId168" Type="http://schemas.openxmlformats.org/officeDocument/2006/relationships/hyperlink" Target="https://ethnicrelations.ag.org/Fellowships/Indonesian-Fellowship" TargetMode="External"/><Relationship Id="rId8" Type="http://schemas.openxmlformats.org/officeDocument/2006/relationships/hyperlink" Target="mailto:lana_2@suddenlinkmail.com" TargetMode="External"/><Relationship Id="rId51" Type="http://schemas.openxmlformats.org/officeDocument/2006/relationships/hyperlink" Target="mailto:dcummins@nmministry.net" TargetMode="External"/><Relationship Id="rId72" Type="http://schemas.openxmlformats.org/officeDocument/2006/relationships/hyperlink" Target="http://www.ohioministry.net/" TargetMode="External"/><Relationship Id="rId93" Type="http://schemas.openxmlformats.org/officeDocument/2006/relationships/hyperlink" Target="mailto:trickman@somoag.org" TargetMode="External"/><Relationship Id="rId98" Type="http://schemas.openxmlformats.org/officeDocument/2006/relationships/hyperlink" Target="mailto:tbailey@tnaog.org" TargetMode="External"/><Relationship Id="rId121" Type="http://schemas.openxmlformats.org/officeDocument/2006/relationships/hyperlink" Target="mailto:schd.sec@gmail.com" TargetMode="External"/><Relationship Id="rId142" Type="http://schemas.openxmlformats.org/officeDocument/2006/relationships/hyperlink" Target="mailto:andanasan@yahoo.com" TargetMode="External"/><Relationship Id="rId163" Type="http://schemas.openxmlformats.org/officeDocument/2006/relationships/hyperlink" Target="https://ethnicrelations.ag.org/Fellowships/Filipino-Fellowship" TargetMode="External"/><Relationship Id="rId184" Type="http://schemas.openxmlformats.org/officeDocument/2006/relationships/hyperlink" Target="http://www.globaluniversity.edu/" TargetMode="External"/><Relationship Id="rId189" Type="http://schemas.openxmlformats.org/officeDocument/2006/relationships/hyperlink" Target="https://www.northcentral.edu/" TargetMode="External"/><Relationship Id="rId3" Type="http://schemas.openxmlformats.org/officeDocument/2006/relationships/hyperlink" Target="https://www.facebook.com/DougClayAG" TargetMode="External"/><Relationship Id="rId25" Type="http://schemas.openxmlformats.org/officeDocument/2006/relationships/hyperlink" Target="http://www.spdag.org/" TargetMode="External"/><Relationship Id="rId46" Type="http://schemas.openxmlformats.org/officeDocument/2006/relationships/hyperlink" Target="http://www.neag.org/" TargetMode="External"/><Relationship Id="rId67" Type="http://schemas.openxmlformats.org/officeDocument/2006/relationships/hyperlink" Target="https://ag.org/church?g=79f75df7-2672-4cb4-8aa8-8d395126a7dd&amp;d=False" TargetMode="External"/><Relationship Id="rId116" Type="http://schemas.openxmlformats.org/officeDocument/2006/relationships/hyperlink" Target="http://www.nhdistrict.org/" TargetMode="External"/><Relationship Id="rId137" Type="http://schemas.openxmlformats.org/officeDocument/2006/relationships/hyperlink" Target="mailto:ekdively@gmail.com" TargetMode="External"/><Relationship Id="rId158" Type="http://schemas.openxmlformats.org/officeDocument/2006/relationships/hyperlink" Target="https://ethnicrelations.ag.org/Fellowships/Caribbean-Fellowship" TargetMode="External"/><Relationship Id="rId20" Type="http://schemas.openxmlformats.org/officeDocument/2006/relationships/hyperlink" Target="mailto:admin@cpmnag.org" TargetMode="External"/><Relationship Id="rId41" Type="http://schemas.openxmlformats.org/officeDocument/2006/relationships/hyperlink" Target="http://www.mnaog.org/" TargetMode="External"/><Relationship Id="rId62" Type="http://schemas.openxmlformats.org/officeDocument/2006/relationships/hyperlink" Target="http://www.wtaog.org/" TargetMode="External"/><Relationship Id="rId83" Type="http://schemas.openxmlformats.org/officeDocument/2006/relationships/hyperlink" Target="http://www.potomacag.org/" TargetMode="External"/><Relationship Id="rId88" Type="http://schemas.openxmlformats.org/officeDocument/2006/relationships/hyperlink" Target="http://www.ag4sc.com/" TargetMode="External"/><Relationship Id="rId111" Type="http://schemas.openxmlformats.org/officeDocument/2006/relationships/hyperlink" Target="http://www.txgulfhispanic.org/" TargetMode="External"/><Relationship Id="rId132" Type="http://schemas.openxmlformats.org/officeDocument/2006/relationships/hyperlink" Target="mailto:samasiedu@optimum.net" TargetMode="External"/><Relationship Id="rId153" Type="http://schemas.openxmlformats.org/officeDocument/2006/relationships/hyperlink" Target="http://nagfusa.org/" TargetMode="External"/><Relationship Id="rId174" Type="http://schemas.openxmlformats.org/officeDocument/2006/relationships/hyperlink" Target="https://ethnicrelations.ag.org/Fellowships/Nigerian-Fellowship" TargetMode="External"/><Relationship Id="rId179" Type="http://schemas.openxmlformats.org/officeDocument/2006/relationships/hyperlink" Target="https://www.agts.edu/" TargetMode="External"/><Relationship Id="rId195" Type="http://schemas.openxmlformats.org/officeDocument/2006/relationships/hyperlink" Target="https://www.aicag.edu/" TargetMode="External"/><Relationship Id="rId190" Type="http://schemas.openxmlformats.org/officeDocument/2006/relationships/hyperlink" Target="http://northpoint.edu/" TargetMode="External"/><Relationship Id="rId15" Type="http://schemas.openxmlformats.org/officeDocument/2006/relationships/hyperlink" Target="http://www.agkansas.com/" TargetMode="External"/><Relationship Id="rId36" Type="http://schemas.openxmlformats.org/officeDocument/2006/relationships/hyperlink" Target="http://www.kyag.org/" TargetMode="External"/><Relationship Id="rId57" Type="http://schemas.openxmlformats.org/officeDocument/2006/relationships/hyperlink" Target="mailto:wtitus@nddcag.org" TargetMode="External"/><Relationship Id="rId106" Type="http://schemas.openxmlformats.org/officeDocument/2006/relationships/hyperlink" Target="http://www.gadistag.org/" TargetMode="External"/><Relationship Id="rId127" Type="http://schemas.openxmlformats.org/officeDocument/2006/relationships/hyperlink" Target="http://www.txlahispanic.org/" TargetMode="External"/><Relationship Id="rId10" Type="http://schemas.openxmlformats.org/officeDocument/2006/relationships/hyperlink" Target="mailto:lmetcalf@azag.org" TargetMode="External"/><Relationship Id="rId31" Type="http://schemas.openxmlformats.org/officeDocument/2006/relationships/hyperlink" Target="http://www.indianaag.org/" TargetMode="External"/><Relationship Id="rId52" Type="http://schemas.openxmlformats.org/officeDocument/2006/relationships/hyperlink" Target="https://ag.org/church?g=b233f1f7-5d84-4eb6-8150-3363362a1bd9&amp;d=False" TargetMode="External"/><Relationship Id="rId73" Type="http://schemas.openxmlformats.org/officeDocument/2006/relationships/hyperlink" Target="http://www.okag.org/" TargetMode="External"/><Relationship Id="rId78" Type="http://schemas.openxmlformats.org/officeDocument/2006/relationships/hyperlink" Target="http://www.penndel.org/" TargetMode="External"/><Relationship Id="rId94" Type="http://schemas.openxmlformats.org/officeDocument/2006/relationships/hyperlink" Target="http://www.snemn.com/" TargetMode="External"/><Relationship Id="rId99" Type="http://schemas.openxmlformats.org/officeDocument/2006/relationships/hyperlink" Target="http://www.wtapag.org/" TargetMode="External"/><Relationship Id="rId101" Type="http://schemas.openxmlformats.org/officeDocument/2006/relationships/hyperlink" Target="http://www.wnmdag.org/" TargetMode="External"/><Relationship Id="rId122" Type="http://schemas.openxmlformats.org/officeDocument/2006/relationships/hyperlink" Target="mailto:edossantos@sldag.org" TargetMode="External"/><Relationship Id="rId143" Type="http://schemas.openxmlformats.org/officeDocument/2006/relationships/hyperlink" Target="mailto:revjeanrebecca@verizon.net" TargetMode="External"/><Relationship Id="rId148" Type="http://schemas.openxmlformats.org/officeDocument/2006/relationships/hyperlink" Target="mailto:dodimac@aol.com" TargetMode="External"/><Relationship Id="rId164" Type="http://schemas.openxmlformats.org/officeDocument/2006/relationships/hyperlink" Target="https://ethnicrelations.ag.org/Fellowships/Ghanaian-Fellowship" TargetMode="External"/><Relationship Id="rId169" Type="http://schemas.openxmlformats.org/officeDocument/2006/relationships/hyperlink" Target="https://ethnicrelations.ag.org/Fellowships/Japanese-Fellowship" TargetMode="External"/><Relationship Id="rId185" Type="http://schemas.openxmlformats.org/officeDocument/2006/relationships/hyperlink" Target="http://colleges.ag.org/Directory" TargetMode="External"/><Relationship Id="rId4" Type="http://schemas.openxmlformats.org/officeDocument/2006/relationships/hyperlink" Target="http://adcag.org/" TargetMode="External"/><Relationship Id="rId9" Type="http://schemas.openxmlformats.org/officeDocument/2006/relationships/hyperlink" Target="http://www.azag.org/" TargetMode="External"/><Relationship Id="rId180" Type="http://schemas.openxmlformats.org/officeDocument/2006/relationships/hyperlink" Target="http://www.ctcad.com/" TargetMode="External"/><Relationship Id="rId26" Type="http://schemas.openxmlformats.org/officeDocument/2006/relationships/hyperlink" Target="mailto:snavarrete@spdag.org" TargetMode="External"/><Relationship Id="rId47" Type="http://schemas.openxmlformats.org/officeDocument/2006/relationships/hyperlink" Target="mailto:terryleebrown@yahoo.com" TargetMode="External"/><Relationship Id="rId68" Type="http://schemas.openxmlformats.org/officeDocument/2006/relationships/hyperlink" Target="http://www.nnedaog.org/" TargetMode="External"/><Relationship Id="rId89" Type="http://schemas.openxmlformats.org/officeDocument/2006/relationships/hyperlink" Target="mailto:info@ag4sc.com" TargetMode="External"/><Relationship Id="rId112" Type="http://schemas.openxmlformats.org/officeDocument/2006/relationships/hyperlink" Target="mailto:eddiedlr2000@yahoo.com" TargetMode="External"/><Relationship Id="rId133" Type="http://schemas.openxmlformats.org/officeDocument/2006/relationships/hyperlink" Target="mailto:araboutreach1@juno.com" TargetMode="External"/><Relationship Id="rId154" Type="http://schemas.openxmlformats.org/officeDocument/2006/relationships/hyperlink" Target="http://v.cinpean@comcast.net" TargetMode="External"/><Relationship Id="rId175" Type="http://schemas.openxmlformats.org/officeDocument/2006/relationships/hyperlink" Target="https://ethnicrelations.ag.org/Fellowships/Romanian-Fellowship" TargetMode="External"/><Relationship Id="rId196" Type="http://schemas.openxmlformats.org/officeDocument/2006/relationships/hyperlink" Target="http://colleges.ag.org/Directory" TargetMode="External"/><Relationship Id="rId200" Type="http://schemas.openxmlformats.org/officeDocument/2006/relationships/hyperlink" Target="http://www.vanguard.edu/" TargetMode="External"/><Relationship Id="rId16" Type="http://schemas.openxmlformats.org/officeDocument/2006/relationships/hyperlink" Target="mailto:robin@agkansas.com" TargetMode="External"/><Relationship Id="rId37" Type="http://schemas.openxmlformats.org/officeDocument/2006/relationships/hyperlink" Target="mailto:kyagdc@gmail.com" TargetMode="External"/><Relationship Id="rId58" Type="http://schemas.openxmlformats.org/officeDocument/2006/relationships/hyperlink" Target="mailto:dthompson@northtexas.ag" TargetMode="External"/><Relationship Id="rId79" Type="http://schemas.openxmlformats.org/officeDocument/2006/relationships/hyperlink" Target="mailto:don@penndel.org" TargetMode="External"/><Relationship Id="rId102" Type="http://schemas.openxmlformats.org/officeDocument/2006/relationships/hyperlink" Target="http://www.wnmdag.org/index.php/about/leadership-team/network-staff?view=employee&amp;id=18" TargetMode="External"/><Relationship Id="rId123" Type="http://schemas.openxmlformats.org/officeDocument/2006/relationships/hyperlink" Target="http://sldag.org/" TargetMode="External"/><Relationship Id="rId144" Type="http://schemas.openxmlformats.org/officeDocument/2006/relationships/hyperlink" Target="mailto:tengvu@live.com" TargetMode="External"/><Relationship Id="rId90" Type="http://schemas.openxmlformats.org/officeDocument/2006/relationships/hyperlink" Target="http://www.sdag.org/" TargetMode="External"/><Relationship Id="rId165" Type="http://schemas.openxmlformats.org/officeDocument/2006/relationships/hyperlink" Target="https://ethnicrelations.ag.org/Fellowships/Haitian-Fellowship" TargetMode="External"/><Relationship Id="rId186" Type="http://schemas.openxmlformats.org/officeDocument/2006/relationships/hyperlink" Target="http://www.labi.edu/" TargetMode="External"/><Relationship Id="rId27" Type="http://schemas.openxmlformats.org/officeDocument/2006/relationships/hyperlink" Target="http://www.hawaiiaog.com/" TargetMode="External"/><Relationship Id="rId48" Type="http://schemas.openxmlformats.org/officeDocument/2006/relationships/hyperlink" Target="http://www.njag.org/" TargetMode="External"/><Relationship Id="rId69" Type="http://schemas.openxmlformats.org/officeDocument/2006/relationships/hyperlink" Target="mailto:nneddm@maine.rr.com" TargetMode="External"/><Relationship Id="rId113" Type="http://schemas.openxmlformats.org/officeDocument/2006/relationships/hyperlink" Target="http://www.agkdc.org/" TargetMode="External"/><Relationship Id="rId134" Type="http://schemas.openxmlformats.org/officeDocument/2006/relationships/hyperlink" Target="mailto:pastorharvey@parklawn.org" TargetMode="External"/><Relationship Id="rId80" Type="http://schemas.openxmlformats.org/officeDocument/2006/relationships/hyperlink" Target="http://www.penflorida.org/" TargetMode="External"/><Relationship Id="rId155" Type="http://schemas.openxmlformats.org/officeDocument/2006/relationships/hyperlink" Target="mailto:victorjoseph@verizon.net" TargetMode="External"/><Relationship Id="rId176" Type="http://schemas.openxmlformats.org/officeDocument/2006/relationships/hyperlink" Target="https://ethnicrelations.ag.org/Fellowships/Southern-Asia-Fellowship" TargetMode="External"/><Relationship Id="rId197" Type="http://schemas.openxmlformats.org/officeDocument/2006/relationships/hyperlink" Target="https://www.trinitybiblecollege.edu/" TargetMode="External"/><Relationship Id="rId201" Type="http://schemas.openxmlformats.org/officeDocument/2006/relationships/drawing" Target="../drawings/drawing1.xml"/><Relationship Id="rId17" Type="http://schemas.openxmlformats.org/officeDocument/2006/relationships/hyperlink" Target="mailto:tly@agkansas.com" TargetMode="External"/><Relationship Id="rId38" Type="http://schemas.openxmlformats.org/officeDocument/2006/relationships/hyperlink" Target="http://www.laaog.org/" TargetMode="External"/><Relationship Id="rId59" Type="http://schemas.openxmlformats.org/officeDocument/2006/relationships/hyperlink" Target="mailto:dthompson@northtexas.ag" TargetMode="External"/><Relationship Id="rId103" Type="http://schemas.openxmlformats.org/officeDocument/2006/relationships/hyperlink" Target="mailto:suptofc@wnmdag.org" TargetMode="External"/><Relationship Id="rId124" Type="http://schemas.openxmlformats.org/officeDocument/2006/relationships/hyperlink" Target="http://www.sedag.org/" TargetMode="External"/><Relationship Id="rId70" Type="http://schemas.openxmlformats.org/officeDocument/2006/relationships/hyperlink" Target="http://www.nwministry.com/" TargetMode="External"/><Relationship Id="rId91" Type="http://schemas.openxmlformats.org/officeDocument/2006/relationships/hyperlink" Target="http://www.simnag.org/" TargetMode="External"/><Relationship Id="rId145" Type="http://schemas.openxmlformats.org/officeDocument/2006/relationships/hyperlink" Target="http://www.agifa.org/" TargetMode="External"/><Relationship Id="rId166" Type="http://schemas.openxmlformats.org/officeDocument/2006/relationships/hyperlink" Target="https://ethnicrelations.ag.org/Fellowships/Hmong-AG-Fellowship" TargetMode="External"/><Relationship Id="rId187" Type="http://schemas.openxmlformats.org/officeDocument/2006/relationships/hyperlink" Target="http://nabc.edu/" TargetMode="External"/><Relationship Id="rId1" Type="http://schemas.openxmlformats.org/officeDocument/2006/relationships/hyperlink" Target="mailto:GeneralSuperintendent@ag.org" TargetMode="External"/><Relationship Id="rId28" Type="http://schemas.openxmlformats.org/officeDocument/2006/relationships/hyperlink" Target="mailto:hawaiiaog@gmail.com" TargetMode="External"/><Relationship Id="rId49" Type="http://schemas.openxmlformats.org/officeDocument/2006/relationships/hyperlink" Target="mailto:njdcexecsec@njag.org" TargetMode="External"/><Relationship Id="rId114" Type="http://schemas.openxmlformats.org/officeDocument/2006/relationships/hyperlink" Target="mailto:agkoreandistrict@gmail.com" TargetMode="External"/><Relationship Id="rId60" Type="http://schemas.openxmlformats.org/officeDocument/2006/relationships/hyperlink" Target="http://www.stxag.org/" TargetMode="External"/><Relationship Id="rId81" Type="http://schemas.openxmlformats.org/officeDocument/2006/relationships/hyperlink" Target="mailto:districtsecretary@penflorida.org" TargetMode="External"/><Relationship Id="rId135" Type="http://schemas.openxmlformats.org/officeDocument/2006/relationships/hyperlink" Target="mailto:" TargetMode="External"/><Relationship Id="rId156" Type="http://schemas.openxmlformats.org/officeDocument/2006/relationships/hyperlink" Target="mailto:jjmau@hotmail.com" TargetMode="External"/><Relationship Id="rId177" Type="http://schemas.openxmlformats.org/officeDocument/2006/relationships/hyperlink" Target="https://ethnicrelations.ag.org/Fellowships/Tongan-Fellowship" TargetMode="External"/><Relationship Id="rId198" Type="http://schemas.openxmlformats.org/officeDocument/2006/relationships/hyperlink" Target="https://www.valleyforge.edu/" TargetMode="External"/><Relationship Id="rId18" Type="http://schemas.openxmlformats.org/officeDocument/2006/relationships/hyperlink" Target="https://ag.org/church?g=f6111266-42ed-4d47-b348-f2b076c208bb&amp;d=False" TargetMode="External"/><Relationship Id="rId39" Type="http://schemas.openxmlformats.org/officeDocument/2006/relationships/hyperlink" Target="mailto:info@laaog.org" TargetMode="External"/><Relationship Id="rId50" Type="http://schemas.openxmlformats.org/officeDocument/2006/relationships/hyperlink" Target="http://www.nmministry.net/" TargetMode="External"/><Relationship Id="rId104" Type="http://schemas.openxmlformats.org/officeDocument/2006/relationships/hyperlink" Target="https://www.wyomingministrynetwork.com/" TargetMode="External"/><Relationship Id="rId125" Type="http://schemas.openxmlformats.org/officeDocument/2006/relationships/hyperlink" Target="mailto:smartinez@sedag.org" TargetMode="External"/><Relationship Id="rId146" Type="http://schemas.openxmlformats.org/officeDocument/2006/relationships/hyperlink" Target="mailto:georgepchacko@gmail.com" TargetMode="External"/><Relationship Id="rId167" Type="http://schemas.openxmlformats.org/officeDocument/2006/relationships/hyperlink" Target="https://ethnicrelations.ag.org/Fellowships/India-Fellowship" TargetMode="External"/><Relationship Id="rId188" Type="http://schemas.openxmlformats.org/officeDocument/2006/relationships/hyperlink" Target="http://colleges.ag.org/Directory" TargetMode="External"/><Relationship Id="rId71" Type="http://schemas.openxmlformats.org/officeDocument/2006/relationships/hyperlink" Target="mailto:dond@northwestministry.com" TargetMode="External"/><Relationship Id="rId92" Type="http://schemas.openxmlformats.org/officeDocument/2006/relationships/hyperlink" Target="http://www.somoag.or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crutcher@foursquare.org" TargetMode="External"/><Relationship Id="rId2" Type="http://schemas.openxmlformats.org/officeDocument/2006/relationships/hyperlink" Target="mailto:ccrutcher@foursquare.org" TargetMode="External"/><Relationship Id="rId1" Type="http://schemas.openxmlformats.org/officeDocument/2006/relationships/hyperlink" Target="mailto:ccrutcher@foursquare.org" TargetMode="External"/><Relationship Id="rId4" Type="http://schemas.openxmlformats.org/officeDocument/2006/relationships/hyperlink" Target="https://angierichey.com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bc.net/conventions/montana-southern-baptist-convention/" TargetMode="External"/><Relationship Id="rId21" Type="http://schemas.openxmlformats.org/officeDocument/2006/relationships/hyperlink" Target="https://www.sbc.net/conventions/baptist-convention-of-maryland-delaware/" TargetMode="External"/><Relationship Id="rId42" Type="http://schemas.openxmlformats.org/officeDocument/2006/relationships/hyperlink" Target="https://www.sbc.net/conventions/baptist-general-association-of-virginia/" TargetMode="External"/><Relationship Id="rId47" Type="http://schemas.openxmlformats.org/officeDocument/2006/relationships/hyperlink" Target="http://www.alsbom.org/" TargetMode="External"/><Relationship Id="rId63" Type="http://schemas.openxmlformats.org/officeDocument/2006/relationships/hyperlink" Target="https://www.brnunited.org/team/barry-whitworth/" TargetMode="External"/><Relationship Id="rId68" Type="http://schemas.openxmlformats.org/officeDocument/2006/relationships/hyperlink" Target="mailto:david.hardage@txb.org" TargetMode="External"/><Relationship Id="rId7" Type="http://schemas.openxmlformats.org/officeDocument/2006/relationships/hyperlink" Target="https://www.sbc.net/conventions/arkansas-baptist-state-convention/" TargetMode="External"/><Relationship Id="rId71" Type="http://schemas.openxmlformats.org/officeDocument/2006/relationships/hyperlink" Target="mailto:bautry@sbcv.org" TargetMode="External"/><Relationship Id="rId2" Type="http://schemas.openxmlformats.org/officeDocument/2006/relationships/hyperlink" Target="tel:8043530151" TargetMode="External"/><Relationship Id="rId16" Type="http://schemas.openxmlformats.org/officeDocument/2006/relationships/hyperlink" Target="https://www.sbc.net/conventions/illinois-baptist-state-association/" TargetMode="External"/><Relationship Id="rId29" Type="http://schemas.openxmlformats.org/officeDocument/2006/relationships/hyperlink" Target="https://www.sbc.net/conventions/baptist-convention-of-new-mexico/" TargetMode="External"/><Relationship Id="rId11" Type="http://schemas.openxmlformats.org/officeDocument/2006/relationships/hyperlink" Target="https://www.sbc.net/conventions/dakota-baptist-convention/" TargetMode="External"/><Relationship Id="rId24" Type="http://schemas.openxmlformats.org/officeDocument/2006/relationships/hyperlink" Target="https://www.sbc.net/conventions/missouri-baptist-convention/" TargetMode="External"/><Relationship Id="rId32" Type="http://schemas.openxmlformats.org/officeDocument/2006/relationships/hyperlink" Target="https://www.sbc.net/conventions/baptist-convention-of-new-york/" TargetMode="External"/><Relationship Id="rId37" Type="http://schemas.openxmlformats.org/officeDocument/2006/relationships/hyperlink" Target="https://www.sbc.net/conventions/south-carolina-baptist-convention/" TargetMode="External"/><Relationship Id="rId40" Type="http://schemas.openxmlformats.org/officeDocument/2006/relationships/hyperlink" Target="https://www.sbc.net/conventions/southern-baptists-of-texas-convention/" TargetMode="External"/><Relationship Id="rId45" Type="http://schemas.openxmlformats.org/officeDocument/2006/relationships/hyperlink" Target="https://www.sbc.net/conventions/wyoming-southern-baptist-misson-network/" TargetMode="External"/><Relationship Id="rId53" Type="http://schemas.openxmlformats.org/officeDocument/2006/relationships/hyperlink" Target="mailto:dmanner@kncsb.org" TargetMode="External"/><Relationship Id="rId58" Type="http://schemas.openxmlformats.org/officeDocument/2006/relationships/hyperlink" Target="mailto:tim@bscm.org" TargetMode="External"/><Relationship Id="rId66" Type="http://schemas.openxmlformats.org/officeDocument/2006/relationships/hyperlink" Target="http://www.texasbaptists.org/" TargetMode="External"/><Relationship Id="rId5" Type="http://schemas.openxmlformats.org/officeDocument/2006/relationships/hyperlink" Target="https://www.sbc.net/conventions/alaska-baptist-convention/" TargetMode="External"/><Relationship Id="rId61" Type="http://schemas.openxmlformats.org/officeDocument/2006/relationships/hyperlink" Target="mailto:bduke@mtsbc.org" TargetMode="External"/><Relationship Id="rId19" Type="http://schemas.openxmlformats.org/officeDocument/2006/relationships/hyperlink" Target="https://www.sbc.net/conventions/kentucky-baptist-convention/" TargetMode="External"/><Relationship Id="rId14" Type="http://schemas.openxmlformats.org/officeDocument/2006/relationships/hyperlink" Target="https://www.sbc.net/conventions/hawaii-pacific-baptist-convention/" TargetMode="External"/><Relationship Id="rId22" Type="http://schemas.openxmlformats.org/officeDocument/2006/relationships/hyperlink" Target="https://www.sbc.net/conventions/baptist-state-convention-of-michigan/" TargetMode="External"/><Relationship Id="rId27" Type="http://schemas.openxmlformats.org/officeDocument/2006/relationships/hyperlink" Target="https://www.sbc.net/conventions/baptist-state-convention-of-north-carolina/" TargetMode="External"/><Relationship Id="rId30" Type="http://schemas.openxmlformats.org/officeDocument/2006/relationships/hyperlink" Target="https://www.sbc.net/conventions/northwest-baptist-convention/" TargetMode="External"/><Relationship Id="rId35" Type="http://schemas.openxmlformats.org/officeDocument/2006/relationships/hyperlink" Target="https://www.sbc.net/conventions/baptist-resource-network-of-pennsylvania-south-jersey/" TargetMode="External"/><Relationship Id="rId43" Type="http://schemas.openxmlformats.org/officeDocument/2006/relationships/hyperlink" Target="https://www.sbc.net/conventions/southern-baptist-conservatives-of-virginia/" TargetMode="External"/><Relationship Id="rId48" Type="http://schemas.openxmlformats.org/officeDocument/2006/relationships/hyperlink" Target="http://www.absc.org/" TargetMode="External"/><Relationship Id="rId56" Type="http://schemas.openxmlformats.org/officeDocument/2006/relationships/hyperlink" Target="https://bcmd.org/about-us/your-team/michael-crawford/" TargetMode="External"/><Relationship Id="rId64" Type="http://schemas.openxmlformats.org/officeDocument/2006/relationships/hyperlink" Target="http://cibspuertorico.org/" TargetMode="External"/><Relationship Id="rId69" Type="http://schemas.openxmlformats.org/officeDocument/2006/relationships/hyperlink" Target="mailto:rlee@uisbc.org" TargetMode="External"/><Relationship Id="rId8" Type="http://schemas.openxmlformats.org/officeDocument/2006/relationships/hyperlink" Target="https://www.sbc.net/conventions/arizona-southern-baptist-convention/" TargetMode="External"/><Relationship Id="rId51" Type="http://schemas.openxmlformats.org/officeDocument/2006/relationships/hyperlink" Target="mailto:chris@hpbaptist.net" TargetMode="External"/><Relationship Id="rId3" Type="http://schemas.openxmlformats.org/officeDocument/2006/relationships/hyperlink" Target="https://goo.gl/maps/EEdmf8pGPaRu78m37" TargetMode="External"/><Relationship Id="rId12" Type="http://schemas.openxmlformats.org/officeDocument/2006/relationships/hyperlink" Target="https://www.sbc.net/conventions/florida-baptist-convention/" TargetMode="External"/><Relationship Id="rId17" Type="http://schemas.openxmlformats.org/officeDocument/2006/relationships/hyperlink" Target="https://www.sbc.net/conventions/state-convention-of-baptists-in-indiana/" TargetMode="External"/><Relationship Id="rId25" Type="http://schemas.openxmlformats.org/officeDocument/2006/relationships/hyperlink" Target="https://www.sbc.net/conventions/mississippi-baptist-convention-board/" TargetMode="External"/><Relationship Id="rId33" Type="http://schemas.openxmlformats.org/officeDocument/2006/relationships/hyperlink" Target="https://www.sbc.net/conventions/state-convention-of-baptists-in-ohio/" TargetMode="External"/><Relationship Id="rId38" Type="http://schemas.openxmlformats.org/officeDocument/2006/relationships/hyperlink" Target="https://www.sbc.net/conventions/tennessee-baptist-mission-board/" TargetMode="External"/><Relationship Id="rId46" Type="http://schemas.openxmlformats.org/officeDocument/2006/relationships/hyperlink" Target="tel:+19073449627" TargetMode="External"/><Relationship Id="rId59" Type="http://schemas.openxmlformats.org/officeDocument/2006/relationships/hyperlink" Target="http://www.mobaptist.org/" TargetMode="External"/><Relationship Id="rId67" Type="http://schemas.openxmlformats.org/officeDocument/2006/relationships/hyperlink" Target="tel:(214)%20828-5301" TargetMode="External"/><Relationship Id="rId20" Type="http://schemas.openxmlformats.org/officeDocument/2006/relationships/hyperlink" Target="https://www.sbc.net/conventions/louisiana-baptist-convention/" TargetMode="External"/><Relationship Id="rId41" Type="http://schemas.openxmlformats.org/officeDocument/2006/relationships/hyperlink" Target="https://www.sbc.net/conventions/utah-idaho-southern-baptist-convention/" TargetMode="External"/><Relationship Id="rId54" Type="http://schemas.openxmlformats.org/officeDocument/2006/relationships/hyperlink" Target="https://www.kybaptist.org/staff/todd-gray/" TargetMode="External"/><Relationship Id="rId62" Type="http://schemas.openxmlformats.org/officeDocument/2006/relationships/hyperlink" Target="mailto:jwestbrook@scbo.org" TargetMode="External"/><Relationship Id="rId70" Type="http://schemas.openxmlformats.org/officeDocument/2006/relationships/hyperlink" Target="http://www.sbcv.org/" TargetMode="External"/><Relationship Id="rId1" Type="http://schemas.openxmlformats.org/officeDocument/2006/relationships/hyperlink" Target="https://goo.gl/maps/dMQ2TE7Ugk92" TargetMode="External"/><Relationship Id="rId6" Type="http://schemas.openxmlformats.org/officeDocument/2006/relationships/hyperlink" Target="https://www.sbc.net/conventions/alabama-baptist-state-board-of-missions/" TargetMode="External"/><Relationship Id="rId15" Type="http://schemas.openxmlformats.org/officeDocument/2006/relationships/hyperlink" Target="https://www.sbc.net/conventions/baptist-convention-of-iowa/" TargetMode="External"/><Relationship Id="rId23" Type="http://schemas.openxmlformats.org/officeDocument/2006/relationships/hyperlink" Target="https://www.sbc.net/conventions/minnesota-wisconsin-baptist-convention/" TargetMode="External"/><Relationship Id="rId28" Type="http://schemas.openxmlformats.org/officeDocument/2006/relationships/hyperlink" Target="https://www.sbc.net/conventions/baptist-churches-of-new-england/" TargetMode="External"/><Relationship Id="rId36" Type="http://schemas.openxmlformats.org/officeDocument/2006/relationships/hyperlink" Target="https://www.sbc.net/conventions/conv-of-southern-baptist-churches-in-puerto-rico/" TargetMode="External"/><Relationship Id="rId49" Type="http://schemas.openxmlformats.org/officeDocument/2006/relationships/hyperlink" Target="mailto:stucker@absc.org" TargetMode="External"/><Relationship Id="rId57" Type="http://schemas.openxmlformats.org/officeDocument/2006/relationships/hyperlink" Target="mailto:mcrawford@bcmd.org" TargetMode="External"/><Relationship Id="rId10" Type="http://schemas.openxmlformats.org/officeDocument/2006/relationships/hyperlink" Target="https://www.sbc.net/conventions/colorado-baptist-general-convention/" TargetMode="External"/><Relationship Id="rId31" Type="http://schemas.openxmlformats.org/officeDocument/2006/relationships/hyperlink" Target="https://www.sbc.net/conventions/nevada-baptist-convention/" TargetMode="External"/><Relationship Id="rId44" Type="http://schemas.openxmlformats.org/officeDocument/2006/relationships/hyperlink" Target="https://www.sbc.net/conventions/west-virginia-convention-of-southern-baptists/" TargetMode="External"/><Relationship Id="rId52" Type="http://schemas.openxmlformats.org/officeDocument/2006/relationships/hyperlink" Target="http://www.bciowa.org/" TargetMode="External"/><Relationship Id="rId60" Type="http://schemas.openxmlformats.org/officeDocument/2006/relationships/hyperlink" Target="mailto:jyeats@mobaptist.org" TargetMode="External"/><Relationship Id="rId65" Type="http://schemas.openxmlformats.org/officeDocument/2006/relationships/hyperlink" Target="http://www.tnbaptist.org/" TargetMode="External"/><Relationship Id="rId4" Type="http://schemas.openxmlformats.org/officeDocument/2006/relationships/hyperlink" Target="tel:800-634-2462" TargetMode="External"/><Relationship Id="rId9" Type="http://schemas.openxmlformats.org/officeDocument/2006/relationships/hyperlink" Target="https://www.sbc.net/conventions/california-southern-baptist-convention/" TargetMode="External"/><Relationship Id="rId13" Type="http://schemas.openxmlformats.org/officeDocument/2006/relationships/hyperlink" Target="https://www.sbc.net/conventions/georgia-baptist-mission-board/" TargetMode="External"/><Relationship Id="rId18" Type="http://schemas.openxmlformats.org/officeDocument/2006/relationships/hyperlink" Target="https://www.sbc.net/conventions/kansas-nebraska-convention-of-southern-baptists/" TargetMode="External"/><Relationship Id="rId39" Type="http://schemas.openxmlformats.org/officeDocument/2006/relationships/hyperlink" Target="https://www.sbc.net/conventions/baptist-general-convention-of-texas/" TargetMode="External"/><Relationship Id="rId34" Type="http://schemas.openxmlformats.org/officeDocument/2006/relationships/hyperlink" Target="https://www.sbc.net/conventions/baptist-general-convention-of-oklahoma/" TargetMode="External"/><Relationship Id="rId50" Type="http://schemas.openxmlformats.org/officeDocument/2006/relationships/hyperlink" Target="http://www.azsbc.org/" TargetMode="External"/><Relationship Id="rId55" Type="http://schemas.openxmlformats.org/officeDocument/2006/relationships/hyperlink" Target="http://www.bcmd.org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bluewatermod@ecopresbytery.org" TargetMode="External"/><Relationship Id="rId13" Type="http://schemas.openxmlformats.org/officeDocument/2006/relationships/hyperlink" Target="mailto:harvestmod@ecopresbytery.org" TargetMode="External"/><Relationship Id="rId18" Type="http://schemas.openxmlformats.org/officeDocument/2006/relationships/hyperlink" Target="mailto:northcarolinamod@ecopresbytery.org" TargetMode="External"/><Relationship Id="rId26" Type="http://schemas.openxmlformats.org/officeDocument/2006/relationships/hyperlink" Target="mailto:texasmod@ecopresbytery.org" TargetMode="External"/><Relationship Id="rId3" Type="http://schemas.openxmlformats.org/officeDocument/2006/relationships/hyperlink" Target="mailto:kim@eco-pres.org" TargetMode="External"/><Relationship Id="rId21" Type="http://schemas.openxmlformats.org/officeDocument/2006/relationships/hyperlink" Target="mailto:northwestmod@ecopresbytery.org" TargetMode="External"/><Relationship Id="rId7" Type="http://schemas.openxmlformats.org/officeDocument/2006/relationships/hyperlink" Target="mailto:alaskamod@ecopresbytery.org" TargetMode="External"/><Relationship Id="rId12" Type="http://schemas.openxmlformats.org/officeDocument/2006/relationships/hyperlink" Target="mailto:greatlakesmod@ecopresbytery.org" TargetMode="External"/><Relationship Id="rId17" Type="http://schemas.openxmlformats.org/officeDocument/2006/relationships/hyperlink" Target="mailto:missionmod@ecopresbytery.org" TargetMode="External"/><Relationship Id="rId25" Type="http://schemas.openxmlformats.org/officeDocument/2006/relationships/hyperlink" Target="mailto:southerncaliforniamod@ecopresbytery.org" TargetMode="External"/><Relationship Id="rId2" Type="http://schemas.openxmlformats.org/officeDocument/2006/relationships/hyperlink" Target="mailto:robyn@eco-pres.org" TargetMode="External"/><Relationship Id="rId16" Type="http://schemas.openxmlformats.org/officeDocument/2006/relationships/hyperlink" Target="mailto:midamericamod@ecopresbytery.org" TargetMode="External"/><Relationship Id="rId20" Type="http://schemas.openxmlformats.org/officeDocument/2006/relationships/hyperlink" Target="mailto:northerncaliforniamod@ecopresbytery.org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mailto:dana@eco-pres.org" TargetMode="External"/><Relationship Id="rId6" Type="http://schemas.openxmlformats.org/officeDocument/2006/relationships/hyperlink" Target="mailto:mark@flourishinstitute.online" TargetMode="External"/><Relationship Id="rId11" Type="http://schemas.openxmlformats.org/officeDocument/2006/relationships/hyperlink" Target="mailto:floridamod@ecopresbytery.org" TargetMode="External"/><Relationship Id="rId24" Type="http://schemas.openxmlformats.org/officeDocument/2006/relationships/hyperlink" Target="mailto:southcarolinamod@ecopresbytery.org" TargetMode="External"/><Relationship Id="rId5" Type="http://schemas.openxmlformats.org/officeDocument/2006/relationships/hyperlink" Target="mailto:lisa@eco-pres.org" TargetMode="External"/><Relationship Id="rId15" Type="http://schemas.openxmlformats.org/officeDocument/2006/relationships/hyperlink" Target="mailto:hopemod@ecopresbytery.org" TargetMode="External"/><Relationship Id="rId23" Type="http://schemas.openxmlformats.org/officeDocument/2006/relationships/hyperlink" Target="mailto:southmod@ecopresbytery.org" TargetMode="External"/><Relationship Id="rId28" Type="http://schemas.openxmlformats.org/officeDocument/2006/relationships/hyperlink" Target="mailto:westmod@ecopresbytery.org" TargetMode="External"/><Relationship Id="rId10" Type="http://schemas.openxmlformats.org/officeDocument/2006/relationships/hyperlink" Target="mailto:eastcentralmod@ecopresbytery.org" TargetMode="External"/><Relationship Id="rId19" Type="http://schemas.openxmlformats.org/officeDocument/2006/relationships/hyperlink" Target="mailto:northeastcoastmod@ecopresbytery.org" TargetMode="External"/><Relationship Id="rId4" Type="http://schemas.openxmlformats.org/officeDocument/2006/relationships/hyperlink" Target="mailto:jen@eco-pres.org" TargetMode="External"/><Relationship Id="rId9" Type="http://schemas.openxmlformats.org/officeDocument/2006/relationships/hyperlink" Target="mailto:cornerstonemod@ecopresbytery.org" TargetMode="External"/><Relationship Id="rId14" Type="http://schemas.openxmlformats.org/officeDocument/2006/relationships/hyperlink" Target="mailto:heritagemod@ecopresbytery.org" TargetMode="External"/><Relationship Id="rId22" Type="http://schemas.openxmlformats.org/officeDocument/2006/relationships/hyperlink" Target="mailto:riversoflifemod@ecopresbytery.org" TargetMode="External"/><Relationship Id="rId27" Type="http://schemas.openxmlformats.org/officeDocument/2006/relationships/hyperlink" Target="mailto:uppermidwestmod@ecopresbytery.org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tel:19017510095" TargetMode="External"/><Relationship Id="rId3" Type="http://schemas.openxmlformats.org/officeDocument/2006/relationships/hyperlink" Target="https://goo.gl/maps/Zhb8EUuAM222" TargetMode="External"/><Relationship Id="rId7" Type="http://schemas.openxmlformats.org/officeDocument/2006/relationships/hyperlink" Target="tel:1-952-255-8800" TargetMode="External"/><Relationship Id="rId2" Type="http://schemas.openxmlformats.org/officeDocument/2006/relationships/hyperlink" Target="tel:818-287-8055" TargetMode="External"/><Relationship Id="rId1" Type="http://schemas.openxmlformats.org/officeDocument/2006/relationships/hyperlink" Target="https://www.google.com/maps/place/634%20S.%20Normandie%20Ave%20Los%20Angeles,%20CA/@34.0621182,-118.3000744,17z" TargetMode="External"/><Relationship Id="rId6" Type="http://schemas.openxmlformats.org/officeDocument/2006/relationships/hyperlink" Target="https://goo.gl/maps/2xQ8V5nAWAQjY1rM9" TargetMode="External"/><Relationship Id="rId5" Type="http://schemas.openxmlformats.org/officeDocument/2006/relationships/hyperlink" Target="https://goo.gl/maps/2xQ8V5nAWAQjY1rM9" TargetMode="External"/><Relationship Id="rId10" Type="http://schemas.openxmlformats.org/officeDocument/2006/relationships/hyperlink" Target="https://www.google.com/maps/dir/UNION+CHURCH+BWI/data=!4m6!4m5!1m1!4e2!1m2!1m1!1s0x89b7e451b9dfd235:0x7219ed54d38b397c?sa=X&amp;ved=2ahUKEwj1ipjXyKTzAhWjmuAKHSzTClYQ9Rd6BAhmEAU" TargetMode="External"/><Relationship Id="rId4" Type="http://schemas.openxmlformats.org/officeDocument/2006/relationships/hyperlink" Target="https://goo.gl/maps/Zhb8EUuAM222" TargetMode="External"/><Relationship Id="rId9" Type="http://schemas.openxmlformats.org/officeDocument/2006/relationships/hyperlink" Target="https://www.google.com/maps/dir/UNION+CHURCH+BWI/data=!4m6!4m5!1m1!4e2!1m2!1m1!1s0x89b7e451b9dfd235:0x7219ed54d38b397c?sa=X&amp;ved=2ahUKEwj1ipjXyKTzAhWjmuAKHSzTClYQ9Rd6BAhmEAU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rthwestconference.org/" TargetMode="External"/><Relationship Id="rId13" Type="http://schemas.openxmlformats.org/officeDocument/2006/relationships/hyperlink" Target="mailto:garth@greatlakes.cc" TargetMode="External"/><Relationship Id="rId3" Type="http://schemas.openxmlformats.org/officeDocument/2006/relationships/hyperlink" Target="https://centralconf.org/" TargetMode="External"/><Relationship Id="rId7" Type="http://schemas.openxmlformats.org/officeDocument/2006/relationships/hyperlink" Target="http://midwestcovenant.org/" TargetMode="External"/><Relationship Id="rId12" Type="http://schemas.openxmlformats.org/officeDocument/2006/relationships/hyperlink" Target="tel:403.324.9552" TargetMode="External"/><Relationship Id="rId2" Type="http://schemas.openxmlformats.org/officeDocument/2006/relationships/hyperlink" Target="https://www.covchurch.ca/" TargetMode="External"/><Relationship Id="rId1" Type="http://schemas.openxmlformats.org/officeDocument/2006/relationships/hyperlink" Target="https://www.alaskacovenant.org/" TargetMode="External"/><Relationship Id="rId6" Type="http://schemas.openxmlformats.org/officeDocument/2006/relationships/hyperlink" Target="http://www.midsouthcov.org/" TargetMode="External"/><Relationship Id="rId11" Type="http://schemas.openxmlformats.org/officeDocument/2006/relationships/hyperlink" Target="http://southeastconf.org/" TargetMode="External"/><Relationship Id="rId5" Type="http://schemas.openxmlformats.org/officeDocument/2006/relationships/hyperlink" Target="https://greatlakes.cc/" TargetMode="External"/><Relationship Id="rId15" Type="http://schemas.openxmlformats.org/officeDocument/2006/relationships/hyperlink" Target="mailto:Bryan.Murphy@pswc.org" TargetMode="External"/><Relationship Id="rId10" Type="http://schemas.openxmlformats.org/officeDocument/2006/relationships/hyperlink" Target="https://pswc.org/" TargetMode="External"/><Relationship Id="rId4" Type="http://schemas.openxmlformats.org/officeDocument/2006/relationships/hyperlink" Target="https://eastcoastconf.org/" TargetMode="External"/><Relationship Id="rId9" Type="http://schemas.openxmlformats.org/officeDocument/2006/relationships/hyperlink" Target="http://pacnwc.org/" TargetMode="External"/><Relationship Id="rId14" Type="http://schemas.openxmlformats.org/officeDocument/2006/relationships/hyperlink" Target="mailto:greg@pacnwc.org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pdefca.com/" TargetMode="External"/><Relationship Id="rId18" Type="http://schemas.openxmlformats.org/officeDocument/2006/relationships/hyperlink" Target="tel:724-664-9193" TargetMode="External"/><Relationship Id="rId26" Type="http://schemas.openxmlformats.org/officeDocument/2006/relationships/hyperlink" Target="mailto:brent@efcatxok.org" TargetMode="External"/><Relationship Id="rId39" Type="http://schemas.openxmlformats.org/officeDocument/2006/relationships/hyperlink" Target="http://www.rockymountaindistrict.org/our-team.html" TargetMode="External"/><Relationship Id="rId21" Type="http://schemas.openxmlformats.org/officeDocument/2006/relationships/hyperlink" Target="https://commitmentchurch.org/cedrickbrown/" TargetMode="External"/><Relationship Id="rId34" Type="http://schemas.openxmlformats.org/officeDocument/2006/relationships/hyperlink" Target="mailto:npdefca.ds@gmail.com" TargetMode="External"/><Relationship Id="rId42" Type="http://schemas.openxmlformats.org/officeDocument/2006/relationships/hyperlink" Target="tel:+16103959034" TargetMode="External"/><Relationship Id="rId47" Type="http://schemas.openxmlformats.org/officeDocument/2006/relationships/hyperlink" Target="tel:+17018407261" TargetMode="External"/><Relationship Id="rId7" Type="http://schemas.openxmlformats.org/officeDocument/2006/relationships/hyperlink" Target="https://www.forestlakes-efca.org/" TargetMode="External"/><Relationship Id="rId2" Type="http://schemas.openxmlformats.org/officeDocument/2006/relationships/hyperlink" Target="https://www.efcacentral.org/" TargetMode="External"/><Relationship Id="rId16" Type="http://schemas.openxmlformats.org/officeDocument/2006/relationships/hyperlink" Target="http://www.westerndistrict.org/" TargetMode="External"/><Relationship Id="rId29" Type="http://schemas.openxmlformats.org/officeDocument/2006/relationships/hyperlink" Target="mailto:gld@gld-efca.org" TargetMode="External"/><Relationship Id="rId11" Type="http://schemas.openxmlformats.org/officeDocument/2006/relationships/hyperlink" Target="http://efcneda.org/" TargetMode="External"/><Relationship Id="rId24" Type="http://schemas.openxmlformats.org/officeDocument/2006/relationships/hyperlink" Target="mailto:glen.schrieber@efca.org" TargetMode="External"/><Relationship Id="rId32" Type="http://schemas.openxmlformats.org/officeDocument/2006/relationships/hyperlink" Target="tel:509-255-7646" TargetMode="External"/><Relationship Id="rId37" Type="http://schemas.openxmlformats.org/officeDocument/2006/relationships/hyperlink" Target="http://www.rockymountaindistrict.org/our-team.html" TargetMode="External"/><Relationship Id="rId40" Type="http://schemas.openxmlformats.org/officeDocument/2006/relationships/hyperlink" Target="mailto:matthewstanleymoore@gmail.com" TargetMode="External"/><Relationship Id="rId45" Type="http://schemas.openxmlformats.org/officeDocument/2006/relationships/hyperlink" Target="tel:+16038424482" TargetMode="External"/><Relationship Id="rId5" Type="http://schemas.openxmlformats.org/officeDocument/2006/relationships/hyperlink" Target="http://www.efcatxok.org/" TargetMode="External"/><Relationship Id="rId15" Type="http://schemas.openxmlformats.org/officeDocument/2006/relationships/hyperlink" Target="http://www.rockymountaindistrict.org/" TargetMode="External"/><Relationship Id="rId23" Type="http://schemas.openxmlformats.org/officeDocument/2006/relationships/hyperlink" Target="https://efcaeast.com/" TargetMode="External"/><Relationship Id="rId28" Type="http://schemas.openxmlformats.org/officeDocument/2006/relationships/hyperlink" Target="mailto:jpayne@forestlakes-efca.org" TargetMode="External"/><Relationship Id="rId36" Type="http://schemas.openxmlformats.org/officeDocument/2006/relationships/hyperlink" Target="tel:541-653-7114" TargetMode="External"/><Relationship Id="rId49" Type="http://schemas.openxmlformats.org/officeDocument/2006/relationships/hyperlink" Target="https://fullertonfree.com/" TargetMode="External"/><Relationship Id="rId10" Type="http://schemas.openxmlformats.org/officeDocument/2006/relationships/hyperlink" Target="https://efcamidwest.org/" TargetMode="External"/><Relationship Id="rId19" Type="http://schemas.openxmlformats.org/officeDocument/2006/relationships/hyperlink" Target="mailto:mshields@efcacentral.org" TargetMode="External"/><Relationship Id="rId31" Type="http://schemas.openxmlformats.org/officeDocument/2006/relationships/hyperlink" Target="https://contacts.efca.org/contacts/matt-dirks" TargetMode="External"/><Relationship Id="rId44" Type="http://schemas.openxmlformats.org/officeDocument/2006/relationships/hyperlink" Target="tel:+13084550878" TargetMode="External"/><Relationship Id="rId4" Type="http://schemas.openxmlformats.org/officeDocument/2006/relationships/hyperlink" Target="https://efca-southeast.districts.efca.org/" TargetMode="External"/><Relationship Id="rId9" Type="http://schemas.openxmlformats.org/officeDocument/2006/relationships/hyperlink" Target="https://inland-mountain-region.districts.efca.org/" TargetMode="External"/><Relationship Id="rId14" Type="http://schemas.openxmlformats.org/officeDocument/2006/relationships/hyperlink" Target="http://www.efcapnw.org/" TargetMode="External"/><Relationship Id="rId22" Type="http://schemas.openxmlformats.org/officeDocument/2006/relationships/hyperlink" Target="https://www.integrity.church/leaders/tony-balsamo" TargetMode="External"/><Relationship Id="rId27" Type="http://schemas.openxmlformats.org/officeDocument/2006/relationships/hyperlink" Target="mailto:tim.jacobs@efca.org" TargetMode="External"/><Relationship Id="rId30" Type="http://schemas.openxmlformats.org/officeDocument/2006/relationships/hyperlink" Target="mailto:matt@harborhawaii.org" TargetMode="External"/><Relationship Id="rId35" Type="http://schemas.openxmlformats.org/officeDocument/2006/relationships/hyperlink" Target="mailto:rivoaks@gmail.com" TargetMode="External"/><Relationship Id="rId43" Type="http://schemas.openxmlformats.org/officeDocument/2006/relationships/hyperlink" Target="tel:+19528531755" TargetMode="External"/><Relationship Id="rId48" Type="http://schemas.openxmlformats.org/officeDocument/2006/relationships/hyperlink" Target="tel:+16103959034" TargetMode="External"/><Relationship Id="rId8" Type="http://schemas.openxmlformats.org/officeDocument/2006/relationships/hyperlink" Target="https://www.gld-efca.org/" TargetMode="External"/><Relationship Id="rId3" Type="http://schemas.openxmlformats.org/officeDocument/2006/relationships/hyperlink" Target="https://efcaeast.com/" TargetMode="External"/><Relationship Id="rId12" Type="http://schemas.openxmlformats.org/officeDocument/2006/relationships/hyperlink" Target="http://www.ncdefca.org/" TargetMode="External"/><Relationship Id="rId17" Type="http://schemas.openxmlformats.org/officeDocument/2006/relationships/hyperlink" Target="mailto:kerry.doyal@efca.org" TargetMode="External"/><Relationship Id="rId25" Type="http://schemas.openxmlformats.org/officeDocument/2006/relationships/hyperlink" Target="tel:904-465-2388" TargetMode="External"/><Relationship Id="rId33" Type="http://schemas.openxmlformats.org/officeDocument/2006/relationships/hyperlink" Target="mailto:mwd@efcamidwest.org" TargetMode="External"/><Relationship Id="rId38" Type="http://schemas.openxmlformats.org/officeDocument/2006/relationships/hyperlink" Target="http://www.rockymountaindistrict.org/our-team.html" TargetMode="External"/><Relationship Id="rId46" Type="http://schemas.openxmlformats.org/officeDocument/2006/relationships/hyperlink" Target="tel:+16123381716" TargetMode="External"/><Relationship Id="rId20" Type="http://schemas.openxmlformats.org/officeDocument/2006/relationships/hyperlink" Target="tel:515.232.9005" TargetMode="External"/><Relationship Id="rId41" Type="http://schemas.openxmlformats.org/officeDocument/2006/relationships/hyperlink" Target="tel:916-917-7133" TargetMode="External"/><Relationship Id="rId1" Type="http://schemas.openxmlformats.org/officeDocument/2006/relationships/hyperlink" Target="https://allegheny.districts.efca.org/" TargetMode="External"/><Relationship Id="rId6" Type="http://schemas.openxmlformats.org/officeDocument/2006/relationships/hyperlink" Target="https://efcawest.efcadistrict.org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tel:937-898-2864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mailto:samvassel@mnynaz.com" TargetMode="External"/><Relationship Id="rId21" Type="http://schemas.openxmlformats.org/officeDocument/2006/relationships/hyperlink" Target="mailto:menahumberto100@yahoo.com" TargetMode="External"/><Relationship Id="rId42" Type="http://schemas.openxmlformats.org/officeDocument/2006/relationships/hyperlink" Target="http://www.kcdistrict.org/" TargetMode="External"/><Relationship Id="rId63" Type="http://schemas.openxmlformats.org/officeDocument/2006/relationships/hyperlink" Target="mailto:wisconsindistrictoffice@gmail.com" TargetMode="External"/><Relationship Id="rId84" Type="http://schemas.openxmlformats.org/officeDocument/2006/relationships/hyperlink" Target="mailto:office@centralgulfcoast.org" TargetMode="External"/><Relationship Id="rId16" Type="http://schemas.openxmlformats.org/officeDocument/2006/relationships/hyperlink" Target="http://www.conazarene.org/" TargetMode="External"/><Relationship Id="rId107" Type="http://schemas.openxmlformats.org/officeDocument/2006/relationships/hyperlink" Target="mailto:wvsnaz@gmail.com" TargetMode="External"/><Relationship Id="rId11" Type="http://schemas.openxmlformats.org/officeDocument/2006/relationships/hyperlink" Target="http://www.nwdistrict.org/" TargetMode="External"/><Relationship Id="rId32" Type="http://schemas.openxmlformats.org/officeDocument/2006/relationships/hyperlink" Target="http://www.arizonadistrict.org/" TargetMode="External"/><Relationship Id="rId37" Type="http://schemas.openxmlformats.org/officeDocument/2006/relationships/hyperlink" Target="http://www.iowanazarene.org/" TargetMode="External"/><Relationship Id="rId53" Type="http://schemas.openxmlformats.org/officeDocument/2006/relationships/hyperlink" Target="mailto:narkdistrict@gmail.com" TargetMode="External"/><Relationship Id="rId58" Type="http://schemas.openxmlformats.org/officeDocument/2006/relationships/hyperlink" Target="https://www.netxnaz.net/" TargetMode="External"/><Relationship Id="rId74" Type="http://schemas.openxmlformats.org/officeDocument/2006/relationships/hyperlink" Target="mailto:office@nwindistrict.org" TargetMode="External"/><Relationship Id="rId79" Type="http://schemas.openxmlformats.org/officeDocument/2006/relationships/hyperlink" Target="mailto:secretary@kynazoffice.net" TargetMode="External"/><Relationship Id="rId102" Type="http://schemas.openxmlformats.org/officeDocument/2006/relationships/hyperlink" Target="mailto:office@sconaz.org" TargetMode="External"/><Relationship Id="rId123" Type="http://schemas.openxmlformats.org/officeDocument/2006/relationships/hyperlink" Target="https://www.mainenazarene.org/" TargetMode="External"/><Relationship Id="rId128" Type="http://schemas.openxmlformats.org/officeDocument/2006/relationships/hyperlink" Target="mailto:mikek@emdnaz.org" TargetMode="External"/><Relationship Id="rId5" Type="http://schemas.openxmlformats.org/officeDocument/2006/relationships/hyperlink" Target="http://www.churchofthenazarenequebec.ca/" TargetMode="External"/><Relationship Id="rId90" Type="http://schemas.openxmlformats.org/officeDocument/2006/relationships/hyperlink" Target="mailto:district.office@ganaz.org" TargetMode="External"/><Relationship Id="rId95" Type="http://schemas.openxmlformats.org/officeDocument/2006/relationships/hyperlink" Target="http://sfnazarene.org/" TargetMode="External"/><Relationship Id="rId22" Type="http://schemas.openxmlformats.org/officeDocument/2006/relationships/hyperlink" Target="mailto:benjamin30730@msn.com" TargetMode="External"/><Relationship Id="rId27" Type="http://schemas.openxmlformats.org/officeDocument/2006/relationships/hyperlink" Target="http://www.sacnaz.org/" TargetMode="External"/><Relationship Id="rId43" Type="http://schemas.openxmlformats.org/officeDocument/2006/relationships/hyperlink" Target="mailto:joplindistrictnaz@gmail.com" TargetMode="External"/><Relationship Id="rId48" Type="http://schemas.openxmlformats.org/officeDocument/2006/relationships/hyperlink" Target="http://www.westexnaz.org/" TargetMode="External"/><Relationship Id="rId64" Type="http://schemas.openxmlformats.org/officeDocument/2006/relationships/hyperlink" Target="http://www.wisnaz.com/" TargetMode="External"/><Relationship Id="rId69" Type="http://schemas.openxmlformats.org/officeDocument/2006/relationships/hyperlink" Target="mailto:ds@nwilnaz.org" TargetMode="External"/><Relationship Id="rId113" Type="http://schemas.openxmlformats.org/officeDocument/2006/relationships/hyperlink" Target="mailto:manazoffice@gmail.com" TargetMode="External"/><Relationship Id="rId118" Type="http://schemas.openxmlformats.org/officeDocument/2006/relationships/hyperlink" Target="http://www.mnynaz.com/" TargetMode="External"/><Relationship Id="rId134" Type="http://schemas.openxmlformats.org/officeDocument/2006/relationships/hyperlink" Target="mailto:sscott@sacnaz.org" TargetMode="External"/><Relationship Id="rId80" Type="http://schemas.openxmlformats.org/officeDocument/2006/relationships/hyperlink" Target="http://kynaz.com/" TargetMode="External"/><Relationship Id="rId85" Type="http://schemas.openxmlformats.org/officeDocument/2006/relationships/hyperlink" Target="https://centralgulfcoast.org/" TargetMode="External"/><Relationship Id="rId12" Type="http://schemas.openxmlformats.org/officeDocument/2006/relationships/hyperlink" Target="mailto:rwskinner@rmnaz.org" TargetMode="External"/><Relationship Id="rId17" Type="http://schemas.openxmlformats.org/officeDocument/2006/relationships/hyperlink" Target="mailto:rick.power.hawaiipacific@gmail.com" TargetMode="External"/><Relationship Id="rId33" Type="http://schemas.openxmlformats.org/officeDocument/2006/relationships/hyperlink" Target="mailto:nmdist@nmnaz.com" TargetMode="External"/><Relationship Id="rId38" Type="http://schemas.openxmlformats.org/officeDocument/2006/relationships/hyperlink" Target="mailto:pastordancole@gmail.com" TargetMode="External"/><Relationship Id="rId59" Type="http://schemas.openxmlformats.org/officeDocument/2006/relationships/hyperlink" Target="mailto:office@southtexasnaz.org" TargetMode="External"/><Relationship Id="rId103" Type="http://schemas.openxmlformats.org/officeDocument/2006/relationships/hyperlink" Target="http://sconaz.org/" TargetMode="External"/><Relationship Id="rId108" Type="http://schemas.openxmlformats.org/officeDocument/2006/relationships/hyperlink" Target="http://www.wvsnazarene.org/" TargetMode="External"/><Relationship Id="rId124" Type="http://schemas.openxmlformats.org/officeDocument/2006/relationships/hyperlink" Target="mailto:edwardlestep@aol.com" TargetMode="External"/><Relationship Id="rId129" Type="http://schemas.openxmlformats.org/officeDocument/2006/relationships/hyperlink" Target="mailto:jimbond@ksnazarene.org" TargetMode="External"/><Relationship Id="rId54" Type="http://schemas.openxmlformats.org/officeDocument/2006/relationships/hyperlink" Target="http://www.narknaz.com/" TargetMode="External"/><Relationship Id="rId70" Type="http://schemas.openxmlformats.org/officeDocument/2006/relationships/hyperlink" Target="http://www.nwilnaz.org/" TargetMode="External"/><Relationship Id="rId75" Type="http://schemas.openxmlformats.org/officeDocument/2006/relationships/hyperlink" Target="http://www.nwindistrict.org/" TargetMode="External"/><Relationship Id="rId91" Type="http://schemas.openxmlformats.org/officeDocument/2006/relationships/hyperlink" Target="http://www.georgianazarenedistrict.org/" TargetMode="External"/><Relationship Id="rId96" Type="http://schemas.openxmlformats.org/officeDocument/2006/relationships/hyperlink" Target="mailto:nwodist@bright.net" TargetMode="External"/><Relationship Id="rId1" Type="http://schemas.openxmlformats.org/officeDocument/2006/relationships/hyperlink" Target="mailto:aknazarene@alaska.net" TargetMode="External"/><Relationship Id="rId6" Type="http://schemas.openxmlformats.org/officeDocument/2006/relationships/hyperlink" Target="mailto:bcambers@nb.aibn.com" TargetMode="External"/><Relationship Id="rId23" Type="http://schemas.openxmlformats.org/officeDocument/2006/relationships/hyperlink" Target="https://nazarenodsol.squarespace.com/" TargetMode="External"/><Relationship Id="rId28" Type="http://schemas.openxmlformats.org/officeDocument/2006/relationships/hyperlink" Target="http://www.ccdistrict.com/" TargetMode="External"/><Relationship Id="rId49" Type="http://schemas.openxmlformats.org/officeDocument/2006/relationships/hyperlink" Target="mailto:office@oknaz.org" TargetMode="External"/><Relationship Id="rId114" Type="http://schemas.openxmlformats.org/officeDocument/2006/relationships/hyperlink" Target="http://manaz.org/" TargetMode="External"/><Relationship Id="rId119" Type="http://schemas.openxmlformats.org/officeDocument/2006/relationships/hyperlink" Target="http://www.upstatedistrict.org/" TargetMode="External"/><Relationship Id="rId44" Type="http://schemas.openxmlformats.org/officeDocument/2006/relationships/hyperlink" Target="http://joplindistrictnaz.org/" TargetMode="External"/><Relationship Id="rId60" Type="http://schemas.openxmlformats.org/officeDocument/2006/relationships/hyperlink" Target="http://www.southtexasnaz.org/" TargetMode="External"/><Relationship Id="rId65" Type="http://schemas.openxmlformats.org/officeDocument/2006/relationships/hyperlink" Target="mailto:nmdoffice@nmdnaz.org" TargetMode="External"/><Relationship Id="rId81" Type="http://schemas.openxmlformats.org/officeDocument/2006/relationships/hyperlink" Target="mailto:dgunter@midsouthnaz.org" TargetMode="External"/><Relationship Id="rId86" Type="http://schemas.openxmlformats.org/officeDocument/2006/relationships/hyperlink" Target="mailto:office.ncnazarene@gmail.com" TargetMode="External"/><Relationship Id="rId130" Type="http://schemas.openxmlformats.org/officeDocument/2006/relationships/hyperlink" Target="mailto:bdyrness@minaz.org" TargetMode="External"/><Relationship Id="rId135" Type="http://schemas.openxmlformats.org/officeDocument/2006/relationships/hyperlink" Target="mailto:thomastaylor915@gmail.com" TargetMode="External"/><Relationship Id="rId13" Type="http://schemas.openxmlformats.org/officeDocument/2006/relationships/hyperlink" Target="http://rmnaz.org/" TargetMode="External"/><Relationship Id="rId18" Type="http://schemas.openxmlformats.org/officeDocument/2006/relationships/hyperlink" Target="https://www.hipacnazarene.org/" TargetMode="External"/><Relationship Id="rId39" Type="http://schemas.openxmlformats.org/officeDocument/2006/relationships/hyperlink" Target="mailto:ksdist@ksnazarene.org" TargetMode="External"/><Relationship Id="rId109" Type="http://schemas.openxmlformats.org/officeDocument/2006/relationships/hyperlink" Target="mailto:admin@vanaz.org" TargetMode="External"/><Relationship Id="rId34" Type="http://schemas.openxmlformats.org/officeDocument/2006/relationships/hyperlink" Target="http://www.nmnaz.com/" TargetMode="External"/><Relationship Id="rId50" Type="http://schemas.openxmlformats.org/officeDocument/2006/relationships/hyperlink" Target="http://www.oknaz.org/" TargetMode="External"/><Relationship Id="rId55" Type="http://schemas.openxmlformats.org/officeDocument/2006/relationships/hyperlink" Target="mailto:office@soarnaz.org" TargetMode="External"/><Relationship Id="rId76" Type="http://schemas.openxmlformats.org/officeDocument/2006/relationships/hyperlink" Target="mailto:office@indydistrict.org" TargetMode="External"/><Relationship Id="rId97" Type="http://schemas.openxmlformats.org/officeDocument/2006/relationships/hyperlink" Target="http://www.nwonaz.org/" TargetMode="External"/><Relationship Id="rId104" Type="http://schemas.openxmlformats.org/officeDocument/2006/relationships/hyperlink" Target="http://www.eastohionaz.org/" TargetMode="External"/><Relationship Id="rId120" Type="http://schemas.openxmlformats.org/officeDocument/2006/relationships/hyperlink" Target="mailto:kstanford@nednaz.org" TargetMode="External"/><Relationship Id="rId125" Type="http://schemas.openxmlformats.org/officeDocument/2006/relationships/hyperlink" Target="mailto:phartley@alaskanazarene.org" TargetMode="External"/><Relationship Id="rId7" Type="http://schemas.openxmlformats.org/officeDocument/2006/relationships/hyperlink" Target="http://atlanticnazarene.ca/" TargetMode="External"/><Relationship Id="rId71" Type="http://schemas.openxmlformats.org/officeDocument/2006/relationships/hyperlink" Target="http://www.ccdnaz.org/" TargetMode="External"/><Relationship Id="rId92" Type="http://schemas.openxmlformats.org/officeDocument/2006/relationships/hyperlink" Target="mailto:info@floridanaz.com" TargetMode="External"/><Relationship Id="rId2" Type="http://schemas.openxmlformats.org/officeDocument/2006/relationships/hyperlink" Target="https://alaskanazarene.org/" TargetMode="External"/><Relationship Id="rId29" Type="http://schemas.openxmlformats.org/officeDocument/2006/relationships/hyperlink" Target="http://www.nazla.org/" TargetMode="External"/><Relationship Id="rId24" Type="http://schemas.openxmlformats.org/officeDocument/2006/relationships/hyperlink" Target="mailto:supastorev@gmail.com" TargetMode="External"/><Relationship Id="rId40" Type="http://schemas.openxmlformats.org/officeDocument/2006/relationships/hyperlink" Target="http://www.ksnazarene.org/" TargetMode="External"/><Relationship Id="rId45" Type="http://schemas.openxmlformats.org/officeDocument/2006/relationships/hyperlink" Target="mailto:mpalmer@monaz.org" TargetMode="External"/><Relationship Id="rId66" Type="http://schemas.openxmlformats.org/officeDocument/2006/relationships/hyperlink" Target="http://www.nmdnaz.org/" TargetMode="External"/><Relationship Id="rId87" Type="http://schemas.openxmlformats.org/officeDocument/2006/relationships/hyperlink" Target="http://www.ncnaz.org/" TargetMode="External"/><Relationship Id="rId110" Type="http://schemas.openxmlformats.org/officeDocument/2006/relationships/hyperlink" Target="http://www.vanaz.org/" TargetMode="External"/><Relationship Id="rId115" Type="http://schemas.openxmlformats.org/officeDocument/2006/relationships/hyperlink" Target="mailto:districtoffice@philanaz.org" TargetMode="External"/><Relationship Id="rId131" Type="http://schemas.openxmlformats.org/officeDocument/2006/relationships/hyperlink" Target="mailto:dnmowry@nwdistrict.org" TargetMode="External"/><Relationship Id="rId136" Type="http://schemas.openxmlformats.org/officeDocument/2006/relationships/hyperlink" Target="mailto:oliviametcalf@upstatedistrict.org" TargetMode="External"/><Relationship Id="rId61" Type="http://schemas.openxmlformats.org/officeDocument/2006/relationships/hyperlink" Target="mailto:ladistrictnaz@gmail.com" TargetMode="External"/><Relationship Id="rId82" Type="http://schemas.openxmlformats.org/officeDocument/2006/relationships/hyperlink" Target="http://www.midsouthnaz.org/" TargetMode="External"/><Relationship Id="rId19" Type="http://schemas.openxmlformats.org/officeDocument/2006/relationships/hyperlink" Target="mailto:jrnells07@gmail.com" TargetMode="External"/><Relationship Id="rId14" Type="http://schemas.openxmlformats.org/officeDocument/2006/relationships/hyperlink" Target="mailto:office@intermountaindistrict.org" TargetMode="External"/><Relationship Id="rId30" Type="http://schemas.openxmlformats.org/officeDocument/2006/relationships/hyperlink" Target="mailto:socalnazarene@gmail.com" TargetMode="External"/><Relationship Id="rId35" Type="http://schemas.openxmlformats.org/officeDocument/2006/relationships/hyperlink" Target="http://www.pldnaz.com/" TargetMode="External"/><Relationship Id="rId56" Type="http://schemas.openxmlformats.org/officeDocument/2006/relationships/hyperlink" Target="https://soarnaz.org/" TargetMode="External"/><Relationship Id="rId77" Type="http://schemas.openxmlformats.org/officeDocument/2006/relationships/hyperlink" Target="http://indydistrict.org/" TargetMode="External"/><Relationship Id="rId100" Type="http://schemas.openxmlformats.org/officeDocument/2006/relationships/hyperlink" Target="http://ekdnaz.org/" TargetMode="External"/><Relationship Id="rId105" Type="http://schemas.openxmlformats.org/officeDocument/2006/relationships/hyperlink" Target="mailto:kdennis@wvnd.org" TargetMode="External"/><Relationship Id="rId126" Type="http://schemas.openxmlformats.org/officeDocument/2006/relationships/hyperlink" Target="mailto:Vaskren@conazarene.org" TargetMode="External"/><Relationship Id="rId8" Type="http://schemas.openxmlformats.org/officeDocument/2006/relationships/hyperlink" Target="http://www.wapacnaz.org/" TargetMode="External"/><Relationship Id="rId51" Type="http://schemas.openxmlformats.org/officeDocument/2006/relationships/hyperlink" Target="mailto:melissa@swok.org&#160;" TargetMode="External"/><Relationship Id="rId72" Type="http://schemas.openxmlformats.org/officeDocument/2006/relationships/hyperlink" Target="http://illinoisnaz.org/" TargetMode="External"/><Relationship Id="rId93" Type="http://schemas.openxmlformats.org/officeDocument/2006/relationships/hyperlink" Target="https://www.usacanadaregion.org/%09http:/www.floridanaz.com/" TargetMode="External"/><Relationship Id="rId98" Type="http://schemas.openxmlformats.org/officeDocument/2006/relationships/hyperlink" Target="mailto:rbrown@swonaz.org" TargetMode="External"/><Relationship Id="rId121" Type="http://schemas.openxmlformats.org/officeDocument/2006/relationships/hyperlink" Target="http://www.nednaz.org/" TargetMode="External"/><Relationship Id="rId3" Type="http://schemas.openxmlformats.org/officeDocument/2006/relationships/hyperlink" Target="http://www.centralnazarene.ca/" TargetMode="External"/><Relationship Id="rId25" Type="http://schemas.openxmlformats.org/officeDocument/2006/relationships/hyperlink" Target="mailto:info@norcal.org" TargetMode="External"/><Relationship Id="rId46" Type="http://schemas.openxmlformats.org/officeDocument/2006/relationships/hyperlink" Target="http://www.monaz.org/" TargetMode="External"/><Relationship Id="rId67" Type="http://schemas.openxmlformats.org/officeDocument/2006/relationships/hyperlink" Target="http://www.minaz.org/" TargetMode="External"/><Relationship Id="rId116" Type="http://schemas.openxmlformats.org/officeDocument/2006/relationships/hyperlink" Target="http://www.philanaz.org/" TargetMode="External"/><Relationship Id="rId137" Type="http://schemas.openxmlformats.org/officeDocument/2006/relationships/hyperlink" Target="mailto:Kevindonleyds.wisconsin.naz@gmail.com" TargetMode="External"/><Relationship Id="rId20" Type="http://schemas.openxmlformats.org/officeDocument/2006/relationships/hyperlink" Target="https://www.usacanadaregion.org/snadnaz.org" TargetMode="External"/><Relationship Id="rId41" Type="http://schemas.openxmlformats.org/officeDocument/2006/relationships/hyperlink" Target="mailto:kcdistrict@kcdistrict.org" TargetMode="External"/><Relationship Id="rId62" Type="http://schemas.openxmlformats.org/officeDocument/2006/relationships/hyperlink" Target="http://www.ladistrict.org/" TargetMode="External"/><Relationship Id="rId83" Type="http://schemas.openxmlformats.org/officeDocument/2006/relationships/hyperlink" Target="mailto:alanorthdistrict@gmail.com" TargetMode="External"/><Relationship Id="rId88" Type="http://schemas.openxmlformats.org/officeDocument/2006/relationships/hyperlink" Target="mailto:info@southcarolinanazarene.com" TargetMode="External"/><Relationship Id="rId111" Type="http://schemas.openxmlformats.org/officeDocument/2006/relationships/hyperlink" Target="mailto:office@pghnaz.org" TargetMode="External"/><Relationship Id="rId132" Type="http://schemas.openxmlformats.org/officeDocument/2006/relationships/hyperlink" Target="mailto:districtpastor@nwilnaz.org" TargetMode="External"/><Relationship Id="rId15" Type="http://schemas.openxmlformats.org/officeDocument/2006/relationships/hyperlink" Target="http://www.intermountaindistrict.org/" TargetMode="External"/><Relationship Id="rId36" Type="http://schemas.openxmlformats.org/officeDocument/2006/relationships/hyperlink" Target="mailto:admin@iowanazarene.org" TargetMode="External"/><Relationship Id="rId57" Type="http://schemas.openxmlformats.org/officeDocument/2006/relationships/hyperlink" Target="mailto:districtofficenaz@netxnaz.net" TargetMode="External"/><Relationship Id="rId106" Type="http://schemas.openxmlformats.org/officeDocument/2006/relationships/hyperlink" Target="http://www.wvnd.org/" TargetMode="External"/><Relationship Id="rId127" Type="http://schemas.openxmlformats.org/officeDocument/2006/relationships/hyperlink" Target="mailto:ekdswyatt@gmail.com" TargetMode="External"/><Relationship Id="rId10" Type="http://schemas.openxmlformats.org/officeDocument/2006/relationships/hyperlink" Target="http://orpac.org/" TargetMode="External"/><Relationship Id="rId31" Type="http://schemas.openxmlformats.org/officeDocument/2006/relationships/hyperlink" Target="http://www.socalnaz.org/" TargetMode="External"/><Relationship Id="rId52" Type="http://schemas.openxmlformats.org/officeDocument/2006/relationships/hyperlink" Target="https://swok.org/" TargetMode="External"/><Relationship Id="rId73" Type="http://schemas.openxmlformats.org/officeDocument/2006/relationships/hyperlink" Target="http://neinazarene.org/" TargetMode="External"/><Relationship Id="rId78" Type="http://schemas.openxmlformats.org/officeDocument/2006/relationships/hyperlink" Target="http://www.swidnazarene.org/" TargetMode="External"/><Relationship Id="rId94" Type="http://schemas.openxmlformats.org/officeDocument/2006/relationships/hyperlink" Target="mailto:Bwilson@sfnazarene.org" TargetMode="External"/><Relationship Id="rId99" Type="http://schemas.openxmlformats.org/officeDocument/2006/relationships/hyperlink" Target="http://www.swonaz.org/" TargetMode="External"/><Relationship Id="rId101" Type="http://schemas.openxmlformats.org/officeDocument/2006/relationships/hyperlink" Target="mailto:nco.district@mvnu.edu" TargetMode="External"/><Relationship Id="rId122" Type="http://schemas.openxmlformats.org/officeDocument/2006/relationships/hyperlink" Target="mailto:mainenazoffice@gmail.com" TargetMode="External"/><Relationship Id="rId4" Type="http://schemas.openxmlformats.org/officeDocument/2006/relationships/hyperlink" Target="mailto:nazarenequebec@gmail.com" TargetMode="External"/><Relationship Id="rId9" Type="http://schemas.openxmlformats.org/officeDocument/2006/relationships/hyperlink" Target="mailto:orpacoffice@orpac.org" TargetMode="External"/><Relationship Id="rId26" Type="http://schemas.openxmlformats.org/officeDocument/2006/relationships/hyperlink" Target="http://www.norcal.org/" TargetMode="External"/><Relationship Id="rId47" Type="http://schemas.openxmlformats.org/officeDocument/2006/relationships/hyperlink" Target="mailto:office@westexnaz.org" TargetMode="External"/><Relationship Id="rId68" Type="http://schemas.openxmlformats.org/officeDocument/2006/relationships/hyperlink" Target="http://www.emdnaz.org/" TargetMode="External"/><Relationship Id="rId89" Type="http://schemas.openxmlformats.org/officeDocument/2006/relationships/hyperlink" Target="https://www.southcarolinanazarene.com/" TargetMode="External"/><Relationship Id="rId112" Type="http://schemas.openxmlformats.org/officeDocument/2006/relationships/hyperlink" Target="http://pghnaz.org/" TargetMode="External"/><Relationship Id="rId133" Type="http://schemas.openxmlformats.org/officeDocument/2006/relationships/hyperlink" Target="mailto:shoffman@pldnaz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tel://630-893-1355/" TargetMode="External"/><Relationship Id="rId13" Type="http://schemas.openxmlformats.org/officeDocument/2006/relationships/hyperlink" Target="tel:+15036859160" TargetMode="External"/><Relationship Id="rId18" Type="http://schemas.openxmlformats.org/officeDocument/2006/relationships/hyperlink" Target="tel:9207341123" TargetMode="External"/><Relationship Id="rId26" Type="http://schemas.openxmlformats.org/officeDocument/2006/relationships/hyperlink" Target="mailto:pastorkcwong@gmail.com" TargetMode="External"/><Relationship Id="rId3" Type="http://schemas.openxmlformats.org/officeDocument/2006/relationships/hyperlink" Target="mailto:nageld@cmawpa.org" TargetMode="External"/><Relationship Id="rId21" Type="http://schemas.openxmlformats.org/officeDocument/2006/relationships/hyperlink" Target="mailto:sarkisdiarbi@hotmail.com" TargetMode="External"/><Relationship Id="rId7" Type="http://schemas.openxmlformats.org/officeDocument/2006/relationships/hyperlink" Target="https://goo.gl/maps/upYgarLzSiPYq7KN7" TargetMode="External"/><Relationship Id="rId12" Type="http://schemas.openxmlformats.org/officeDocument/2006/relationships/hyperlink" Target="tel:508-238-3820" TargetMode="External"/><Relationship Id="rId17" Type="http://schemas.openxmlformats.org/officeDocument/2006/relationships/hyperlink" Target="https://goo.gl/maps/V8EvZnpCb3QCJdRL6" TargetMode="External"/><Relationship Id="rId25" Type="http://schemas.openxmlformats.org/officeDocument/2006/relationships/hyperlink" Target="mailto:jameschung@uscca.org" TargetMode="External"/><Relationship Id="rId2" Type="http://schemas.openxmlformats.org/officeDocument/2006/relationships/hyperlink" Target="mailto:tflanders@alliancese.org" TargetMode="External"/><Relationship Id="rId16" Type="http://schemas.openxmlformats.org/officeDocument/2006/relationships/hyperlink" Target="https://goo.gl/maps/V8EvZnpCb3QCJdRL6" TargetMode="External"/><Relationship Id="rId20" Type="http://schemas.openxmlformats.org/officeDocument/2006/relationships/hyperlink" Target="mailto:hopealliance@sbcglobal.net" TargetMode="External"/><Relationship Id="rId29" Type="http://schemas.openxmlformats.org/officeDocument/2006/relationships/hyperlink" Target="mailto:nallianceassoc@gmail.com" TargetMode="External"/><Relationship Id="rId1" Type="http://schemas.openxmlformats.org/officeDocument/2006/relationships/hyperlink" Target="mailto:csmith@cdcma.org" TargetMode="External"/><Relationship Id="rId6" Type="http://schemas.openxmlformats.org/officeDocument/2006/relationships/hyperlink" Target="https://rmdcma.com/team-wiggins" TargetMode="External"/><Relationship Id="rId11" Type="http://schemas.openxmlformats.org/officeDocument/2006/relationships/hyperlink" Target="https://www.greatlakesdistrict.com/home-1" TargetMode="External"/><Relationship Id="rId24" Type="http://schemas.openxmlformats.org/officeDocument/2006/relationships/hyperlink" Target="mailto:hendyasiu@att.net" TargetMode="External"/><Relationship Id="rId5" Type="http://schemas.openxmlformats.org/officeDocument/2006/relationships/hyperlink" Target="https://cpdistrict.org/who-we-are/" TargetMode="External"/><Relationship Id="rId15" Type="http://schemas.openxmlformats.org/officeDocument/2006/relationships/hyperlink" Target="tel:+1-951-719-1191" TargetMode="External"/><Relationship Id="rId23" Type="http://schemas.openxmlformats.org/officeDocument/2006/relationships/hyperlink" Target="mailto:rothie357@gmail.com" TargetMode="External"/><Relationship Id="rId28" Type="http://schemas.openxmlformats.org/officeDocument/2006/relationships/hyperlink" Target="mailto:kfleury@hotmail.com" TargetMode="External"/><Relationship Id="rId10" Type="http://schemas.openxmlformats.org/officeDocument/2006/relationships/hyperlink" Target="https://madcma.org/district-family/" TargetMode="External"/><Relationship Id="rId19" Type="http://schemas.openxmlformats.org/officeDocument/2006/relationships/hyperlink" Target="tel:9733514226" TargetMode="External"/><Relationship Id="rId31" Type="http://schemas.openxmlformats.org/officeDocument/2006/relationships/hyperlink" Target="mailto:multicultural@cmalliance.org" TargetMode="External"/><Relationship Id="rId4" Type="http://schemas.openxmlformats.org/officeDocument/2006/relationships/hyperlink" Target="tel:+15306622500" TargetMode="External"/><Relationship Id="rId9" Type="http://schemas.openxmlformats.org/officeDocument/2006/relationships/hyperlink" Target="tel:%20704-543-0470" TargetMode="External"/><Relationship Id="rId14" Type="http://schemas.openxmlformats.org/officeDocument/2006/relationships/hyperlink" Target="https://goo.gl/maps/771PDnf9XN9s4VNTA" TargetMode="External"/><Relationship Id="rId22" Type="http://schemas.openxmlformats.org/officeDocument/2006/relationships/hyperlink" Target="mailto:siyumey@yahoo.com" TargetMode="External"/><Relationship Id="rId27" Type="http://schemas.openxmlformats.org/officeDocument/2006/relationships/hyperlink" Target="mailto:narethm@gmail.com" TargetMode="External"/><Relationship Id="rId30" Type="http://schemas.openxmlformats.org/officeDocument/2006/relationships/hyperlink" Target="mailto:hlecaro41@verizon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D039-E725-EE4B-8BF6-48F2253D0B16}">
  <dimension ref="B1:W289"/>
  <sheetViews>
    <sheetView tabSelected="1" workbookViewId="0">
      <selection activeCell="A24" sqref="A24"/>
    </sheetView>
  </sheetViews>
  <sheetFormatPr baseColWidth="10" defaultRowHeight="16"/>
  <cols>
    <col min="1" max="1" width="7" style="7" customWidth="1"/>
    <col min="2" max="2" width="42.83203125" style="22" customWidth="1"/>
    <col min="3" max="3" width="74.6640625" style="7" customWidth="1"/>
    <col min="4" max="4" width="66.83203125" style="7" customWidth="1"/>
    <col min="5" max="5" width="50" style="22" customWidth="1"/>
    <col min="6" max="6" width="14.5" style="9" bestFit="1" customWidth="1"/>
    <col min="7" max="7" width="5.83203125" style="9" customWidth="1"/>
    <col min="8" max="8" width="18.33203125" style="7" bestFit="1" customWidth="1"/>
    <col min="9" max="9" width="5.83203125" style="9" customWidth="1"/>
    <col min="10" max="10" width="11.83203125" style="7" bestFit="1" customWidth="1"/>
    <col min="11" max="11" width="5.83203125" style="9" customWidth="1"/>
    <col min="12" max="12" width="14.5" style="9" bestFit="1" customWidth="1"/>
    <col min="13" max="13" width="14.1640625" style="10" bestFit="1" customWidth="1"/>
    <col min="14" max="14" width="5.83203125" style="9" customWidth="1"/>
    <col min="15" max="15" width="16.83203125" style="9" bestFit="1" customWidth="1"/>
    <col min="16" max="16" width="9.5" style="9" bestFit="1" customWidth="1"/>
    <col min="17" max="17" width="15.6640625" style="9" bestFit="1" customWidth="1"/>
    <col min="18" max="18" width="22.6640625" style="9" bestFit="1" customWidth="1"/>
    <col min="19" max="19" width="5.83203125" style="9" customWidth="1"/>
    <col min="20" max="20" width="16.6640625" style="9" customWidth="1"/>
    <col min="21" max="21" width="5.83203125" style="9" customWidth="1"/>
    <col min="22" max="22" width="93" style="7" bestFit="1" customWidth="1"/>
    <col min="23" max="16384" width="10.83203125" style="7"/>
  </cols>
  <sheetData>
    <row r="1" spans="2:23" s="12" customFormat="1">
      <c r="F1" s="80"/>
      <c r="G1" s="80"/>
      <c r="I1" s="80"/>
      <c r="K1" s="80"/>
      <c r="L1" s="80"/>
      <c r="M1" s="233"/>
      <c r="N1" s="80"/>
      <c r="O1" s="80"/>
      <c r="P1" s="80"/>
      <c r="Q1" s="80"/>
      <c r="R1" s="80"/>
      <c r="S1" s="80"/>
      <c r="T1" s="80"/>
      <c r="U1" s="80"/>
    </row>
    <row r="2" spans="2:23" s="16" customFormat="1" ht="21">
      <c r="F2" s="33"/>
      <c r="G2" s="15"/>
      <c r="I2" s="15"/>
      <c r="J2" s="15" t="s">
        <v>208</v>
      </c>
      <c r="K2" s="15"/>
      <c r="L2" s="15" t="s">
        <v>3190</v>
      </c>
      <c r="M2" s="17"/>
      <c r="N2" s="15"/>
      <c r="O2" s="80"/>
      <c r="P2" s="80"/>
      <c r="Q2" s="80"/>
      <c r="R2" s="80"/>
      <c r="S2" s="15"/>
      <c r="T2" s="15"/>
      <c r="U2" s="15"/>
    </row>
    <row r="3" spans="2:23" s="16" customFormat="1" ht="21">
      <c r="F3" s="33"/>
      <c r="G3" s="15"/>
      <c r="H3" s="15" t="s">
        <v>3191</v>
      </c>
      <c r="I3" s="15"/>
      <c r="J3" s="16" t="s">
        <v>195</v>
      </c>
      <c r="K3" s="15"/>
      <c r="L3" s="15" t="s">
        <v>3192</v>
      </c>
      <c r="M3" s="17"/>
      <c r="N3" s="15"/>
      <c r="O3" s="15" t="s">
        <v>3193</v>
      </c>
      <c r="P3" s="15" t="s">
        <v>3193</v>
      </c>
      <c r="Q3" s="15" t="s">
        <v>3193</v>
      </c>
      <c r="R3" s="15"/>
      <c r="S3" s="15"/>
      <c r="T3" s="15"/>
      <c r="U3" s="15"/>
    </row>
    <row r="4" spans="2:23" s="20" customFormat="1" ht="22" thickBot="1">
      <c r="B4" s="20" t="s">
        <v>3194</v>
      </c>
      <c r="C4" s="20" t="s">
        <v>3195</v>
      </c>
      <c r="D4" s="20" t="s">
        <v>3196</v>
      </c>
      <c r="E4" s="20" t="s">
        <v>37</v>
      </c>
      <c r="F4" s="19" t="s">
        <v>3856</v>
      </c>
      <c r="G4" s="19"/>
      <c r="H4" s="19" t="s">
        <v>3197</v>
      </c>
      <c r="I4" s="19"/>
      <c r="J4" s="19" t="s">
        <v>3198</v>
      </c>
      <c r="K4" s="19"/>
      <c r="L4" s="19" t="s">
        <v>3199</v>
      </c>
      <c r="M4" s="21" t="s">
        <v>3200</v>
      </c>
      <c r="N4" s="19"/>
      <c r="O4" s="19" t="s">
        <v>2</v>
      </c>
      <c r="P4" s="19" t="s">
        <v>226</v>
      </c>
      <c r="Q4" s="19" t="s">
        <v>3201</v>
      </c>
      <c r="R4" s="19" t="s">
        <v>3202</v>
      </c>
      <c r="S4" s="19"/>
      <c r="T4" s="19" t="s">
        <v>3203</v>
      </c>
      <c r="U4" s="19"/>
      <c r="V4" s="20" t="s">
        <v>46</v>
      </c>
    </row>
    <row r="5" spans="2:23" s="55" customFormat="1">
      <c r="B5" s="55" t="s">
        <v>3204</v>
      </c>
      <c r="C5" s="55" t="s">
        <v>3205</v>
      </c>
      <c r="D5" s="55" t="s">
        <v>3206</v>
      </c>
      <c r="F5" s="54">
        <v>1</v>
      </c>
      <c r="G5" s="226"/>
      <c r="I5" s="226"/>
      <c r="K5" s="226"/>
      <c r="L5" s="54"/>
      <c r="M5" s="61"/>
      <c r="N5" s="226"/>
      <c r="O5" s="54"/>
      <c r="P5" s="54"/>
      <c r="Q5" s="54"/>
      <c r="R5" s="54"/>
      <c r="S5" s="226"/>
      <c r="T5" s="54"/>
      <c r="U5" s="226"/>
    </row>
    <row r="6" spans="2:23" s="55" customFormat="1">
      <c r="B6" s="22" t="s">
        <v>3204</v>
      </c>
      <c r="C6" s="22" t="s">
        <v>3205</v>
      </c>
      <c r="D6" s="55" t="s">
        <v>3207</v>
      </c>
      <c r="E6" s="22" t="s">
        <v>3208</v>
      </c>
      <c r="F6" s="54">
        <v>1</v>
      </c>
      <c r="G6" s="226"/>
      <c r="I6" s="226"/>
      <c r="K6" s="226"/>
      <c r="L6" s="54">
        <v>39</v>
      </c>
      <c r="M6" s="61" t="s">
        <v>3209</v>
      </c>
      <c r="N6" s="226"/>
      <c r="O6" s="54">
        <v>230</v>
      </c>
      <c r="P6" s="54"/>
      <c r="Q6" s="54"/>
      <c r="R6" s="227" t="s">
        <v>3210</v>
      </c>
      <c r="S6" s="226"/>
      <c r="T6" s="54"/>
      <c r="U6" s="226"/>
    </row>
    <row r="7" spans="2:23" s="22" customFormat="1">
      <c r="B7" s="22" t="s">
        <v>3204</v>
      </c>
      <c r="C7" s="22" t="s">
        <v>3205</v>
      </c>
      <c r="D7" s="22" t="s">
        <v>3211</v>
      </c>
      <c r="E7" s="22" t="s">
        <v>3212</v>
      </c>
      <c r="F7" s="23">
        <v>1</v>
      </c>
      <c r="G7" s="202"/>
      <c r="H7" s="22" t="s">
        <v>3213</v>
      </c>
      <c r="I7" s="202"/>
      <c r="K7" s="202"/>
      <c r="L7" s="23"/>
      <c r="M7" s="37"/>
      <c r="N7" s="202"/>
      <c r="O7" s="23">
        <v>735</v>
      </c>
      <c r="P7" s="23"/>
      <c r="Q7" s="72">
        <v>100000</v>
      </c>
      <c r="R7" s="227" t="s">
        <v>3210</v>
      </c>
      <c r="S7" s="202"/>
      <c r="T7" s="23"/>
      <c r="U7" s="202"/>
    </row>
    <row r="8" spans="2:23" s="22" customFormat="1">
      <c r="B8" s="22" t="s">
        <v>3204</v>
      </c>
      <c r="C8" s="22" t="s">
        <v>3205</v>
      </c>
      <c r="D8" s="22" t="s">
        <v>3214</v>
      </c>
      <c r="F8" s="23">
        <v>1</v>
      </c>
      <c r="G8" s="202"/>
      <c r="I8" s="202"/>
      <c r="K8" s="202"/>
      <c r="L8" s="23"/>
      <c r="M8" s="37"/>
      <c r="N8" s="202"/>
      <c r="O8" s="23"/>
      <c r="P8" s="23"/>
      <c r="Q8" s="23"/>
      <c r="R8" s="23"/>
      <c r="S8" s="202"/>
      <c r="T8" s="23"/>
      <c r="U8" s="202"/>
    </row>
    <row r="9" spans="2:23" s="22" customFormat="1">
      <c r="B9" s="22" t="s">
        <v>3204</v>
      </c>
      <c r="C9" s="22" t="s">
        <v>3205</v>
      </c>
      <c r="D9" s="22" t="s">
        <v>3215</v>
      </c>
      <c r="E9" s="22" t="s">
        <v>3216</v>
      </c>
      <c r="F9" s="23">
        <v>1</v>
      </c>
      <c r="G9" s="202"/>
      <c r="H9" s="22" t="s">
        <v>3217</v>
      </c>
      <c r="I9" s="202"/>
      <c r="K9" s="202"/>
      <c r="L9" s="23"/>
      <c r="M9" s="37"/>
      <c r="N9" s="202"/>
      <c r="O9" s="23">
        <v>7095</v>
      </c>
      <c r="P9" s="23"/>
      <c r="Q9" s="72">
        <v>2154572</v>
      </c>
      <c r="R9" s="227" t="s">
        <v>3210</v>
      </c>
      <c r="S9" s="202"/>
      <c r="T9" s="23"/>
      <c r="U9" s="202"/>
    </row>
    <row r="10" spans="2:23" s="22" customFormat="1">
      <c r="B10" s="22" t="s">
        <v>3204</v>
      </c>
      <c r="C10" s="22" t="s">
        <v>3205</v>
      </c>
      <c r="D10" s="22" t="s">
        <v>3218</v>
      </c>
      <c r="E10" s="22" t="s">
        <v>3219</v>
      </c>
      <c r="F10" s="203">
        <v>1</v>
      </c>
      <c r="G10" s="205"/>
      <c r="H10" s="22" t="s">
        <v>3220</v>
      </c>
      <c r="I10" s="205"/>
      <c r="K10" s="205"/>
      <c r="M10" s="37"/>
      <c r="N10" s="205"/>
      <c r="O10" s="23"/>
      <c r="P10" s="23"/>
      <c r="Q10" s="72">
        <v>5000</v>
      </c>
      <c r="R10" s="227" t="s">
        <v>3210</v>
      </c>
      <c r="S10" s="205"/>
      <c r="T10" s="23"/>
      <c r="U10" s="205"/>
    </row>
    <row r="11" spans="2:23" s="22" customFormat="1">
      <c r="B11" s="22" t="s">
        <v>3204</v>
      </c>
      <c r="C11" s="22" t="s">
        <v>3205</v>
      </c>
      <c r="D11" s="22" t="s">
        <v>3221</v>
      </c>
      <c r="E11" s="22" t="s">
        <v>3222</v>
      </c>
      <c r="F11" s="9">
        <v>1</v>
      </c>
      <c r="G11" s="205"/>
      <c r="H11" s="22" t="s">
        <v>3223</v>
      </c>
      <c r="I11" s="205"/>
      <c r="K11" s="205"/>
      <c r="L11" s="7"/>
      <c r="M11" s="37"/>
      <c r="N11" s="205"/>
      <c r="O11" s="23">
        <v>117</v>
      </c>
      <c r="Q11" s="23" t="s">
        <v>14</v>
      </c>
      <c r="R11" s="227" t="s">
        <v>3210</v>
      </c>
      <c r="S11" s="205"/>
      <c r="T11" s="9"/>
      <c r="U11" s="205"/>
      <c r="V11" s="7"/>
      <c r="W11" s="7"/>
    </row>
    <row r="12" spans="2:23" s="22" customFormat="1">
      <c r="B12" s="22" t="s">
        <v>3204</v>
      </c>
      <c r="C12" s="22" t="s">
        <v>3205</v>
      </c>
      <c r="D12" s="22" t="s">
        <v>3224</v>
      </c>
      <c r="E12" s="22" t="s">
        <v>3225</v>
      </c>
      <c r="F12" s="9">
        <v>1</v>
      </c>
      <c r="G12" s="205"/>
      <c r="H12" s="22" t="s">
        <v>3226</v>
      </c>
      <c r="I12" s="205"/>
      <c r="K12" s="205"/>
      <c r="L12" s="7"/>
      <c r="M12" s="10"/>
      <c r="N12" s="205"/>
      <c r="O12" s="23">
        <v>152</v>
      </c>
      <c r="Q12" s="72">
        <v>10000</v>
      </c>
      <c r="R12" s="227" t="s">
        <v>3210</v>
      </c>
      <c r="S12" s="205"/>
      <c r="T12" s="9"/>
      <c r="U12" s="205"/>
      <c r="V12" s="7"/>
      <c r="W12" s="7"/>
    </row>
    <row r="13" spans="2:23" s="22" customFormat="1">
      <c r="B13" s="22" t="s">
        <v>3204</v>
      </c>
      <c r="C13" s="22" t="s">
        <v>3205</v>
      </c>
      <c r="D13" s="22" t="s">
        <v>3227</v>
      </c>
      <c r="E13" s="22" t="s">
        <v>3228</v>
      </c>
      <c r="F13" s="23">
        <v>1</v>
      </c>
      <c r="G13" s="202"/>
      <c r="I13" s="202"/>
      <c r="K13" s="202"/>
      <c r="L13" s="23"/>
      <c r="M13" s="37"/>
      <c r="N13" s="202"/>
      <c r="O13" s="23"/>
      <c r="P13" s="23"/>
      <c r="Q13" s="23"/>
      <c r="R13" s="23"/>
      <c r="S13" s="202"/>
      <c r="T13" s="23"/>
      <c r="U13" s="202"/>
    </row>
    <row r="14" spans="2:23">
      <c r="B14" s="7"/>
      <c r="D14" s="22"/>
      <c r="G14" s="205"/>
      <c r="H14" s="22"/>
      <c r="I14" s="205"/>
      <c r="J14" s="22"/>
      <c r="K14" s="205"/>
      <c r="L14" s="7"/>
      <c r="N14" s="205"/>
      <c r="O14" s="23"/>
      <c r="P14" s="22"/>
      <c r="Q14" s="72"/>
      <c r="S14" s="205"/>
      <c r="U14" s="205"/>
    </row>
    <row r="15" spans="2:23" s="22" customFormat="1">
      <c r="B15" s="22" t="s">
        <v>3204</v>
      </c>
      <c r="C15" s="22" t="s">
        <v>3229</v>
      </c>
      <c r="D15" s="22" t="s">
        <v>3230</v>
      </c>
      <c r="E15" s="22" t="s">
        <v>3231</v>
      </c>
      <c r="F15" s="23">
        <v>1</v>
      </c>
      <c r="G15" s="202"/>
      <c r="H15" s="22" t="s">
        <v>3232</v>
      </c>
      <c r="I15" s="202"/>
      <c r="K15" s="202"/>
      <c r="L15" s="23"/>
      <c r="M15" s="37"/>
      <c r="N15" s="202"/>
      <c r="O15" s="23">
        <v>127</v>
      </c>
      <c r="P15" s="23"/>
      <c r="Q15" s="72">
        <v>65000</v>
      </c>
      <c r="R15" s="227" t="s">
        <v>3210</v>
      </c>
      <c r="S15" s="202"/>
      <c r="T15" s="23"/>
      <c r="U15" s="202"/>
    </row>
    <row r="16" spans="2:23" s="22" customFormat="1">
      <c r="B16" s="22" t="s">
        <v>3204</v>
      </c>
      <c r="C16" s="22" t="s">
        <v>3229</v>
      </c>
      <c r="D16" s="22" t="s">
        <v>3233</v>
      </c>
      <c r="E16" s="22" t="s">
        <v>3234</v>
      </c>
      <c r="F16" s="23">
        <v>1</v>
      </c>
      <c r="G16" s="202"/>
      <c r="H16" s="22" t="s">
        <v>3235</v>
      </c>
      <c r="I16" s="202"/>
      <c r="K16" s="202"/>
      <c r="L16" s="23"/>
      <c r="M16" s="37"/>
      <c r="N16" s="202"/>
      <c r="O16" s="23">
        <v>1867</v>
      </c>
      <c r="P16" s="23"/>
      <c r="Q16" s="72">
        <v>280987</v>
      </c>
      <c r="R16" s="227" t="s">
        <v>3210</v>
      </c>
      <c r="S16" s="202"/>
      <c r="T16" s="23"/>
      <c r="U16" s="202"/>
    </row>
    <row r="17" spans="2:21" s="22" customFormat="1">
      <c r="B17" s="22" t="s">
        <v>3204</v>
      </c>
      <c r="C17" s="22" t="s">
        <v>3229</v>
      </c>
      <c r="D17" s="22" t="s">
        <v>3236</v>
      </c>
      <c r="E17" s="22" t="s">
        <v>3237</v>
      </c>
      <c r="F17" s="23">
        <v>1</v>
      </c>
      <c r="G17" s="202"/>
      <c r="H17" s="22" t="s">
        <v>3238</v>
      </c>
      <c r="I17" s="202"/>
      <c r="K17" s="202"/>
      <c r="L17" s="23"/>
      <c r="M17" s="37"/>
      <c r="N17" s="202"/>
      <c r="O17" s="23">
        <v>558</v>
      </c>
      <c r="P17" s="23"/>
      <c r="Q17" s="72">
        <v>1358351</v>
      </c>
      <c r="R17" s="227" t="s">
        <v>3210</v>
      </c>
      <c r="S17" s="202"/>
      <c r="T17" s="23"/>
      <c r="U17" s="202"/>
    </row>
    <row r="18" spans="2:21" s="22" customFormat="1">
      <c r="B18" s="22" t="s">
        <v>3204</v>
      </c>
      <c r="C18" s="22" t="s">
        <v>3229</v>
      </c>
      <c r="D18" s="22" t="s">
        <v>3239</v>
      </c>
      <c r="E18" s="22" t="s">
        <v>3240</v>
      </c>
      <c r="F18" s="23">
        <v>1</v>
      </c>
      <c r="G18" s="205"/>
      <c r="H18" s="22" t="s">
        <v>3241</v>
      </c>
      <c r="I18" s="205"/>
      <c r="K18" s="205"/>
      <c r="L18" s="23"/>
      <c r="M18" s="37"/>
      <c r="N18" s="205"/>
      <c r="O18" s="23">
        <v>69</v>
      </c>
      <c r="P18" s="23"/>
      <c r="Q18" s="72" t="s">
        <v>1859</v>
      </c>
      <c r="R18" s="227" t="s">
        <v>3210</v>
      </c>
      <c r="S18" s="205"/>
      <c r="T18" s="23"/>
      <c r="U18" s="205"/>
    </row>
    <row r="19" spans="2:21" s="22" customFormat="1">
      <c r="B19" s="22" t="s">
        <v>3204</v>
      </c>
      <c r="C19" s="22" t="s">
        <v>3229</v>
      </c>
      <c r="D19" s="22" t="s">
        <v>3242</v>
      </c>
      <c r="E19" s="22" t="s">
        <v>3243</v>
      </c>
      <c r="F19" s="23">
        <v>1</v>
      </c>
      <c r="G19" s="202"/>
      <c r="H19" s="22" t="s">
        <v>3244</v>
      </c>
      <c r="I19" s="202"/>
      <c r="K19" s="202"/>
      <c r="L19" s="23"/>
      <c r="M19" s="37"/>
      <c r="N19" s="202"/>
      <c r="O19" s="23">
        <v>3294</v>
      </c>
      <c r="P19" s="23"/>
      <c r="Q19" s="72">
        <v>525165</v>
      </c>
      <c r="R19" s="227" t="s">
        <v>3210</v>
      </c>
      <c r="S19" s="202"/>
      <c r="T19" s="23"/>
      <c r="U19" s="202"/>
    </row>
    <row r="20" spans="2:21" s="22" customFormat="1">
      <c r="B20" s="22" t="s">
        <v>3204</v>
      </c>
      <c r="C20" s="22" t="s">
        <v>3229</v>
      </c>
      <c r="D20" s="22" t="s">
        <v>3245</v>
      </c>
      <c r="F20" s="23">
        <v>1</v>
      </c>
      <c r="G20" s="202"/>
      <c r="I20" s="202"/>
      <c r="K20" s="202"/>
      <c r="L20" s="23"/>
      <c r="M20" s="37"/>
      <c r="N20" s="202"/>
      <c r="O20" s="23"/>
      <c r="P20" s="23"/>
      <c r="Q20" s="23"/>
      <c r="R20" s="23"/>
      <c r="S20" s="202"/>
      <c r="T20" s="23"/>
      <c r="U20" s="202"/>
    </row>
    <row r="21" spans="2:21" s="22" customFormat="1">
      <c r="B21" s="22" t="s">
        <v>3204</v>
      </c>
      <c r="C21" s="22" t="s">
        <v>3229</v>
      </c>
      <c r="D21" s="22" t="s">
        <v>3246</v>
      </c>
      <c r="E21" s="22" t="s">
        <v>3247</v>
      </c>
      <c r="F21" s="23">
        <v>1</v>
      </c>
      <c r="G21" s="202"/>
      <c r="H21" s="22" t="s">
        <v>865</v>
      </c>
      <c r="I21" s="202"/>
      <c r="K21" s="202"/>
      <c r="L21" s="23"/>
      <c r="M21" s="37"/>
      <c r="N21" s="202"/>
      <c r="O21" s="23">
        <v>5700</v>
      </c>
      <c r="P21" s="23"/>
      <c r="Q21" s="72">
        <v>2372733</v>
      </c>
      <c r="R21" s="227" t="s">
        <v>3210</v>
      </c>
      <c r="S21" s="202"/>
      <c r="T21" s="23"/>
      <c r="U21" s="202"/>
    </row>
    <row r="22" spans="2:21" s="22" customFormat="1">
      <c r="B22" s="22" t="s">
        <v>3204</v>
      </c>
      <c r="C22" s="22" t="s">
        <v>3229</v>
      </c>
      <c r="D22" s="22" t="s">
        <v>3248</v>
      </c>
      <c r="E22" s="22" t="s">
        <v>3249</v>
      </c>
      <c r="F22" s="23">
        <v>1</v>
      </c>
      <c r="G22" s="202"/>
      <c r="H22" s="22" t="s">
        <v>3250</v>
      </c>
      <c r="I22" s="202"/>
      <c r="K22" s="202"/>
      <c r="L22" s="23"/>
      <c r="M22" s="37"/>
      <c r="N22" s="202"/>
      <c r="O22" s="23">
        <v>1306</v>
      </c>
      <c r="P22" s="23"/>
      <c r="Q22" s="72">
        <v>177463</v>
      </c>
      <c r="R22" s="227" t="s">
        <v>3210</v>
      </c>
      <c r="S22" s="202"/>
      <c r="T22" s="23"/>
      <c r="U22" s="202"/>
    </row>
    <row r="23" spans="2:21" s="22" customFormat="1">
      <c r="B23" s="22" t="s">
        <v>3204</v>
      </c>
      <c r="C23" s="22" t="s">
        <v>3229</v>
      </c>
      <c r="D23" s="22" t="s">
        <v>3251</v>
      </c>
      <c r="F23" s="23">
        <v>1</v>
      </c>
      <c r="G23" s="202"/>
      <c r="I23" s="202"/>
      <c r="K23" s="202"/>
      <c r="L23" s="23"/>
      <c r="M23" s="37"/>
      <c r="N23" s="202"/>
      <c r="O23" s="23"/>
      <c r="P23" s="23"/>
      <c r="Q23" s="23"/>
      <c r="R23" s="23"/>
      <c r="S23" s="202"/>
      <c r="T23" s="23"/>
      <c r="U23" s="202"/>
    </row>
    <row r="24" spans="2:21" s="22" customFormat="1">
      <c r="B24" s="22" t="s">
        <v>3204</v>
      </c>
      <c r="C24" s="22" t="s">
        <v>3229</v>
      </c>
      <c r="D24" s="22" t="s">
        <v>3252</v>
      </c>
      <c r="E24" s="22" t="s">
        <v>3253</v>
      </c>
      <c r="F24" s="23">
        <v>1</v>
      </c>
      <c r="G24" s="202"/>
      <c r="I24" s="202"/>
      <c r="K24" s="202"/>
      <c r="L24" s="23"/>
      <c r="M24" s="37"/>
      <c r="N24" s="202"/>
      <c r="O24" s="23"/>
      <c r="P24" s="23"/>
      <c r="Q24" s="23"/>
      <c r="R24" s="23"/>
      <c r="S24" s="202"/>
      <c r="T24" s="23"/>
      <c r="U24" s="202"/>
    </row>
    <row r="25" spans="2:21" s="22" customFormat="1">
      <c r="B25" s="22" t="s">
        <v>3204</v>
      </c>
      <c r="C25" s="22" t="s">
        <v>3229</v>
      </c>
      <c r="D25" s="22" t="s">
        <v>3254</v>
      </c>
      <c r="E25" s="22" t="s">
        <v>3255</v>
      </c>
      <c r="F25" s="23">
        <v>1</v>
      </c>
      <c r="G25" s="202"/>
      <c r="H25" s="22" t="s">
        <v>3256</v>
      </c>
      <c r="I25" s="202"/>
      <c r="K25" s="202"/>
      <c r="L25" s="23"/>
      <c r="M25" s="37"/>
      <c r="N25" s="202"/>
      <c r="O25" s="23">
        <v>752</v>
      </c>
      <c r="P25" s="23"/>
      <c r="Q25" s="72">
        <v>200000</v>
      </c>
      <c r="R25" s="227" t="s">
        <v>3210</v>
      </c>
      <c r="S25" s="202"/>
      <c r="T25" s="23"/>
      <c r="U25" s="202"/>
    </row>
    <row r="26" spans="2:21" s="22" customFormat="1">
      <c r="B26" s="22" t="s">
        <v>3204</v>
      </c>
      <c r="C26" s="22" t="s">
        <v>3229</v>
      </c>
      <c r="D26" s="22" t="s">
        <v>3257</v>
      </c>
      <c r="E26" s="22" t="s">
        <v>3258</v>
      </c>
      <c r="F26" s="23">
        <v>1</v>
      </c>
      <c r="G26" s="202"/>
      <c r="H26" s="22" t="s">
        <v>867</v>
      </c>
      <c r="I26" s="202"/>
      <c r="K26" s="202"/>
      <c r="L26" s="23"/>
      <c r="M26" s="37"/>
      <c r="N26" s="202"/>
      <c r="O26" s="23">
        <v>1312</v>
      </c>
      <c r="P26" s="23"/>
      <c r="Q26" s="72">
        <v>140494</v>
      </c>
      <c r="R26" s="227" t="s">
        <v>3210</v>
      </c>
      <c r="S26" s="202"/>
      <c r="T26" s="23"/>
      <c r="U26" s="202"/>
    </row>
    <row r="27" spans="2:21" s="22" customFormat="1">
      <c r="B27" s="22" t="s">
        <v>3204</v>
      </c>
      <c r="C27" s="22" t="s">
        <v>3229</v>
      </c>
      <c r="D27" s="22" t="s">
        <v>3259</v>
      </c>
      <c r="E27" s="22" t="s">
        <v>3260</v>
      </c>
      <c r="F27" s="23">
        <v>1</v>
      </c>
      <c r="G27" s="202"/>
      <c r="H27" s="22" t="s">
        <v>3261</v>
      </c>
      <c r="I27" s="202"/>
      <c r="K27" s="202"/>
      <c r="L27" s="23"/>
      <c r="M27" s="37"/>
      <c r="N27" s="202"/>
      <c r="O27" s="23">
        <v>1800</v>
      </c>
      <c r="P27" s="23"/>
      <c r="Q27" s="23" t="s">
        <v>1859</v>
      </c>
      <c r="R27" s="227" t="s">
        <v>3210</v>
      </c>
      <c r="S27" s="202"/>
      <c r="T27" s="23"/>
      <c r="U27" s="202"/>
    </row>
    <row r="28" spans="2:21" s="22" customFormat="1">
      <c r="B28" s="22" t="s">
        <v>3204</v>
      </c>
      <c r="C28" s="22" t="s">
        <v>3229</v>
      </c>
      <c r="D28" s="22" t="s">
        <v>3262</v>
      </c>
      <c r="E28" s="22" t="s">
        <v>3263</v>
      </c>
      <c r="F28" s="23">
        <v>1</v>
      </c>
      <c r="G28" s="205"/>
      <c r="H28" s="22" t="s">
        <v>3264</v>
      </c>
      <c r="I28" s="205"/>
      <c r="K28" s="205"/>
      <c r="M28" s="37"/>
      <c r="N28" s="205"/>
      <c r="O28" s="23">
        <v>99</v>
      </c>
      <c r="Q28" s="72">
        <v>10188</v>
      </c>
      <c r="R28" s="227" t="s">
        <v>3210</v>
      </c>
      <c r="S28" s="205"/>
      <c r="T28" s="23"/>
      <c r="U28" s="205"/>
    </row>
    <row r="29" spans="2:21" s="22" customFormat="1">
      <c r="B29" s="22" t="s">
        <v>3204</v>
      </c>
      <c r="C29" s="22" t="s">
        <v>3229</v>
      </c>
      <c r="D29" s="22" t="s">
        <v>3265</v>
      </c>
      <c r="E29" s="22" t="s">
        <v>3266</v>
      </c>
      <c r="F29" s="23">
        <v>1</v>
      </c>
      <c r="G29" s="202"/>
      <c r="H29" s="22" t="s">
        <v>3267</v>
      </c>
      <c r="I29" s="202"/>
      <c r="K29" s="202"/>
      <c r="M29" s="37"/>
      <c r="N29" s="202"/>
      <c r="O29" s="23">
        <v>698</v>
      </c>
      <c r="Q29" s="72">
        <v>61500</v>
      </c>
      <c r="R29" s="227" t="s">
        <v>3210</v>
      </c>
      <c r="S29" s="202"/>
      <c r="T29" s="23"/>
      <c r="U29" s="202"/>
    </row>
    <row r="30" spans="2:21" s="22" customFormat="1">
      <c r="B30" s="22" t="s">
        <v>3204</v>
      </c>
      <c r="C30" s="22" t="s">
        <v>3229</v>
      </c>
      <c r="D30" s="22" t="s">
        <v>3268</v>
      </c>
      <c r="E30" s="22" t="s">
        <v>3269</v>
      </c>
      <c r="F30" s="23">
        <v>1</v>
      </c>
      <c r="G30" s="202"/>
      <c r="H30" s="22" t="s">
        <v>3270</v>
      </c>
      <c r="I30" s="202"/>
      <c r="K30" s="202"/>
      <c r="M30" s="37"/>
      <c r="N30" s="202"/>
      <c r="O30" s="23">
        <v>1274</v>
      </c>
      <c r="Q30" s="228">
        <v>157728</v>
      </c>
      <c r="R30" s="227" t="s">
        <v>3210</v>
      </c>
      <c r="S30" s="202"/>
      <c r="T30" s="23"/>
      <c r="U30" s="202"/>
    </row>
    <row r="31" spans="2:21" s="22" customFormat="1">
      <c r="B31" s="22" t="s">
        <v>3204</v>
      </c>
      <c r="C31" s="22" t="s">
        <v>3229</v>
      </c>
      <c r="D31" s="22" t="s">
        <v>3271</v>
      </c>
      <c r="E31" s="22" t="s">
        <v>3272</v>
      </c>
      <c r="F31" s="23">
        <v>1</v>
      </c>
      <c r="G31" s="205"/>
      <c r="H31" s="22" t="s">
        <v>3273</v>
      </c>
      <c r="I31" s="205"/>
      <c r="K31" s="205"/>
      <c r="M31" s="37"/>
      <c r="N31" s="205"/>
      <c r="O31" s="23" t="s">
        <v>1859</v>
      </c>
      <c r="Q31" s="23" t="s">
        <v>1859</v>
      </c>
      <c r="R31" s="227" t="s">
        <v>3210</v>
      </c>
      <c r="S31" s="205"/>
      <c r="T31" s="23"/>
      <c r="U31" s="205"/>
    </row>
    <row r="32" spans="2:21" s="22" customFormat="1">
      <c r="B32" s="22" t="s">
        <v>3204</v>
      </c>
      <c r="C32" s="22" t="s">
        <v>3229</v>
      </c>
      <c r="D32" s="22" t="s">
        <v>3274</v>
      </c>
      <c r="F32" s="23">
        <v>1</v>
      </c>
      <c r="G32" s="205"/>
      <c r="I32" s="205"/>
      <c r="K32" s="205"/>
      <c r="M32" s="37"/>
      <c r="N32" s="205"/>
      <c r="O32" s="23">
        <v>135</v>
      </c>
      <c r="Q32" s="23">
        <v>14225</v>
      </c>
      <c r="R32" s="227" t="s">
        <v>3210</v>
      </c>
      <c r="S32" s="205"/>
      <c r="T32" s="23"/>
      <c r="U32" s="205"/>
    </row>
    <row r="33" spans="2:21" s="22" customFormat="1">
      <c r="B33" s="22" t="s">
        <v>3204</v>
      </c>
      <c r="C33" s="22" t="s">
        <v>3229</v>
      </c>
      <c r="D33" s="22" t="s">
        <v>3275</v>
      </c>
      <c r="F33" s="23">
        <v>1</v>
      </c>
      <c r="G33" s="202"/>
      <c r="I33" s="202"/>
      <c r="K33" s="202"/>
      <c r="L33" s="23"/>
      <c r="M33" s="37"/>
      <c r="N33" s="202"/>
      <c r="O33" s="23"/>
      <c r="P33" s="23"/>
      <c r="Q33" s="23"/>
      <c r="R33" s="23"/>
      <c r="S33" s="202"/>
      <c r="T33" s="23"/>
      <c r="U33" s="202"/>
    </row>
    <row r="34" spans="2:21" s="22" customFormat="1">
      <c r="B34" s="22" t="s">
        <v>3204</v>
      </c>
      <c r="C34" s="22" t="s">
        <v>3229</v>
      </c>
      <c r="D34" s="22" t="s">
        <v>3276</v>
      </c>
      <c r="E34" s="22" t="s">
        <v>3277</v>
      </c>
      <c r="F34" s="23">
        <v>1</v>
      </c>
      <c r="G34" s="202"/>
      <c r="H34" s="22" t="s">
        <v>3278</v>
      </c>
      <c r="I34" s="202"/>
      <c r="K34" s="202"/>
      <c r="L34" s="23"/>
      <c r="M34" s="37"/>
      <c r="N34" s="202"/>
      <c r="O34" s="23">
        <v>2369</v>
      </c>
      <c r="P34" s="23"/>
      <c r="Q34" s="72">
        <v>185798</v>
      </c>
      <c r="R34" s="227" t="s">
        <v>3210</v>
      </c>
      <c r="S34" s="202"/>
      <c r="T34" s="23"/>
      <c r="U34" s="202"/>
    </row>
    <row r="35" spans="2:21" s="22" customFormat="1">
      <c r="B35" s="22" t="s">
        <v>3204</v>
      </c>
      <c r="C35" s="22" t="s">
        <v>3229</v>
      </c>
      <c r="D35" s="22" t="s">
        <v>3279</v>
      </c>
      <c r="F35" s="23">
        <v>1</v>
      </c>
      <c r="G35" s="202"/>
      <c r="I35" s="202"/>
      <c r="K35" s="202"/>
      <c r="L35" s="23"/>
      <c r="M35" s="37"/>
      <c r="N35" s="202"/>
      <c r="O35" s="23"/>
      <c r="P35" s="23"/>
      <c r="Q35" s="23"/>
      <c r="R35" s="23"/>
      <c r="S35" s="202"/>
      <c r="T35" s="23"/>
      <c r="U35" s="202"/>
    </row>
    <row r="36" spans="2:21" s="22" customFormat="1">
      <c r="B36" s="22" t="s">
        <v>3204</v>
      </c>
      <c r="C36" s="22" t="s">
        <v>3229</v>
      </c>
      <c r="D36" s="22" t="s">
        <v>3280</v>
      </c>
      <c r="E36" s="22" t="s">
        <v>3281</v>
      </c>
      <c r="F36" s="23">
        <v>1</v>
      </c>
      <c r="G36" s="202"/>
      <c r="H36" s="22" t="s">
        <v>3282</v>
      </c>
      <c r="I36" s="202"/>
      <c r="K36" s="202"/>
      <c r="L36" s="23"/>
      <c r="M36" s="37"/>
      <c r="N36" s="202"/>
      <c r="O36" s="23"/>
      <c r="P36" s="23"/>
      <c r="Q36" s="23"/>
      <c r="R36" s="23"/>
      <c r="S36" s="202"/>
      <c r="T36" s="23"/>
      <c r="U36" s="202"/>
    </row>
    <row r="37" spans="2:21" s="22" customFormat="1">
      <c r="B37" s="22" t="s">
        <v>3204</v>
      </c>
      <c r="C37" s="22" t="s">
        <v>3229</v>
      </c>
      <c r="D37" s="22" t="s">
        <v>3283</v>
      </c>
      <c r="E37" s="22" t="s">
        <v>3284</v>
      </c>
      <c r="F37" s="23">
        <v>1</v>
      </c>
      <c r="G37" s="202"/>
      <c r="H37" s="22" t="s">
        <v>3285</v>
      </c>
      <c r="I37" s="202"/>
      <c r="K37" s="202"/>
      <c r="L37" s="23"/>
      <c r="M37" s="37"/>
      <c r="N37" s="202"/>
      <c r="O37" s="72">
        <v>9000</v>
      </c>
      <c r="P37" s="23"/>
      <c r="Q37" s="72">
        <v>5000000</v>
      </c>
      <c r="R37" s="227" t="s">
        <v>3210</v>
      </c>
      <c r="S37" s="202"/>
      <c r="T37" s="23"/>
      <c r="U37" s="202"/>
    </row>
    <row r="38" spans="2:21" s="22" customFormat="1">
      <c r="B38" s="22" t="s">
        <v>3204</v>
      </c>
      <c r="C38" s="22" t="s">
        <v>3229</v>
      </c>
      <c r="D38" s="22" t="s">
        <v>3286</v>
      </c>
      <c r="E38" s="22" t="s">
        <v>3287</v>
      </c>
      <c r="F38" s="23">
        <v>1</v>
      </c>
      <c r="G38" s="202"/>
      <c r="H38" s="22" t="s">
        <v>865</v>
      </c>
      <c r="I38" s="202"/>
      <c r="K38" s="202"/>
      <c r="L38" s="23"/>
      <c r="M38" s="37"/>
      <c r="N38" s="202"/>
      <c r="O38" s="23" t="s">
        <v>1859</v>
      </c>
      <c r="P38" s="23"/>
      <c r="Q38" s="72">
        <v>2000000</v>
      </c>
      <c r="R38" s="227" t="s">
        <v>3210</v>
      </c>
      <c r="S38" s="202"/>
      <c r="T38" s="23"/>
      <c r="U38" s="202"/>
    </row>
    <row r="39" spans="2:21" s="22" customFormat="1">
      <c r="B39" s="22" t="s">
        <v>3204</v>
      </c>
      <c r="C39" s="22" t="s">
        <v>3229</v>
      </c>
      <c r="D39" s="22" t="s">
        <v>3288</v>
      </c>
      <c r="E39" s="22" t="s">
        <v>3289</v>
      </c>
      <c r="F39" s="23">
        <v>1</v>
      </c>
      <c r="G39" s="202"/>
      <c r="H39" s="22" t="s">
        <v>3290</v>
      </c>
      <c r="I39" s="202"/>
      <c r="K39" s="202"/>
      <c r="L39" s="23"/>
      <c r="M39" s="37"/>
      <c r="N39" s="202"/>
      <c r="O39" s="23">
        <v>547</v>
      </c>
      <c r="P39" s="23"/>
      <c r="Q39" s="72">
        <v>53630</v>
      </c>
      <c r="R39" s="227" t="s">
        <v>3210</v>
      </c>
      <c r="S39" s="202"/>
      <c r="T39" s="23"/>
      <c r="U39" s="202"/>
    </row>
    <row r="40" spans="2:21" s="22" customFormat="1">
      <c r="B40" s="22" t="s">
        <v>3204</v>
      </c>
      <c r="C40" s="22" t="s">
        <v>3229</v>
      </c>
      <c r="D40" s="22" t="s">
        <v>3291</v>
      </c>
      <c r="E40" s="22" t="s">
        <v>3292</v>
      </c>
      <c r="F40" s="23">
        <v>1</v>
      </c>
      <c r="G40" s="205"/>
      <c r="H40" s="22" t="s">
        <v>3293</v>
      </c>
      <c r="I40" s="205"/>
      <c r="K40" s="205"/>
      <c r="M40" s="37"/>
      <c r="N40" s="205"/>
      <c r="O40" s="23">
        <v>416</v>
      </c>
      <c r="Q40" s="72">
        <v>64000</v>
      </c>
      <c r="R40" s="227" t="s">
        <v>3210</v>
      </c>
      <c r="S40" s="205"/>
      <c r="T40" s="23"/>
      <c r="U40" s="205"/>
    </row>
    <row r="41" spans="2:21" s="22" customFormat="1">
      <c r="B41" s="22" t="s">
        <v>3204</v>
      </c>
      <c r="C41" s="22" t="s">
        <v>3229</v>
      </c>
      <c r="D41" s="22" t="s">
        <v>3294</v>
      </c>
      <c r="E41" s="22" t="s">
        <v>3295</v>
      </c>
      <c r="F41" s="23">
        <v>1</v>
      </c>
      <c r="G41" s="205"/>
      <c r="H41" s="22" t="s">
        <v>3296</v>
      </c>
      <c r="I41" s="205"/>
      <c r="K41" s="205"/>
      <c r="M41" s="37"/>
      <c r="N41" s="205"/>
      <c r="O41" s="23">
        <v>326</v>
      </c>
      <c r="Q41" s="72">
        <v>15218</v>
      </c>
      <c r="R41" s="227" t="s">
        <v>3210</v>
      </c>
      <c r="S41" s="205"/>
      <c r="T41" s="23"/>
      <c r="U41" s="205"/>
    </row>
    <row r="42" spans="2:21" s="22" customFormat="1">
      <c r="B42" s="22" t="s">
        <v>3204</v>
      </c>
      <c r="C42" s="22" t="s">
        <v>3229</v>
      </c>
      <c r="D42" s="22" t="s">
        <v>3297</v>
      </c>
      <c r="E42" s="22" t="s">
        <v>3298</v>
      </c>
      <c r="F42" s="23">
        <v>1</v>
      </c>
      <c r="G42" s="205"/>
      <c r="H42" s="22" t="s">
        <v>3299</v>
      </c>
      <c r="I42" s="205"/>
      <c r="K42" s="205"/>
      <c r="M42" s="37"/>
      <c r="N42" s="205"/>
      <c r="O42" s="23">
        <v>250</v>
      </c>
      <c r="Q42" s="72">
        <v>40000</v>
      </c>
      <c r="R42" s="227" t="s">
        <v>3210</v>
      </c>
      <c r="S42" s="205"/>
      <c r="T42" s="23"/>
      <c r="U42" s="205"/>
    </row>
    <row r="43" spans="2:21" s="22" customFormat="1">
      <c r="B43" s="22" t="s">
        <v>3204</v>
      </c>
      <c r="C43" s="22" t="s">
        <v>3229</v>
      </c>
      <c r="D43" s="22" t="s">
        <v>3300</v>
      </c>
      <c r="E43" s="22" t="s">
        <v>3301</v>
      </c>
      <c r="F43" s="23">
        <v>1</v>
      </c>
      <c r="G43" s="205"/>
      <c r="H43" s="22" t="s">
        <v>3296</v>
      </c>
      <c r="I43" s="205"/>
      <c r="K43" s="205"/>
      <c r="M43" s="37"/>
      <c r="N43" s="205"/>
      <c r="O43" s="23">
        <v>1643</v>
      </c>
      <c r="Q43" s="72">
        <v>49227</v>
      </c>
      <c r="R43" s="227" t="s">
        <v>3210</v>
      </c>
      <c r="S43" s="205"/>
      <c r="T43" s="23"/>
      <c r="U43" s="205"/>
    </row>
    <row r="44" spans="2:21" s="22" customFormat="1">
      <c r="B44" s="22" t="s">
        <v>3204</v>
      </c>
      <c r="C44" s="22" t="s">
        <v>3229</v>
      </c>
      <c r="D44" s="22" t="s">
        <v>3302</v>
      </c>
      <c r="E44" s="22" t="s">
        <v>3303</v>
      </c>
      <c r="F44" s="23">
        <v>1</v>
      </c>
      <c r="G44" s="202"/>
      <c r="H44" s="22" t="s">
        <v>3232</v>
      </c>
      <c r="I44" s="202"/>
      <c r="K44" s="202"/>
      <c r="L44" s="23"/>
      <c r="M44" s="37"/>
      <c r="N44" s="202"/>
      <c r="O44" s="23">
        <v>1800</v>
      </c>
      <c r="P44" s="23"/>
      <c r="Q44" s="72">
        <v>2500000</v>
      </c>
      <c r="R44" s="227" t="s">
        <v>3210</v>
      </c>
      <c r="S44" s="202"/>
      <c r="T44" s="23"/>
      <c r="U44" s="202"/>
    </row>
    <row r="45" spans="2:21" s="22" customFormat="1">
      <c r="B45" s="22" t="s">
        <v>3204</v>
      </c>
      <c r="C45" s="22" t="s">
        <v>3229</v>
      </c>
      <c r="D45" s="22" t="s">
        <v>3304</v>
      </c>
      <c r="E45" s="22" t="s">
        <v>3305</v>
      </c>
      <c r="F45" s="23">
        <v>1</v>
      </c>
      <c r="G45" s="202"/>
      <c r="H45" s="22" t="s">
        <v>3306</v>
      </c>
      <c r="I45" s="202"/>
      <c r="K45" s="202"/>
      <c r="L45" s="23"/>
      <c r="M45" s="37"/>
      <c r="N45" s="202"/>
      <c r="O45" s="23">
        <v>96</v>
      </c>
      <c r="P45" s="23"/>
      <c r="Q45" s="23">
        <v>6200</v>
      </c>
      <c r="R45" s="227" t="s">
        <v>3210</v>
      </c>
      <c r="S45" s="202"/>
      <c r="T45" s="23"/>
      <c r="U45" s="202"/>
    </row>
    <row r="46" spans="2:21" s="22" customFormat="1">
      <c r="B46" s="22" t="s">
        <v>3204</v>
      </c>
      <c r="C46" s="22" t="s">
        <v>3229</v>
      </c>
      <c r="D46" s="22" t="s">
        <v>3307</v>
      </c>
      <c r="E46" s="22" t="s">
        <v>3308</v>
      </c>
      <c r="F46" s="23">
        <v>1</v>
      </c>
      <c r="G46" s="205"/>
      <c r="H46" s="22" t="s">
        <v>3309</v>
      </c>
      <c r="I46" s="205"/>
      <c r="K46" s="205"/>
      <c r="L46" s="72"/>
      <c r="M46" s="37"/>
      <c r="N46" s="205"/>
      <c r="O46" s="23">
        <v>500</v>
      </c>
      <c r="P46" s="23"/>
      <c r="Q46" s="23" t="s">
        <v>3310</v>
      </c>
      <c r="R46" s="227" t="s">
        <v>3210</v>
      </c>
      <c r="S46" s="205"/>
      <c r="T46" s="23"/>
      <c r="U46" s="205"/>
    </row>
    <row r="47" spans="2:21" s="22" customFormat="1">
      <c r="B47" s="22" t="s">
        <v>3204</v>
      </c>
      <c r="C47" s="22" t="s">
        <v>3229</v>
      </c>
      <c r="D47" s="22" t="s">
        <v>3311</v>
      </c>
      <c r="E47" s="22" t="s">
        <v>3312</v>
      </c>
      <c r="F47" s="23">
        <v>1</v>
      </c>
      <c r="G47" s="202"/>
      <c r="H47" s="22" t="s">
        <v>3285</v>
      </c>
      <c r="I47" s="202"/>
      <c r="J47" s="23">
        <v>53</v>
      </c>
      <c r="K47" s="202"/>
      <c r="L47" s="23">
        <v>40</v>
      </c>
      <c r="M47" s="37" t="s">
        <v>3313</v>
      </c>
      <c r="N47" s="202"/>
      <c r="O47" s="72">
        <v>44696</v>
      </c>
      <c r="P47" s="23"/>
      <c r="Q47" s="72">
        <v>16266920</v>
      </c>
      <c r="R47" s="227" t="s">
        <v>3210</v>
      </c>
      <c r="S47" s="202"/>
      <c r="T47" s="23"/>
      <c r="U47" s="202"/>
    </row>
    <row r="48" spans="2:21" s="22" customFormat="1">
      <c r="B48" s="22" t="s">
        <v>3204</v>
      </c>
      <c r="C48" s="22" t="s">
        <v>3229</v>
      </c>
      <c r="D48" s="22" t="s">
        <v>3314</v>
      </c>
      <c r="E48" s="22" t="s">
        <v>3315</v>
      </c>
      <c r="F48" s="23">
        <v>1</v>
      </c>
      <c r="G48" s="205"/>
      <c r="H48" s="22" t="s">
        <v>3316</v>
      </c>
      <c r="I48" s="205"/>
      <c r="K48" s="205"/>
      <c r="M48" s="37"/>
      <c r="N48" s="205"/>
      <c r="O48" s="72" t="s">
        <v>1859</v>
      </c>
      <c r="P48" s="23"/>
      <c r="Q48" s="72">
        <v>5000</v>
      </c>
      <c r="R48" s="227" t="s">
        <v>3210</v>
      </c>
      <c r="S48" s="205"/>
      <c r="T48" s="23"/>
      <c r="U48" s="205"/>
    </row>
    <row r="49" spans="2:21" s="22" customFormat="1">
      <c r="B49" s="22" t="s">
        <v>3204</v>
      </c>
      <c r="C49" s="22" t="s">
        <v>3229</v>
      </c>
      <c r="D49" s="22" t="s">
        <v>3317</v>
      </c>
      <c r="E49" s="22" t="s">
        <v>3318</v>
      </c>
      <c r="F49" s="23">
        <v>1</v>
      </c>
      <c r="G49" s="205"/>
      <c r="H49" s="22" t="s">
        <v>3319</v>
      </c>
      <c r="I49" s="205"/>
      <c r="K49" s="205"/>
      <c r="L49" s="23"/>
      <c r="M49" s="37"/>
      <c r="N49" s="205"/>
      <c r="O49" s="72">
        <v>94</v>
      </c>
      <c r="P49" s="23"/>
      <c r="Q49" s="72">
        <v>8716</v>
      </c>
      <c r="R49" s="227" t="s">
        <v>3210</v>
      </c>
      <c r="S49" s="205"/>
      <c r="T49" s="23"/>
      <c r="U49" s="205"/>
    </row>
    <row r="50" spans="2:21" s="22" customFormat="1">
      <c r="B50" s="22" t="s">
        <v>3204</v>
      </c>
      <c r="C50" s="22" t="s">
        <v>3229</v>
      </c>
      <c r="D50" s="22" t="s">
        <v>3320</v>
      </c>
      <c r="E50" s="22" t="s">
        <v>3321</v>
      </c>
      <c r="F50" s="23">
        <v>1</v>
      </c>
      <c r="G50" s="202"/>
      <c r="I50" s="202"/>
      <c r="K50" s="202"/>
      <c r="L50" s="23"/>
      <c r="M50" s="37"/>
      <c r="N50" s="202"/>
      <c r="O50" s="23"/>
      <c r="P50" s="23"/>
      <c r="Q50" s="23"/>
      <c r="R50" s="227"/>
      <c r="S50" s="202"/>
      <c r="T50" s="23"/>
      <c r="U50" s="202"/>
    </row>
    <row r="51" spans="2:21" s="22" customFormat="1">
      <c r="B51" s="22" t="s">
        <v>3204</v>
      </c>
      <c r="C51" s="22" t="s">
        <v>3229</v>
      </c>
      <c r="D51" s="22" t="s">
        <v>3322</v>
      </c>
      <c r="E51" s="22" t="s">
        <v>3323</v>
      </c>
      <c r="F51" s="23">
        <v>1</v>
      </c>
      <c r="G51" s="202"/>
      <c r="H51" s="22" t="s">
        <v>3324</v>
      </c>
      <c r="I51" s="202"/>
      <c r="K51" s="202"/>
      <c r="L51" s="23"/>
      <c r="M51" s="37"/>
      <c r="N51" s="202"/>
      <c r="O51" s="23">
        <v>816</v>
      </c>
      <c r="P51" s="23"/>
      <c r="Q51" s="72">
        <v>50000</v>
      </c>
      <c r="R51" s="227" t="s">
        <v>3210</v>
      </c>
      <c r="S51" s="202"/>
      <c r="T51" s="23"/>
      <c r="U51" s="202"/>
    </row>
    <row r="52" spans="2:21" s="22" customFormat="1">
      <c r="B52" s="22" t="s">
        <v>3204</v>
      </c>
      <c r="C52" s="22" t="s">
        <v>3229</v>
      </c>
      <c r="D52" s="22" t="s">
        <v>3325</v>
      </c>
      <c r="E52" s="22" t="s">
        <v>3326</v>
      </c>
      <c r="F52" s="23">
        <v>1</v>
      </c>
      <c r="G52" s="202"/>
      <c r="H52" s="22" t="s">
        <v>3327</v>
      </c>
      <c r="I52" s="202"/>
      <c r="K52" s="202"/>
      <c r="L52" s="23"/>
      <c r="M52" s="37"/>
      <c r="N52" s="202"/>
      <c r="O52" s="23">
        <v>998</v>
      </c>
      <c r="P52" s="23"/>
      <c r="Q52" s="23" t="s">
        <v>1859</v>
      </c>
      <c r="R52" s="227" t="s">
        <v>3210</v>
      </c>
      <c r="S52" s="202"/>
      <c r="T52" s="23"/>
      <c r="U52" s="202"/>
    </row>
    <row r="53" spans="2:21" s="22" customFormat="1">
      <c r="F53" s="23"/>
      <c r="G53" s="202"/>
      <c r="I53" s="202"/>
      <c r="K53" s="202"/>
      <c r="L53" s="23"/>
      <c r="M53" s="37"/>
      <c r="N53" s="202"/>
      <c r="O53" s="23"/>
      <c r="P53" s="23"/>
      <c r="Q53" s="23"/>
      <c r="R53" s="23"/>
      <c r="S53" s="202"/>
      <c r="T53" s="23"/>
      <c r="U53" s="202"/>
    </row>
    <row r="54" spans="2:21" s="22" customFormat="1">
      <c r="F54" s="23"/>
      <c r="G54" s="202"/>
      <c r="I54" s="202"/>
      <c r="K54" s="202"/>
      <c r="L54" s="23"/>
      <c r="M54" s="37"/>
      <c r="N54" s="202"/>
      <c r="O54" s="23"/>
      <c r="P54" s="23"/>
      <c r="Q54" s="23"/>
      <c r="R54" s="23"/>
      <c r="S54" s="202"/>
      <c r="T54" s="23"/>
      <c r="U54" s="202"/>
    </row>
    <row r="55" spans="2:21">
      <c r="B55" s="22" t="s">
        <v>3204</v>
      </c>
      <c r="D55" s="22" t="s">
        <v>3328</v>
      </c>
      <c r="E55" s="22" t="s">
        <v>3329</v>
      </c>
      <c r="F55" s="23">
        <v>1</v>
      </c>
      <c r="G55" s="205"/>
      <c r="H55" s="7" t="s">
        <v>3330</v>
      </c>
      <c r="I55" s="205"/>
      <c r="K55" s="205"/>
      <c r="N55" s="205"/>
      <c r="O55" s="23">
        <v>232</v>
      </c>
      <c r="Q55" s="72">
        <v>20739</v>
      </c>
      <c r="R55" s="227" t="s">
        <v>3210</v>
      </c>
      <c r="S55" s="205"/>
      <c r="U55" s="205"/>
    </row>
    <row r="56" spans="2:21">
      <c r="B56" s="22" t="s">
        <v>3204</v>
      </c>
      <c r="D56" s="22" t="s">
        <v>3331</v>
      </c>
      <c r="E56" s="22" t="s">
        <v>3332</v>
      </c>
      <c r="F56" s="23">
        <v>1</v>
      </c>
      <c r="G56" s="205"/>
      <c r="H56" s="7" t="s">
        <v>3333</v>
      </c>
      <c r="I56" s="205"/>
      <c r="K56" s="205"/>
      <c r="N56" s="205"/>
      <c r="O56" s="23">
        <v>1069</v>
      </c>
      <c r="P56" s="22"/>
      <c r="Q56" s="72">
        <v>134844</v>
      </c>
      <c r="R56" s="227" t="s">
        <v>3210</v>
      </c>
      <c r="S56" s="205"/>
      <c r="U56" s="205"/>
    </row>
    <row r="57" spans="2:21">
      <c r="B57" s="22" t="s">
        <v>3204</v>
      </c>
      <c r="D57" s="22" t="s">
        <v>3334</v>
      </c>
      <c r="E57" s="22" t="s">
        <v>3335</v>
      </c>
      <c r="F57" s="9">
        <v>1</v>
      </c>
      <c r="G57" s="205"/>
      <c r="H57" s="22" t="s">
        <v>3336</v>
      </c>
      <c r="I57" s="205"/>
      <c r="J57" s="22"/>
      <c r="K57" s="205"/>
      <c r="N57" s="205"/>
      <c r="O57" s="23">
        <v>217</v>
      </c>
      <c r="P57" s="22"/>
      <c r="Q57" s="72">
        <v>22740</v>
      </c>
      <c r="R57" s="227" t="s">
        <v>3210</v>
      </c>
      <c r="S57" s="205"/>
      <c r="U57" s="205"/>
    </row>
    <row r="58" spans="2:21">
      <c r="B58" s="22" t="s">
        <v>3204</v>
      </c>
      <c r="D58" s="22" t="s">
        <v>3337</v>
      </c>
      <c r="E58" s="22" t="s">
        <v>3338</v>
      </c>
      <c r="F58" s="9">
        <v>1</v>
      </c>
      <c r="G58" s="205"/>
      <c r="H58" s="22" t="s">
        <v>3339</v>
      </c>
      <c r="I58" s="205"/>
      <c r="J58" s="22"/>
      <c r="K58" s="205"/>
      <c r="N58" s="205"/>
      <c r="O58" s="23">
        <v>150</v>
      </c>
      <c r="P58" s="22"/>
      <c r="Q58" s="72">
        <v>19337</v>
      </c>
      <c r="R58" s="227" t="s">
        <v>3210</v>
      </c>
      <c r="S58" s="205"/>
      <c r="U58" s="205"/>
    </row>
    <row r="59" spans="2:21">
      <c r="B59" s="22" t="s">
        <v>3204</v>
      </c>
      <c r="D59" s="22" t="s">
        <v>3340</v>
      </c>
      <c r="E59" s="22" t="s">
        <v>3341</v>
      </c>
      <c r="F59" s="23">
        <v>1</v>
      </c>
      <c r="G59" s="205"/>
      <c r="H59" s="22" t="s">
        <v>3342</v>
      </c>
      <c r="I59" s="205"/>
      <c r="J59" s="23">
        <v>17</v>
      </c>
      <c r="K59" s="205"/>
      <c r="L59" s="9">
        <v>11</v>
      </c>
      <c r="M59" s="10" t="s">
        <v>3343</v>
      </c>
      <c r="N59" s="205"/>
      <c r="O59" s="23">
        <v>821</v>
      </c>
      <c r="P59" s="22"/>
      <c r="Q59" s="72">
        <v>107379</v>
      </c>
      <c r="R59" s="227" t="s">
        <v>3210</v>
      </c>
      <c r="S59" s="205"/>
      <c r="U59" s="205"/>
    </row>
    <row r="60" spans="2:21">
      <c r="B60" s="22" t="s">
        <v>3204</v>
      </c>
      <c r="D60" s="22" t="s">
        <v>3344</v>
      </c>
      <c r="E60" s="22" t="s">
        <v>3345</v>
      </c>
      <c r="F60" s="9">
        <v>1</v>
      </c>
      <c r="G60" s="205"/>
      <c r="H60" s="22" t="s">
        <v>3346</v>
      </c>
      <c r="I60" s="205"/>
      <c r="J60" s="22"/>
      <c r="K60" s="205"/>
      <c r="N60" s="205"/>
      <c r="O60" s="23">
        <v>260</v>
      </c>
      <c r="P60" s="22"/>
      <c r="Q60" s="72">
        <v>30371</v>
      </c>
      <c r="R60" s="227" t="s">
        <v>3210</v>
      </c>
      <c r="S60" s="205"/>
      <c r="U60" s="205"/>
    </row>
    <row r="61" spans="2:21">
      <c r="B61" s="22" t="s">
        <v>3204</v>
      </c>
      <c r="D61" s="22" t="s">
        <v>3347</v>
      </c>
      <c r="E61" s="22" t="s">
        <v>3348</v>
      </c>
      <c r="F61" s="9">
        <v>1</v>
      </c>
      <c r="G61" s="205"/>
      <c r="H61" s="22" t="s">
        <v>3349</v>
      </c>
      <c r="I61" s="205"/>
      <c r="J61" s="22"/>
      <c r="K61" s="205"/>
      <c r="N61" s="205"/>
      <c r="O61" s="23">
        <v>56</v>
      </c>
      <c r="P61" s="22"/>
      <c r="Q61" s="72">
        <v>6299</v>
      </c>
      <c r="R61" s="227" t="s">
        <v>3210</v>
      </c>
      <c r="S61" s="205"/>
      <c r="U61" s="205"/>
    </row>
    <row r="62" spans="2:21">
      <c r="B62" s="22" t="s">
        <v>3204</v>
      </c>
      <c r="D62" s="22" t="s">
        <v>3350</v>
      </c>
      <c r="E62" s="22" t="s">
        <v>3351</v>
      </c>
      <c r="F62" s="9">
        <v>1</v>
      </c>
      <c r="G62" s="205"/>
      <c r="H62" s="22" t="s">
        <v>3352</v>
      </c>
      <c r="I62" s="205"/>
      <c r="J62" s="22"/>
      <c r="K62" s="205"/>
      <c r="N62" s="205"/>
      <c r="O62" s="23">
        <v>6</v>
      </c>
      <c r="P62" s="22"/>
      <c r="Q62" s="72">
        <v>2800</v>
      </c>
      <c r="R62" s="227" t="s">
        <v>3210</v>
      </c>
      <c r="S62" s="205"/>
      <c r="U62" s="205"/>
    </row>
    <row r="63" spans="2:21">
      <c r="B63" s="22" t="s">
        <v>3204</v>
      </c>
      <c r="D63" s="22" t="s">
        <v>3353</v>
      </c>
      <c r="E63" s="22" t="s">
        <v>3354</v>
      </c>
      <c r="F63" s="9">
        <v>1</v>
      </c>
      <c r="G63" s="205"/>
      <c r="H63" s="22" t="s">
        <v>3355</v>
      </c>
      <c r="I63" s="205"/>
      <c r="J63" s="22"/>
      <c r="K63" s="205"/>
      <c r="L63" s="7"/>
      <c r="N63" s="205"/>
      <c r="O63" s="23">
        <v>117</v>
      </c>
      <c r="P63" s="22"/>
      <c r="Q63" s="72">
        <v>10287</v>
      </c>
      <c r="R63" s="227" t="s">
        <v>3210</v>
      </c>
      <c r="S63" s="205"/>
      <c r="U63" s="205"/>
    </row>
    <row r="64" spans="2:21" s="22" customFormat="1">
      <c r="F64" s="23"/>
      <c r="G64" s="202"/>
      <c r="I64" s="202"/>
      <c r="K64" s="202"/>
      <c r="L64" s="23"/>
      <c r="M64" s="37"/>
      <c r="N64" s="202"/>
      <c r="O64" s="23"/>
      <c r="P64" s="23"/>
      <c r="Q64" s="23"/>
      <c r="R64" s="23"/>
      <c r="S64" s="202"/>
      <c r="T64" s="23"/>
      <c r="U64" s="202"/>
    </row>
    <row r="65" spans="2:23" s="22" customFormat="1">
      <c r="B65" s="22" t="s">
        <v>3204</v>
      </c>
      <c r="C65" s="77" t="s">
        <v>3356</v>
      </c>
      <c r="D65" s="22" t="s">
        <v>3357</v>
      </c>
      <c r="E65" s="22" t="s">
        <v>3358</v>
      </c>
      <c r="F65" s="23">
        <v>1</v>
      </c>
      <c r="G65" s="202"/>
      <c r="H65" s="22" t="s">
        <v>3359</v>
      </c>
      <c r="I65" s="202"/>
      <c r="K65" s="202"/>
      <c r="L65" s="23"/>
      <c r="M65" s="37"/>
      <c r="N65" s="202"/>
      <c r="O65" s="23">
        <v>70</v>
      </c>
      <c r="P65" s="23"/>
      <c r="Q65" s="72">
        <v>16000</v>
      </c>
      <c r="R65" s="227" t="s">
        <v>3210</v>
      </c>
      <c r="S65" s="202"/>
      <c r="T65" s="23"/>
      <c r="U65" s="202"/>
    </row>
    <row r="66" spans="2:23" s="22" customFormat="1">
      <c r="B66" s="22" t="s">
        <v>3204</v>
      </c>
      <c r="C66" s="77" t="s">
        <v>3356</v>
      </c>
      <c r="D66" s="22" t="s">
        <v>3360</v>
      </c>
      <c r="E66" s="22" t="s">
        <v>3361</v>
      </c>
      <c r="F66" s="9">
        <v>1</v>
      </c>
      <c r="G66" s="205"/>
      <c r="H66" s="22" t="s">
        <v>3362</v>
      </c>
      <c r="I66" s="205"/>
      <c r="K66" s="205"/>
      <c r="L66" s="7"/>
      <c r="M66" s="10"/>
      <c r="N66" s="205"/>
      <c r="O66" s="23">
        <v>60</v>
      </c>
      <c r="Q66" s="72">
        <v>90000</v>
      </c>
      <c r="R66" s="227" t="s">
        <v>3210</v>
      </c>
      <c r="S66" s="205"/>
      <c r="T66" s="9"/>
      <c r="U66" s="205"/>
      <c r="V66" s="7"/>
      <c r="W66" s="7"/>
    </row>
    <row r="67" spans="2:23" s="22" customFormat="1">
      <c r="B67" s="22" t="s">
        <v>3204</v>
      </c>
      <c r="C67" s="77" t="s">
        <v>3356</v>
      </c>
      <c r="D67" s="22" t="s">
        <v>3363</v>
      </c>
      <c r="E67" s="22" t="s">
        <v>3364</v>
      </c>
      <c r="F67" s="23">
        <v>1</v>
      </c>
      <c r="G67" s="202"/>
      <c r="H67" s="22" t="s">
        <v>3365</v>
      </c>
      <c r="I67" s="202"/>
      <c r="K67" s="202"/>
      <c r="L67" s="23"/>
      <c r="M67" s="37"/>
      <c r="N67" s="202"/>
      <c r="O67" s="23">
        <v>276</v>
      </c>
      <c r="P67" s="23"/>
      <c r="Q67" s="72">
        <v>44000</v>
      </c>
      <c r="R67" s="227" t="s">
        <v>3210</v>
      </c>
      <c r="S67" s="202"/>
      <c r="T67" s="23"/>
      <c r="U67" s="202"/>
    </row>
    <row r="68" spans="2:23" s="22" customFormat="1">
      <c r="B68" s="22" t="s">
        <v>3204</v>
      </c>
      <c r="C68" s="77" t="s">
        <v>3356</v>
      </c>
      <c r="D68" s="22" t="s">
        <v>3366</v>
      </c>
      <c r="E68" s="22" t="s">
        <v>3367</v>
      </c>
      <c r="F68" s="23">
        <v>1</v>
      </c>
      <c r="G68" s="202"/>
      <c r="H68" s="22" t="s">
        <v>3368</v>
      </c>
      <c r="I68" s="202"/>
      <c r="K68" s="202"/>
      <c r="L68" s="23"/>
      <c r="M68" s="37"/>
      <c r="N68" s="202"/>
      <c r="O68" s="23">
        <v>110</v>
      </c>
      <c r="P68" s="23"/>
      <c r="Q68" s="72">
        <v>14427</v>
      </c>
      <c r="R68" s="227" t="s">
        <v>3210</v>
      </c>
      <c r="S68" s="202"/>
      <c r="T68" s="23"/>
      <c r="U68" s="202"/>
    </row>
    <row r="69" spans="2:23" s="22" customFormat="1">
      <c r="B69" s="22" t="s">
        <v>3204</v>
      </c>
      <c r="C69" s="77" t="s">
        <v>3356</v>
      </c>
      <c r="D69" s="22" t="s">
        <v>3369</v>
      </c>
      <c r="E69" s="22" t="s">
        <v>3370</v>
      </c>
      <c r="F69" s="23">
        <v>1</v>
      </c>
      <c r="G69" s="202"/>
      <c r="H69" s="22" t="s">
        <v>3371</v>
      </c>
      <c r="I69" s="202"/>
      <c r="K69" s="202"/>
      <c r="L69" s="23"/>
      <c r="M69" s="37"/>
      <c r="N69" s="202"/>
      <c r="O69" s="23">
        <v>87</v>
      </c>
      <c r="P69" s="23"/>
      <c r="Q69" s="72">
        <v>8390</v>
      </c>
      <c r="R69" s="227" t="s">
        <v>3210</v>
      </c>
      <c r="S69" s="202"/>
      <c r="T69" s="23"/>
      <c r="U69" s="202"/>
    </row>
    <row r="70" spans="2:23" s="22" customFormat="1">
      <c r="B70" s="22" t="s">
        <v>3204</v>
      </c>
      <c r="C70" s="77" t="s">
        <v>3356</v>
      </c>
      <c r="D70" s="22" t="s">
        <v>3372</v>
      </c>
      <c r="F70" s="23">
        <v>1</v>
      </c>
      <c r="G70" s="202"/>
      <c r="I70" s="202"/>
      <c r="K70" s="202"/>
      <c r="L70" s="23"/>
      <c r="M70" s="37"/>
      <c r="N70" s="202"/>
      <c r="O70" s="23"/>
      <c r="P70" s="23"/>
      <c r="Q70" s="23"/>
      <c r="R70" s="23"/>
      <c r="S70" s="202"/>
      <c r="T70" s="23"/>
      <c r="U70" s="202"/>
    </row>
    <row r="71" spans="2:23" s="22" customFormat="1">
      <c r="B71" s="22" t="s">
        <v>3204</v>
      </c>
      <c r="C71" s="77" t="s">
        <v>3356</v>
      </c>
      <c r="D71" s="22" t="s">
        <v>3373</v>
      </c>
      <c r="E71" s="22" t="s">
        <v>3374</v>
      </c>
      <c r="F71" s="23">
        <v>1</v>
      </c>
      <c r="G71" s="202"/>
      <c r="H71" s="22" t="s">
        <v>3365</v>
      </c>
      <c r="I71" s="202"/>
      <c r="J71" s="23">
        <v>19</v>
      </c>
      <c r="K71" s="202"/>
      <c r="L71" s="23">
        <v>17</v>
      </c>
      <c r="M71" s="37" t="s">
        <v>3375</v>
      </c>
      <c r="N71" s="202"/>
      <c r="O71" s="23">
        <v>1273</v>
      </c>
      <c r="P71" s="23"/>
      <c r="Q71" s="72">
        <v>336000</v>
      </c>
      <c r="R71" s="227" t="s">
        <v>3210</v>
      </c>
      <c r="S71" s="202"/>
      <c r="T71" s="23"/>
      <c r="U71" s="202"/>
    </row>
    <row r="72" spans="2:23" s="22" customFormat="1">
      <c r="B72" s="22" t="s">
        <v>3204</v>
      </c>
      <c r="C72" s="77" t="s">
        <v>3356</v>
      </c>
      <c r="D72" s="22" t="s">
        <v>3376</v>
      </c>
      <c r="E72" s="22" t="s">
        <v>3377</v>
      </c>
      <c r="F72" s="23">
        <v>1</v>
      </c>
      <c r="G72" s="202"/>
      <c r="H72" s="22" t="s">
        <v>3342</v>
      </c>
      <c r="I72" s="202"/>
      <c r="K72" s="202"/>
      <c r="M72" s="37"/>
      <c r="N72" s="202"/>
      <c r="O72" s="72">
        <v>10448</v>
      </c>
      <c r="P72" s="23"/>
      <c r="Q72" s="72">
        <v>4709956</v>
      </c>
      <c r="R72" s="227" t="s">
        <v>3210</v>
      </c>
      <c r="S72" s="202"/>
      <c r="T72" s="23"/>
      <c r="U72" s="202"/>
      <c r="V72" s="22" t="s">
        <v>3378</v>
      </c>
    </row>
    <row r="73" spans="2:23" s="22" customFormat="1">
      <c r="B73" s="22" t="s">
        <v>3204</v>
      </c>
      <c r="C73" s="77" t="s">
        <v>3356</v>
      </c>
      <c r="D73" s="22" t="s">
        <v>3379</v>
      </c>
      <c r="F73" s="23">
        <v>1</v>
      </c>
      <c r="G73" s="202"/>
      <c r="I73" s="202"/>
      <c r="K73" s="202"/>
      <c r="L73" s="23"/>
      <c r="M73" s="37"/>
      <c r="N73" s="202"/>
      <c r="O73" s="23"/>
      <c r="P73" s="23"/>
      <c r="Q73" s="23"/>
      <c r="R73" s="23"/>
      <c r="S73" s="202"/>
      <c r="T73" s="23"/>
      <c r="U73" s="202"/>
    </row>
    <row r="74" spans="2:23" s="22" customFormat="1">
      <c r="B74" s="22" t="s">
        <v>3204</v>
      </c>
      <c r="C74" s="77" t="s">
        <v>3356</v>
      </c>
      <c r="D74" s="22" t="s">
        <v>3380</v>
      </c>
      <c r="E74" s="22" t="s">
        <v>3381</v>
      </c>
      <c r="F74" s="23">
        <v>1</v>
      </c>
      <c r="G74" s="205"/>
      <c r="H74" s="22" t="s">
        <v>3382</v>
      </c>
      <c r="I74" s="205"/>
      <c r="K74" s="205"/>
      <c r="M74" s="37"/>
      <c r="N74" s="205"/>
      <c r="O74" s="23">
        <v>131</v>
      </c>
      <c r="Q74" s="72">
        <v>19945</v>
      </c>
      <c r="R74" s="227" t="s">
        <v>3210</v>
      </c>
      <c r="S74" s="205"/>
      <c r="T74" s="23"/>
      <c r="U74" s="205"/>
    </row>
    <row r="75" spans="2:23" s="22" customFormat="1">
      <c r="B75" s="22" t="s">
        <v>3204</v>
      </c>
      <c r="C75" s="77" t="s">
        <v>3356</v>
      </c>
      <c r="D75" s="22" t="s">
        <v>3383</v>
      </c>
      <c r="E75" s="22" t="s">
        <v>3384</v>
      </c>
      <c r="F75" s="9">
        <v>1</v>
      </c>
      <c r="G75" s="205"/>
      <c r="H75" s="22" t="s">
        <v>3385</v>
      </c>
      <c r="I75" s="205"/>
      <c r="K75" s="205"/>
      <c r="L75" s="7"/>
      <c r="M75" s="10"/>
      <c r="N75" s="205"/>
      <c r="O75" s="23">
        <v>60</v>
      </c>
      <c r="Q75" s="72">
        <v>12010</v>
      </c>
      <c r="R75" s="227" t="s">
        <v>3210</v>
      </c>
      <c r="S75" s="205"/>
      <c r="T75" s="9"/>
      <c r="U75" s="205"/>
      <c r="V75" s="7"/>
      <c r="W75" s="7"/>
    </row>
    <row r="76" spans="2:23" s="22" customFormat="1">
      <c r="B76" s="22" t="s">
        <v>3204</v>
      </c>
      <c r="C76" s="77" t="s">
        <v>3356</v>
      </c>
      <c r="D76" s="22" t="s">
        <v>3386</v>
      </c>
      <c r="E76" s="22" t="s">
        <v>3387</v>
      </c>
      <c r="F76" s="23">
        <v>1</v>
      </c>
      <c r="G76" s="202"/>
      <c r="H76" s="22" t="s">
        <v>3388</v>
      </c>
      <c r="I76" s="202"/>
      <c r="K76" s="202"/>
      <c r="L76" s="23">
        <v>35</v>
      </c>
      <c r="M76" s="37"/>
      <c r="N76" s="202"/>
      <c r="O76" s="23">
        <v>6075</v>
      </c>
      <c r="P76" s="23"/>
      <c r="Q76" s="72">
        <v>2383084</v>
      </c>
      <c r="R76" s="227" t="s">
        <v>3210</v>
      </c>
      <c r="S76" s="202"/>
      <c r="T76" s="23"/>
      <c r="U76" s="202"/>
    </row>
    <row r="77" spans="2:23" s="22" customFormat="1">
      <c r="B77" s="22" t="s">
        <v>3204</v>
      </c>
      <c r="C77" s="77" t="s">
        <v>3356</v>
      </c>
      <c r="D77" s="22" t="s">
        <v>3389</v>
      </c>
      <c r="E77" s="22" t="s">
        <v>3390</v>
      </c>
      <c r="F77" s="23">
        <v>1</v>
      </c>
      <c r="G77" s="202"/>
      <c r="H77" s="22" t="s">
        <v>3391</v>
      </c>
      <c r="I77" s="202"/>
      <c r="K77" s="202"/>
      <c r="L77" s="23"/>
      <c r="M77" s="37"/>
      <c r="N77" s="202"/>
      <c r="O77" s="23"/>
      <c r="P77" s="23"/>
      <c r="Q77" s="23"/>
      <c r="R77" s="23"/>
      <c r="S77" s="202"/>
      <c r="T77" s="23"/>
      <c r="U77" s="202"/>
    </row>
    <row r="78" spans="2:23" s="22" customFormat="1">
      <c r="B78" s="22" t="s">
        <v>3204</v>
      </c>
      <c r="C78" s="77" t="s">
        <v>3356</v>
      </c>
      <c r="D78" s="22" t="s">
        <v>3392</v>
      </c>
      <c r="E78" s="22" t="s">
        <v>3393</v>
      </c>
      <c r="F78" s="23">
        <v>1</v>
      </c>
      <c r="G78" s="202"/>
      <c r="H78" s="22" t="s">
        <v>3394</v>
      </c>
      <c r="I78" s="202"/>
      <c r="K78" s="202"/>
      <c r="L78" s="23">
        <v>13</v>
      </c>
      <c r="M78" s="37"/>
      <c r="N78" s="202"/>
      <c r="O78" s="23">
        <v>1264</v>
      </c>
      <c r="P78" s="23"/>
      <c r="Q78" s="72">
        <v>394241</v>
      </c>
      <c r="R78" s="227" t="s">
        <v>3210</v>
      </c>
      <c r="S78" s="202"/>
      <c r="T78" s="23"/>
      <c r="U78" s="202"/>
      <c r="V78" s="22" t="s">
        <v>3395</v>
      </c>
    </row>
    <row r="79" spans="2:23" s="22" customFormat="1">
      <c r="C79" s="77"/>
      <c r="F79" s="23"/>
      <c r="G79" s="202"/>
      <c r="I79" s="202"/>
      <c r="K79" s="202"/>
      <c r="L79" s="23"/>
      <c r="M79" s="37"/>
      <c r="N79" s="202"/>
      <c r="O79" s="23"/>
      <c r="P79" s="23"/>
      <c r="Q79" s="23"/>
      <c r="R79" s="23"/>
      <c r="S79" s="202"/>
      <c r="T79" s="23"/>
      <c r="U79" s="202"/>
    </row>
    <row r="80" spans="2:23" s="22" customFormat="1">
      <c r="C80" s="77"/>
      <c r="F80" s="23"/>
      <c r="G80" s="202"/>
      <c r="I80" s="202"/>
      <c r="K80" s="202"/>
      <c r="L80" s="23"/>
      <c r="M80" s="37"/>
      <c r="N80" s="202"/>
      <c r="O80" s="23"/>
      <c r="P80" s="23"/>
      <c r="Q80" s="23"/>
      <c r="R80" s="23"/>
      <c r="S80" s="202"/>
      <c r="T80" s="23"/>
      <c r="U80" s="202"/>
    </row>
    <row r="81" spans="2:23" s="22" customFormat="1">
      <c r="C81" s="77"/>
      <c r="F81" s="23"/>
      <c r="G81" s="202"/>
      <c r="I81" s="202"/>
      <c r="K81" s="202"/>
      <c r="L81" s="23"/>
      <c r="M81" s="37"/>
      <c r="N81" s="202"/>
      <c r="O81" s="23"/>
      <c r="P81" s="23"/>
      <c r="Q81" s="23"/>
      <c r="R81" s="23"/>
      <c r="S81" s="202"/>
      <c r="T81" s="23"/>
      <c r="U81" s="202"/>
    </row>
    <row r="82" spans="2:23" s="22" customFormat="1">
      <c r="B82" s="22" t="s">
        <v>3204</v>
      </c>
      <c r="C82" s="77" t="s">
        <v>3396</v>
      </c>
      <c r="D82" s="22" t="s">
        <v>3397</v>
      </c>
      <c r="E82" s="22" t="s">
        <v>3398</v>
      </c>
      <c r="F82" s="9">
        <v>1</v>
      </c>
      <c r="G82" s="205"/>
      <c r="H82" s="22" t="s">
        <v>3399</v>
      </c>
      <c r="I82" s="205"/>
      <c r="K82" s="205"/>
      <c r="L82" s="7"/>
      <c r="M82" s="10"/>
      <c r="N82" s="205"/>
      <c r="O82" s="23"/>
      <c r="Q82" s="72">
        <v>5000</v>
      </c>
      <c r="R82" s="227" t="s">
        <v>3210</v>
      </c>
      <c r="S82" s="205"/>
      <c r="T82" s="9"/>
      <c r="U82" s="205"/>
      <c r="V82" s="7"/>
      <c r="W82" s="7"/>
    </row>
    <row r="83" spans="2:23" s="22" customFormat="1">
      <c r="B83" s="22" t="s">
        <v>3204</v>
      </c>
      <c r="C83" s="77" t="s">
        <v>3396</v>
      </c>
      <c r="D83" s="22" t="s">
        <v>3400</v>
      </c>
      <c r="E83" s="22" t="s">
        <v>3401</v>
      </c>
      <c r="F83" s="9">
        <v>1</v>
      </c>
      <c r="G83" s="205"/>
      <c r="H83" s="22" t="s">
        <v>3402</v>
      </c>
      <c r="I83" s="205"/>
      <c r="K83" s="205"/>
      <c r="L83" s="7"/>
      <c r="M83" s="10"/>
      <c r="N83" s="205"/>
      <c r="O83" s="23">
        <v>270</v>
      </c>
      <c r="Q83" s="72">
        <v>35206</v>
      </c>
      <c r="R83" s="227" t="s">
        <v>3210</v>
      </c>
      <c r="S83" s="205"/>
      <c r="T83" s="9"/>
      <c r="U83" s="205"/>
      <c r="V83" s="7"/>
      <c r="W83" s="7"/>
    </row>
    <row r="84" spans="2:23" s="22" customFormat="1">
      <c r="B84" s="22" t="s">
        <v>3204</v>
      </c>
      <c r="C84" s="77" t="s">
        <v>3396</v>
      </c>
      <c r="D84" s="22" t="s">
        <v>3403</v>
      </c>
      <c r="E84" s="12" t="s">
        <v>3404</v>
      </c>
      <c r="F84" s="9">
        <v>1</v>
      </c>
      <c r="G84" s="205"/>
      <c r="H84" s="22" t="s">
        <v>3405</v>
      </c>
      <c r="I84" s="205"/>
      <c r="K84" s="205"/>
      <c r="L84" s="7"/>
      <c r="M84" s="10"/>
      <c r="N84" s="205"/>
      <c r="O84" s="23">
        <v>284</v>
      </c>
      <c r="Q84" s="72">
        <v>41772</v>
      </c>
      <c r="R84" s="227" t="s">
        <v>3210</v>
      </c>
      <c r="S84" s="205"/>
      <c r="T84" s="9"/>
      <c r="U84" s="205"/>
      <c r="V84" s="7"/>
      <c r="W84" s="7"/>
    </row>
    <row r="85" spans="2:23" s="22" customFormat="1">
      <c r="B85" s="22" t="s">
        <v>3204</v>
      </c>
      <c r="C85" s="77" t="s">
        <v>3396</v>
      </c>
      <c r="D85" s="22" t="s">
        <v>3406</v>
      </c>
      <c r="E85" s="22" t="s">
        <v>3407</v>
      </c>
      <c r="F85" s="23">
        <v>1</v>
      </c>
      <c r="G85" s="205"/>
      <c r="H85" s="22" t="s">
        <v>3408</v>
      </c>
      <c r="I85" s="205"/>
      <c r="K85" s="205"/>
      <c r="M85" s="37"/>
      <c r="N85" s="205"/>
      <c r="O85" s="23">
        <v>152</v>
      </c>
      <c r="Q85" s="72">
        <v>15142</v>
      </c>
      <c r="R85" s="227" t="s">
        <v>3210</v>
      </c>
      <c r="S85" s="205"/>
      <c r="T85" s="23"/>
      <c r="U85" s="205"/>
    </row>
    <row r="86" spans="2:23" s="22" customFormat="1">
      <c r="B86" s="22" t="s">
        <v>3204</v>
      </c>
      <c r="C86" s="77" t="s">
        <v>3396</v>
      </c>
      <c r="D86" s="22" t="s">
        <v>3409</v>
      </c>
      <c r="E86" s="7" t="s">
        <v>1645</v>
      </c>
      <c r="F86" s="23">
        <v>1</v>
      </c>
      <c r="G86" s="205"/>
      <c r="H86" s="22" t="s">
        <v>3410</v>
      </c>
      <c r="I86" s="205"/>
      <c r="J86" s="23">
        <v>28</v>
      </c>
      <c r="K86" s="205"/>
      <c r="L86" s="23">
        <v>22</v>
      </c>
      <c r="M86" s="37" t="s">
        <v>3411</v>
      </c>
      <c r="N86" s="205"/>
      <c r="O86" s="23">
        <v>401</v>
      </c>
      <c r="Q86" s="72" t="s">
        <v>1859</v>
      </c>
      <c r="R86" s="227" t="s">
        <v>3210</v>
      </c>
      <c r="S86" s="205"/>
      <c r="T86" s="23"/>
      <c r="U86" s="205"/>
    </row>
    <row r="87" spans="2:23" s="22" customFormat="1">
      <c r="B87" s="22" t="s">
        <v>3204</v>
      </c>
      <c r="C87" s="77" t="s">
        <v>3396</v>
      </c>
      <c r="D87" s="22" t="s">
        <v>3412</v>
      </c>
      <c r="E87" s="22" t="s">
        <v>3413</v>
      </c>
      <c r="F87" s="9">
        <v>1</v>
      </c>
      <c r="G87" s="205"/>
      <c r="H87" s="22" t="s">
        <v>3414</v>
      </c>
      <c r="I87" s="205"/>
      <c r="K87" s="205"/>
      <c r="L87" s="7"/>
      <c r="M87" s="10"/>
      <c r="N87" s="205"/>
      <c r="O87" s="23">
        <v>75</v>
      </c>
      <c r="Q87" s="23" t="s">
        <v>1859</v>
      </c>
      <c r="R87" s="227" t="s">
        <v>3210</v>
      </c>
      <c r="S87" s="205"/>
      <c r="T87" s="9"/>
      <c r="U87" s="205"/>
      <c r="V87" s="7"/>
      <c r="W87" s="7"/>
    </row>
    <row r="88" spans="2:23" s="22" customFormat="1">
      <c r="B88" s="22" t="s">
        <v>3204</v>
      </c>
      <c r="C88" s="77" t="s">
        <v>3396</v>
      </c>
      <c r="D88" s="22" t="s">
        <v>3415</v>
      </c>
      <c r="E88" s="22" t="s">
        <v>3416</v>
      </c>
      <c r="F88" s="23">
        <v>1</v>
      </c>
      <c r="G88" s="205"/>
      <c r="H88" s="22" t="s">
        <v>3417</v>
      </c>
      <c r="I88" s="205"/>
      <c r="K88" s="205"/>
      <c r="M88" s="37"/>
      <c r="N88" s="205"/>
      <c r="O88" s="23">
        <v>207</v>
      </c>
      <c r="Q88" s="72">
        <v>89190</v>
      </c>
      <c r="R88" s="227" t="s">
        <v>3210</v>
      </c>
      <c r="S88" s="205"/>
      <c r="T88" s="23"/>
      <c r="U88" s="205"/>
    </row>
    <row r="89" spans="2:23" s="22" customFormat="1">
      <c r="B89" s="22" t="s">
        <v>3204</v>
      </c>
      <c r="C89" s="77" t="s">
        <v>3396</v>
      </c>
      <c r="D89" s="22" t="s">
        <v>3418</v>
      </c>
      <c r="E89" s="22" t="s">
        <v>3419</v>
      </c>
      <c r="F89" s="23">
        <v>1</v>
      </c>
      <c r="G89" s="205"/>
      <c r="H89" s="22" t="s">
        <v>3420</v>
      </c>
      <c r="I89" s="205"/>
      <c r="K89" s="205"/>
      <c r="M89" s="37"/>
      <c r="N89" s="205"/>
      <c r="O89" s="23">
        <v>300</v>
      </c>
      <c r="Q89" s="72">
        <v>55100</v>
      </c>
      <c r="R89" s="227" t="s">
        <v>3210</v>
      </c>
      <c r="S89" s="205"/>
      <c r="T89" s="23"/>
      <c r="U89" s="205"/>
    </row>
    <row r="90" spans="2:23" s="22" customFormat="1">
      <c r="B90" s="22" t="s">
        <v>3204</v>
      </c>
      <c r="C90" s="77" t="s">
        <v>3396</v>
      </c>
      <c r="D90" s="22" t="s">
        <v>3421</v>
      </c>
      <c r="E90" s="22" t="s">
        <v>3422</v>
      </c>
      <c r="F90" s="23">
        <v>1</v>
      </c>
      <c r="G90" s="205"/>
      <c r="H90" s="22" t="s">
        <v>3423</v>
      </c>
      <c r="I90" s="205"/>
      <c r="K90" s="205"/>
      <c r="M90" s="37"/>
      <c r="N90" s="205"/>
      <c r="O90" s="23">
        <v>432</v>
      </c>
      <c r="Q90" s="72">
        <v>70000</v>
      </c>
      <c r="R90" s="227" t="s">
        <v>3210</v>
      </c>
      <c r="S90" s="205"/>
      <c r="T90" s="23"/>
      <c r="U90" s="205"/>
    </row>
    <row r="91" spans="2:23" s="22" customFormat="1">
      <c r="B91" s="22" t="s">
        <v>3204</v>
      </c>
      <c r="C91" s="77" t="s">
        <v>3396</v>
      </c>
      <c r="D91" s="22" t="s">
        <v>3424</v>
      </c>
      <c r="F91" s="23">
        <v>1</v>
      </c>
      <c r="G91" s="202"/>
      <c r="I91" s="202"/>
      <c r="K91" s="202"/>
      <c r="L91" s="23"/>
      <c r="M91" s="37"/>
      <c r="N91" s="202"/>
      <c r="O91" s="23"/>
      <c r="P91" s="23"/>
      <c r="Q91" s="23"/>
      <c r="R91" s="23"/>
      <c r="S91" s="202"/>
      <c r="T91" s="23"/>
      <c r="U91" s="202"/>
    </row>
    <row r="92" spans="2:23" s="22" customFormat="1">
      <c r="B92" s="22" t="s">
        <v>3204</v>
      </c>
      <c r="C92" s="77" t="s">
        <v>3396</v>
      </c>
      <c r="D92" s="22" t="s">
        <v>3425</v>
      </c>
      <c r="E92" s="22" t="s">
        <v>3426</v>
      </c>
      <c r="F92" s="9">
        <v>1</v>
      </c>
      <c r="G92" s="205"/>
      <c r="H92" s="22" t="s">
        <v>3427</v>
      </c>
      <c r="I92" s="205"/>
      <c r="K92" s="205"/>
      <c r="L92" s="7"/>
      <c r="M92" s="10"/>
      <c r="N92" s="205"/>
      <c r="O92" s="23">
        <v>17</v>
      </c>
      <c r="Q92" s="72">
        <v>5000</v>
      </c>
      <c r="R92" s="227" t="s">
        <v>3210</v>
      </c>
      <c r="S92" s="205"/>
      <c r="T92" s="9"/>
      <c r="U92" s="205"/>
      <c r="V92" s="7"/>
      <c r="W92" s="7"/>
    </row>
    <row r="93" spans="2:23" s="22" customFormat="1">
      <c r="B93" s="22" t="s">
        <v>3204</v>
      </c>
      <c r="C93" s="77" t="s">
        <v>3396</v>
      </c>
      <c r="D93" s="22" t="s">
        <v>3428</v>
      </c>
      <c r="E93" s="22" t="s">
        <v>3429</v>
      </c>
      <c r="F93" s="9">
        <v>1</v>
      </c>
      <c r="G93" s="205"/>
      <c r="H93" s="22" t="s">
        <v>3430</v>
      </c>
      <c r="I93" s="205"/>
      <c r="K93" s="205"/>
      <c r="L93" s="7"/>
      <c r="M93" s="10"/>
      <c r="N93" s="205"/>
      <c r="O93" s="23">
        <v>320</v>
      </c>
      <c r="Q93" s="72">
        <v>28780</v>
      </c>
      <c r="R93" s="227" t="s">
        <v>3210</v>
      </c>
      <c r="S93" s="205"/>
      <c r="T93" s="9"/>
      <c r="U93" s="205"/>
      <c r="V93" s="7"/>
      <c r="W93" s="7"/>
    </row>
    <row r="94" spans="2:23" s="22" customFormat="1">
      <c r="B94" s="22" t="s">
        <v>3204</v>
      </c>
      <c r="C94" s="77" t="s">
        <v>3396</v>
      </c>
      <c r="D94" s="22" t="s">
        <v>3431</v>
      </c>
      <c r="E94" s="22" t="s">
        <v>3432</v>
      </c>
      <c r="F94" s="23">
        <v>1</v>
      </c>
      <c r="G94" s="202"/>
      <c r="H94" s="22" t="s">
        <v>3282</v>
      </c>
      <c r="I94" s="202"/>
      <c r="K94" s="202"/>
      <c r="L94" s="23">
        <v>16</v>
      </c>
      <c r="M94" s="37"/>
      <c r="N94" s="202"/>
      <c r="O94" s="72">
        <v>10820</v>
      </c>
      <c r="P94" s="23"/>
      <c r="Q94" s="72">
        <v>2941412</v>
      </c>
      <c r="R94" s="227" t="s">
        <v>3210</v>
      </c>
      <c r="S94" s="202"/>
      <c r="T94" s="23"/>
      <c r="U94" s="202"/>
      <c r="V94" s="22" t="s">
        <v>3433</v>
      </c>
    </row>
    <row r="95" spans="2:23" s="22" customFormat="1">
      <c r="B95" s="22" t="s">
        <v>3204</v>
      </c>
      <c r="C95" s="77" t="s">
        <v>3396</v>
      </c>
      <c r="D95" s="22" t="s">
        <v>3434</v>
      </c>
      <c r="E95" s="22" t="s">
        <v>3435</v>
      </c>
      <c r="F95" s="23">
        <v>1</v>
      </c>
      <c r="G95" s="202"/>
      <c r="H95" s="229" t="s">
        <v>3436</v>
      </c>
      <c r="I95" s="202"/>
      <c r="J95" s="229"/>
      <c r="K95" s="202"/>
      <c r="L95" s="23">
        <v>88</v>
      </c>
      <c r="M95" s="37"/>
      <c r="N95" s="202"/>
      <c r="O95" s="23">
        <v>1593</v>
      </c>
      <c r="P95" s="23"/>
      <c r="Q95" s="72">
        <v>340736</v>
      </c>
      <c r="R95" s="37" t="s">
        <v>3437</v>
      </c>
      <c r="S95" s="202"/>
      <c r="T95" s="23"/>
      <c r="U95" s="202"/>
    </row>
    <row r="96" spans="2:23" s="22" customFormat="1">
      <c r="B96" s="22" t="s">
        <v>3204</v>
      </c>
      <c r="C96" s="77" t="s">
        <v>3396</v>
      </c>
      <c r="D96" s="22" t="s">
        <v>3438</v>
      </c>
      <c r="F96" s="23">
        <v>1</v>
      </c>
      <c r="G96" s="202"/>
      <c r="I96" s="202"/>
      <c r="K96" s="202"/>
      <c r="L96" s="23"/>
      <c r="M96" s="37"/>
      <c r="N96" s="202"/>
      <c r="O96" s="23"/>
      <c r="P96" s="23"/>
      <c r="Q96" s="23"/>
      <c r="R96" s="23"/>
      <c r="S96" s="202"/>
      <c r="T96" s="23"/>
      <c r="U96" s="202"/>
    </row>
    <row r="97" spans="2:21" s="22" customFormat="1">
      <c r="B97" s="22" t="s">
        <v>3204</v>
      </c>
      <c r="C97" s="77" t="s">
        <v>3396</v>
      </c>
      <c r="D97" s="22" t="s">
        <v>3439</v>
      </c>
      <c r="E97" s="22" t="s">
        <v>3440</v>
      </c>
      <c r="F97" s="23">
        <v>1</v>
      </c>
      <c r="G97" s="202"/>
      <c r="H97" s="22" t="s">
        <v>3441</v>
      </c>
      <c r="I97" s="202"/>
      <c r="K97" s="202"/>
      <c r="L97" s="23"/>
      <c r="M97" s="37"/>
      <c r="N97" s="202"/>
      <c r="O97" s="23">
        <v>80</v>
      </c>
      <c r="P97" s="23"/>
      <c r="Q97" s="23">
        <v>6347</v>
      </c>
      <c r="R97" s="227" t="s">
        <v>3210</v>
      </c>
      <c r="S97" s="202"/>
      <c r="T97" s="23"/>
      <c r="U97" s="202"/>
    </row>
    <row r="98" spans="2:21" s="22" customFormat="1">
      <c r="B98" s="22" t="s">
        <v>3204</v>
      </c>
      <c r="C98" s="77" t="s">
        <v>3396</v>
      </c>
      <c r="D98" s="22" t="s">
        <v>3442</v>
      </c>
      <c r="F98" s="23">
        <v>1</v>
      </c>
      <c r="G98" s="202"/>
      <c r="I98" s="202"/>
      <c r="K98" s="202"/>
      <c r="L98" s="23"/>
      <c r="M98" s="37"/>
      <c r="N98" s="202"/>
      <c r="O98" s="23"/>
      <c r="P98" s="23"/>
      <c r="Q98" s="23"/>
      <c r="R98" s="23"/>
      <c r="S98" s="202"/>
      <c r="T98" s="23"/>
      <c r="U98" s="202"/>
    </row>
    <row r="99" spans="2:21">
      <c r="G99" s="202"/>
      <c r="I99" s="202"/>
      <c r="K99" s="202"/>
      <c r="N99" s="202"/>
      <c r="S99" s="202"/>
      <c r="U99" s="202"/>
    </row>
    <row r="100" spans="2:21">
      <c r="B100" s="22" t="s">
        <v>3204</v>
      </c>
      <c r="C100" s="7" t="s">
        <v>3443</v>
      </c>
      <c r="D100" s="22" t="s">
        <v>3444</v>
      </c>
      <c r="E100" s="22" t="s">
        <v>3445</v>
      </c>
      <c r="F100" s="23">
        <v>1</v>
      </c>
      <c r="G100" s="205"/>
      <c r="H100" s="7" t="s">
        <v>3446</v>
      </c>
      <c r="I100" s="205"/>
      <c r="K100" s="205"/>
      <c r="N100" s="205"/>
      <c r="O100" s="23">
        <v>3731</v>
      </c>
      <c r="P100" s="22"/>
      <c r="Q100" s="72">
        <v>689507</v>
      </c>
      <c r="R100" s="227" t="s">
        <v>3210</v>
      </c>
      <c r="S100" s="205"/>
      <c r="U100" s="205"/>
    </row>
    <row r="101" spans="2:21">
      <c r="B101" s="22" t="s">
        <v>3204</v>
      </c>
      <c r="C101" s="7" t="s">
        <v>3443</v>
      </c>
      <c r="D101" s="22" t="s">
        <v>3447</v>
      </c>
      <c r="E101" s="22" t="s">
        <v>3448</v>
      </c>
      <c r="F101" s="9">
        <v>1</v>
      </c>
      <c r="G101" s="205"/>
      <c r="H101" s="22" t="s">
        <v>3449</v>
      </c>
      <c r="I101" s="205"/>
      <c r="J101" s="22"/>
      <c r="K101" s="205"/>
      <c r="N101" s="205"/>
      <c r="O101" s="23">
        <v>5471</v>
      </c>
      <c r="P101" s="22"/>
      <c r="Q101" s="72">
        <v>1439253</v>
      </c>
      <c r="R101" s="227" t="s">
        <v>3210</v>
      </c>
      <c r="S101" s="205"/>
      <c r="U101" s="205"/>
    </row>
    <row r="102" spans="2:21">
      <c r="B102" s="22" t="s">
        <v>3204</v>
      </c>
      <c r="C102" s="7" t="s">
        <v>3443</v>
      </c>
      <c r="D102" s="22" t="s">
        <v>3450</v>
      </c>
      <c r="E102" s="22" t="s">
        <v>3451</v>
      </c>
      <c r="F102" s="9">
        <v>1</v>
      </c>
      <c r="G102" s="205"/>
      <c r="H102" s="22" t="s">
        <v>3452</v>
      </c>
      <c r="I102" s="205"/>
      <c r="J102" s="22"/>
      <c r="K102" s="205"/>
      <c r="N102" s="205"/>
      <c r="O102" s="23">
        <v>1496</v>
      </c>
      <c r="P102" s="22"/>
      <c r="Q102" s="72">
        <v>122181</v>
      </c>
      <c r="R102" s="227" t="s">
        <v>3210</v>
      </c>
      <c r="S102" s="205"/>
      <c r="U102" s="205"/>
    </row>
    <row r="103" spans="2:21">
      <c r="B103" s="22" t="s">
        <v>3204</v>
      </c>
      <c r="C103" s="7" t="s">
        <v>3443</v>
      </c>
      <c r="D103" s="22" t="s">
        <v>3453</v>
      </c>
      <c r="E103" s="22" t="s">
        <v>3454</v>
      </c>
      <c r="F103" s="9">
        <v>1</v>
      </c>
      <c r="G103" s="205"/>
      <c r="H103" s="22" t="s">
        <v>3455</v>
      </c>
      <c r="I103" s="205"/>
      <c r="J103" s="22"/>
      <c r="K103" s="205"/>
      <c r="N103" s="205"/>
      <c r="O103" s="72">
        <v>13000</v>
      </c>
      <c r="P103" s="22"/>
      <c r="Q103" s="72">
        <v>1639495</v>
      </c>
      <c r="R103" s="227" t="s">
        <v>3210</v>
      </c>
      <c r="S103" s="205"/>
      <c r="U103" s="205"/>
    </row>
    <row r="104" spans="2:21">
      <c r="B104" s="22" t="s">
        <v>3204</v>
      </c>
      <c r="C104" s="7" t="s">
        <v>3443</v>
      </c>
      <c r="D104" s="22" t="s">
        <v>3456</v>
      </c>
      <c r="E104" s="22" t="s">
        <v>3457</v>
      </c>
      <c r="F104" s="9">
        <v>1</v>
      </c>
      <c r="G104" s="205"/>
      <c r="H104" s="22" t="s">
        <v>3420</v>
      </c>
      <c r="I104" s="205"/>
      <c r="J104" s="22"/>
      <c r="K104" s="205"/>
      <c r="N104" s="205"/>
      <c r="O104" s="23">
        <v>99</v>
      </c>
      <c r="P104" s="22"/>
      <c r="Q104" s="72">
        <v>79161</v>
      </c>
      <c r="R104" s="227" t="s">
        <v>3210</v>
      </c>
      <c r="S104" s="205"/>
      <c r="U104" s="205"/>
    </row>
    <row r="105" spans="2:21">
      <c r="G105" s="202"/>
      <c r="I105" s="202"/>
      <c r="K105" s="202"/>
      <c r="N105" s="202"/>
      <c r="S105" s="202"/>
      <c r="U105" s="202"/>
    </row>
    <row r="106" spans="2:21" s="22" customFormat="1">
      <c r="F106" s="23"/>
      <c r="G106" s="202"/>
      <c r="I106" s="202"/>
      <c r="K106" s="202"/>
      <c r="L106" s="23"/>
      <c r="M106" s="37"/>
      <c r="N106" s="202"/>
      <c r="O106" s="23"/>
      <c r="P106" s="23"/>
      <c r="Q106" s="23"/>
      <c r="R106" s="23"/>
      <c r="S106" s="202"/>
      <c r="T106" s="23"/>
      <c r="U106" s="202"/>
    </row>
    <row r="107" spans="2:21">
      <c r="B107" s="22" t="s">
        <v>3204</v>
      </c>
      <c r="C107" s="77" t="s">
        <v>3458</v>
      </c>
      <c r="D107" s="22" t="s">
        <v>3459</v>
      </c>
      <c r="E107" s="22" t="s">
        <v>3460</v>
      </c>
      <c r="F107" s="9">
        <v>1</v>
      </c>
      <c r="G107" s="205"/>
      <c r="H107" s="22" t="s">
        <v>3461</v>
      </c>
      <c r="I107" s="205"/>
      <c r="J107" s="22"/>
      <c r="K107" s="205"/>
      <c r="L107" s="7"/>
      <c r="N107" s="205"/>
      <c r="O107" s="23">
        <v>29</v>
      </c>
      <c r="P107" s="22"/>
      <c r="Q107" s="23">
        <v>7630</v>
      </c>
      <c r="R107" s="227" t="s">
        <v>3210</v>
      </c>
      <c r="S107" s="205"/>
      <c r="U107" s="205"/>
    </row>
    <row r="108" spans="2:21" s="22" customFormat="1">
      <c r="B108" s="22" t="s">
        <v>3204</v>
      </c>
      <c r="C108" s="77" t="s">
        <v>3458</v>
      </c>
      <c r="D108" s="22" t="s">
        <v>3462</v>
      </c>
      <c r="E108" s="22" t="s">
        <v>3463</v>
      </c>
      <c r="F108" s="23">
        <v>1</v>
      </c>
      <c r="G108" s="202"/>
      <c r="H108" s="22" t="s">
        <v>3427</v>
      </c>
      <c r="I108" s="202"/>
      <c r="K108" s="202"/>
      <c r="L108" s="23"/>
      <c r="M108" s="37"/>
      <c r="N108" s="202"/>
      <c r="O108" s="23">
        <v>781</v>
      </c>
      <c r="P108" s="23"/>
      <c r="Q108" s="72">
        <v>185665</v>
      </c>
      <c r="R108" s="227" t="s">
        <v>3210</v>
      </c>
      <c r="S108" s="202"/>
      <c r="T108" s="23"/>
      <c r="U108" s="202"/>
    </row>
    <row r="109" spans="2:21" s="22" customFormat="1">
      <c r="B109" s="22" t="s">
        <v>3204</v>
      </c>
      <c r="C109" s="77" t="s">
        <v>3458</v>
      </c>
      <c r="D109" s="22" t="s">
        <v>3464</v>
      </c>
      <c r="E109" s="22" t="s">
        <v>3465</v>
      </c>
      <c r="F109" s="23">
        <v>1</v>
      </c>
      <c r="G109" s="205"/>
      <c r="H109" s="22" t="s">
        <v>3217</v>
      </c>
      <c r="I109" s="205"/>
      <c r="K109" s="205"/>
      <c r="M109" s="37"/>
      <c r="N109" s="205"/>
      <c r="O109" s="23">
        <v>891</v>
      </c>
      <c r="P109" s="23"/>
      <c r="Q109" s="72">
        <v>264863</v>
      </c>
      <c r="R109" s="227" t="s">
        <v>3210</v>
      </c>
      <c r="S109" s="205"/>
      <c r="T109" s="23"/>
      <c r="U109" s="205"/>
    </row>
    <row r="110" spans="2:21" s="22" customFormat="1">
      <c r="F110" s="23"/>
      <c r="G110" s="202"/>
      <c r="I110" s="202"/>
      <c r="K110" s="202"/>
      <c r="L110" s="23"/>
      <c r="M110" s="37"/>
      <c r="N110" s="202"/>
      <c r="O110" s="23"/>
      <c r="P110" s="23"/>
      <c r="Q110" s="23"/>
      <c r="R110" s="23"/>
      <c r="S110" s="202"/>
      <c r="T110" s="23"/>
      <c r="U110" s="202"/>
    </row>
    <row r="111" spans="2:21" s="22" customFormat="1">
      <c r="B111" s="22" t="s">
        <v>3204</v>
      </c>
      <c r="C111" s="77" t="s">
        <v>3466</v>
      </c>
      <c r="D111" s="22" t="s">
        <v>3467</v>
      </c>
      <c r="E111" s="22" t="s">
        <v>3468</v>
      </c>
      <c r="F111" s="23">
        <v>1</v>
      </c>
      <c r="G111" s="202"/>
      <c r="H111" s="22" t="s">
        <v>3469</v>
      </c>
      <c r="I111" s="202"/>
      <c r="K111" s="202"/>
      <c r="L111" s="23"/>
      <c r="M111" s="37"/>
      <c r="N111" s="202"/>
      <c r="O111" s="23">
        <v>5377</v>
      </c>
      <c r="P111" s="23"/>
      <c r="Q111" s="72">
        <v>1145281</v>
      </c>
      <c r="R111" s="227" t="s">
        <v>3210</v>
      </c>
      <c r="S111" s="202"/>
      <c r="T111" s="23"/>
      <c r="U111" s="202"/>
    </row>
    <row r="112" spans="2:21" s="22" customFormat="1">
      <c r="F112" s="23"/>
      <c r="G112" s="202"/>
      <c r="I112" s="202"/>
      <c r="K112" s="202"/>
      <c r="L112" s="23"/>
      <c r="M112" s="37"/>
      <c r="N112" s="202"/>
      <c r="O112" s="23"/>
      <c r="P112" s="23"/>
      <c r="Q112" s="23"/>
      <c r="R112" s="23"/>
      <c r="S112" s="202"/>
      <c r="T112" s="23"/>
      <c r="U112" s="202"/>
    </row>
    <row r="113" spans="2:22" s="22" customFormat="1">
      <c r="B113" s="22" t="s">
        <v>3204</v>
      </c>
      <c r="C113" s="22" t="s">
        <v>3470</v>
      </c>
      <c r="D113" s="22" t="s">
        <v>3471</v>
      </c>
      <c r="E113" s="22" t="s">
        <v>3472</v>
      </c>
      <c r="F113" s="23">
        <v>1</v>
      </c>
      <c r="G113" s="202"/>
      <c r="H113" s="22" t="s">
        <v>3285</v>
      </c>
      <c r="I113" s="202"/>
      <c r="K113" s="202"/>
      <c r="L113" s="23">
        <v>17</v>
      </c>
      <c r="M113" s="37"/>
      <c r="N113" s="202"/>
      <c r="O113" s="72">
        <v>7130</v>
      </c>
      <c r="P113" s="72"/>
      <c r="Q113" s="72">
        <v>1857186</v>
      </c>
      <c r="R113" s="227" t="s">
        <v>3210</v>
      </c>
      <c r="S113" s="202"/>
      <c r="T113" s="72"/>
      <c r="U113" s="202"/>
      <c r="V113" s="22" t="s">
        <v>3473</v>
      </c>
    </row>
    <row r="114" spans="2:22" s="22" customFormat="1">
      <c r="B114" s="22" t="s">
        <v>3204</v>
      </c>
      <c r="C114" s="22" t="s">
        <v>3470</v>
      </c>
      <c r="D114" s="22" t="s">
        <v>3474</v>
      </c>
      <c r="E114" s="22" t="s">
        <v>3475</v>
      </c>
      <c r="F114" s="23">
        <v>1</v>
      </c>
      <c r="G114" s="202"/>
      <c r="H114" s="22" t="s">
        <v>3476</v>
      </c>
      <c r="I114" s="202"/>
      <c r="K114" s="202"/>
      <c r="L114" s="23"/>
      <c r="M114" s="37"/>
      <c r="N114" s="202"/>
      <c r="O114" s="23">
        <v>3337</v>
      </c>
      <c r="P114" s="23"/>
      <c r="Q114" s="72">
        <v>14000000</v>
      </c>
      <c r="R114" s="227" t="s">
        <v>3210</v>
      </c>
      <c r="S114" s="202"/>
      <c r="T114" s="23"/>
      <c r="U114" s="202"/>
    </row>
    <row r="115" spans="2:22" s="22" customFormat="1">
      <c r="B115" s="22" t="s">
        <v>3204</v>
      </c>
      <c r="C115" s="22" t="s">
        <v>3470</v>
      </c>
      <c r="D115" s="22" t="s">
        <v>3477</v>
      </c>
      <c r="E115" s="22" t="s">
        <v>3478</v>
      </c>
      <c r="F115" s="23">
        <v>1</v>
      </c>
      <c r="G115" s="202"/>
      <c r="H115" s="22" t="s">
        <v>3479</v>
      </c>
      <c r="I115" s="202"/>
      <c r="K115" s="202"/>
      <c r="L115" s="23"/>
      <c r="M115" s="37"/>
      <c r="N115" s="202"/>
      <c r="O115" s="23">
        <v>3500</v>
      </c>
      <c r="P115" s="23"/>
      <c r="Q115" s="72">
        <v>850000</v>
      </c>
      <c r="R115" s="227" t="s">
        <v>3210</v>
      </c>
      <c r="S115" s="202"/>
      <c r="T115" s="23"/>
      <c r="U115" s="202"/>
    </row>
    <row r="116" spans="2:22" s="22" customFormat="1">
      <c r="B116" s="22" t="s">
        <v>3204</v>
      </c>
      <c r="C116" s="22" t="s">
        <v>3470</v>
      </c>
      <c r="D116" s="22" t="s">
        <v>3480</v>
      </c>
      <c r="E116" s="22" t="s">
        <v>2321</v>
      </c>
      <c r="F116" s="23">
        <v>1</v>
      </c>
      <c r="G116" s="202"/>
      <c r="H116" s="22" t="s">
        <v>3481</v>
      </c>
      <c r="I116" s="202"/>
      <c r="J116" s="23">
        <v>79</v>
      </c>
      <c r="K116" s="202"/>
      <c r="L116" s="23">
        <v>78</v>
      </c>
      <c r="M116" s="37" t="s">
        <v>3375</v>
      </c>
      <c r="N116" s="202"/>
      <c r="O116" s="72">
        <v>4689</v>
      </c>
      <c r="P116" s="72"/>
      <c r="Q116" s="72">
        <v>645048</v>
      </c>
      <c r="R116" s="227" t="s">
        <v>3210</v>
      </c>
      <c r="S116" s="202"/>
      <c r="T116" s="72"/>
      <c r="U116" s="202"/>
      <c r="V116" s="22" t="s">
        <v>3482</v>
      </c>
    </row>
    <row r="117" spans="2:22" s="22" customFormat="1">
      <c r="B117" s="22" t="s">
        <v>3204</v>
      </c>
      <c r="C117" s="22" t="s">
        <v>3470</v>
      </c>
      <c r="D117" s="22" t="s">
        <v>3483</v>
      </c>
      <c r="E117" s="22" t="s">
        <v>3484</v>
      </c>
      <c r="F117" s="23">
        <v>1</v>
      </c>
      <c r="G117" s="205"/>
      <c r="H117" s="22" t="s">
        <v>3365</v>
      </c>
      <c r="I117" s="205"/>
      <c r="K117" s="205"/>
      <c r="M117" s="37"/>
      <c r="N117" s="205"/>
      <c r="O117" s="23">
        <v>135</v>
      </c>
      <c r="Q117" s="72">
        <v>15011</v>
      </c>
      <c r="R117" s="227"/>
      <c r="S117" s="205"/>
      <c r="T117" s="72"/>
      <c r="U117" s="205"/>
    </row>
    <row r="118" spans="2:22" s="22" customFormat="1">
      <c r="B118" s="22" t="s">
        <v>3204</v>
      </c>
      <c r="C118" s="22" t="s">
        <v>3470</v>
      </c>
      <c r="D118" s="22" t="s">
        <v>3485</v>
      </c>
      <c r="E118" s="22" t="s">
        <v>3486</v>
      </c>
      <c r="F118" s="23">
        <v>1</v>
      </c>
      <c r="G118" s="205"/>
      <c r="H118" s="22" t="s">
        <v>863</v>
      </c>
      <c r="I118" s="205"/>
      <c r="K118" s="205"/>
      <c r="M118" s="37"/>
      <c r="N118" s="205"/>
      <c r="O118" s="23">
        <v>108</v>
      </c>
      <c r="Q118" s="23">
        <v>7348</v>
      </c>
      <c r="R118" s="227"/>
      <c r="S118" s="205"/>
      <c r="T118" s="72"/>
      <c r="U118" s="205"/>
    </row>
    <row r="119" spans="2:22" s="22" customFormat="1">
      <c r="B119" s="22" t="s">
        <v>3204</v>
      </c>
      <c r="C119" s="22" t="s">
        <v>3470</v>
      </c>
      <c r="D119" s="22" t="s">
        <v>3487</v>
      </c>
      <c r="E119" s="22" t="s">
        <v>3488</v>
      </c>
      <c r="F119" s="23">
        <v>1</v>
      </c>
      <c r="G119" s="202"/>
      <c r="H119" s="22" t="s">
        <v>863</v>
      </c>
      <c r="I119" s="202"/>
      <c r="K119" s="202"/>
      <c r="L119" s="23"/>
      <c r="M119" s="37"/>
      <c r="N119" s="202"/>
      <c r="O119" s="23">
        <v>979</v>
      </c>
      <c r="P119" s="23"/>
      <c r="Q119" s="72">
        <v>71171</v>
      </c>
      <c r="R119" s="227" t="s">
        <v>3210</v>
      </c>
      <c r="S119" s="202"/>
      <c r="T119" s="23"/>
      <c r="U119" s="202"/>
    </row>
    <row r="120" spans="2:22" s="22" customFormat="1">
      <c r="B120" s="22" t="s">
        <v>3204</v>
      </c>
      <c r="C120" s="22" t="s">
        <v>3470</v>
      </c>
      <c r="D120" s="22" t="s">
        <v>3489</v>
      </c>
      <c r="E120" s="22" t="s">
        <v>3490</v>
      </c>
      <c r="F120" s="23">
        <v>1</v>
      </c>
      <c r="G120" s="205"/>
      <c r="H120" s="22" t="s">
        <v>3491</v>
      </c>
      <c r="I120" s="205"/>
      <c r="K120" s="205"/>
      <c r="M120" s="37"/>
      <c r="N120" s="205"/>
      <c r="O120" s="23">
        <v>187</v>
      </c>
      <c r="Q120" s="72">
        <v>14738</v>
      </c>
      <c r="R120" s="227"/>
      <c r="S120" s="205"/>
      <c r="T120" s="23"/>
      <c r="U120" s="205"/>
    </row>
    <row r="121" spans="2:22" s="22" customFormat="1">
      <c r="B121" s="22" t="s">
        <v>3204</v>
      </c>
      <c r="C121" s="22" t="s">
        <v>3470</v>
      </c>
      <c r="D121" s="22" t="s">
        <v>3492</v>
      </c>
      <c r="E121" s="22" t="s">
        <v>3493</v>
      </c>
      <c r="F121" s="23">
        <v>1</v>
      </c>
      <c r="G121" s="202"/>
      <c r="H121" s="73" t="s">
        <v>3494</v>
      </c>
      <c r="I121" s="202"/>
      <c r="J121" s="73"/>
      <c r="K121" s="202"/>
      <c r="L121" s="23"/>
      <c r="M121" s="37"/>
      <c r="N121" s="202"/>
      <c r="O121" s="23"/>
      <c r="P121" s="23"/>
      <c r="Q121" s="23"/>
      <c r="R121" s="23"/>
      <c r="S121" s="202"/>
      <c r="T121" s="23"/>
      <c r="U121" s="202"/>
    </row>
    <row r="122" spans="2:22" s="22" customFormat="1">
      <c r="B122" s="22" t="s">
        <v>3204</v>
      </c>
      <c r="C122" s="22" t="s">
        <v>3470</v>
      </c>
      <c r="D122" s="22" t="s">
        <v>3495</v>
      </c>
      <c r="F122" s="23">
        <v>1</v>
      </c>
      <c r="G122" s="202"/>
      <c r="I122" s="202"/>
      <c r="K122" s="202"/>
      <c r="L122" s="23"/>
      <c r="M122" s="37"/>
      <c r="N122" s="202"/>
      <c r="O122" s="23"/>
      <c r="P122" s="23"/>
      <c r="Q122" s="23"/>
      <c r="R122" s="23"/>
      <c r="S122" s="202"/>
      <c r="T122" s="23"/>
      <c r="U122" s="202"/>
    </row>
    <row r="123" spans="2:22" s="22" customFormat="1">
      <c r="B123" s="22" t="s">
        <v>3204</v>
      </c>
      <c r="C123" s="22" t="s">
        <v>3470</v>
      </c>
      <c r="D123" s="22" t="s">
        <v>3496</v>
      </c>
      <c r="E123" s="22" t="s">
        <v>3497</v>
      </c>
      <c r="F123" s="23">
        <v>1</v>
      </c>
      <c r="G123" s="205"/>
      <c r="H123" s="22" t="s">
        <v>3498</v>
      </c>
      <c r="I123" s="205"/>
      <c r="K123" s="205"/>
      <c r="L123" s="72"/>
      <c r="M123" s="37"/>
      <c r="N123" s="205"/>
      <c r="O123" s="23">
        <v>101</v>
      </c>
      <c r="P123" s="23"/>
      <c r="Q123" s="72">
        <v>6000</v>
      </c>
      <c r="R123" s="227" t="s">
        <v>3210</v>
      </c>
      <c r="S123" s="205"/>
      <c r="T123" s="23"/>
      <c r="U123" s="205"/>
    </row>
    <row r="124" spans="2:22" s="22" customFormat="1">
      <c r="B124" s="22" t="s">
        <v>3204</v>
      </c>
      <c r="C124" s="22" t="s">
        <v>3470</v>
      </c>
      <c r="D124" s="22" t="s">
        <v>3499</v>
      </c>
      <c r="E124" s="22" t="s">
        <v>3500</v>
      </c>
      <c r="F124" s="23">
        <v>1</v>
      </c>
      <c r="G124" s="205"/>
      <c r="H124" s="22" t="s">
        <v>3501</v>
      </c>
      <c r="I124" s="205"/>
      <c r="K124" s="205"/>
      <c r="M124" s="37"/>
      <c r="N124" s="205"/>
      <c r="O124" s="23">
        <v>1263</v>
      </c>
      <c r="Q124" s="72">
        <v>495659</v>
      </c>
      <c r="R124" s="23"/>
      <c r="S124" s="205"/>
      <c r="T124" s="23"/>
      <c r="U124" s="205"/>
    </row>
    <row r="125" spans="2:22" s="22" customFormat="1">
      <c r="B125" s="22" t="s">
        <v>3204</v>
      </c>
      <c r="C125" s="22" t="s">
        <v>3470</v>
      </c>
      <c r="D125" s="22" t="s">
        <v>3502</v>
      </c>
      <c r="E125" s="22" t="s">
        <v>3503</v>
      </c>
      <c r="F125" s="23">
        <v>1</v>
      </c>
      <c r="G125" s="202"/>
      <c r="I125" s="202"/>
      <c r="K125" s="202"/>
      <c r="L125" s="23">
        <v>5</v>
      </c>
      <c r="M125" s="37"/>
      <c r="N125" s="202"/>
      <c r="O125" s="72">
        <v>34398</v>
      </c>
      <c r="P125" s="72"/>
      <c r="Q125" s="72">
        <v>7931733</v>
      </c>
      <c r="R125" s="227" t="s">
        <v>3210</v>
      </c>
      <c r="S125" s="202"/>
      <c r="T125" s="72"/>
      <c r="U125" s="202"/>
      <c r="V125" s="22" t="s">
        <v>3504</v>
      </c>
    </row>
    <row r="126" spans="2:22" s="22" customFormat="1">
      <c r="B126" s="22" t="s">
        <v>3204</v>
      </c>
      <c r="C126" s="22" t="s">
        <v>3470</v>
      </c>
      <c r="D126" s="22" t="s">
        <v>3505</v>
      </c>
      <c r="E126" s="22" t="s">
        <v>3506</v>
      </c>
      <c r="F126" s="23">
        <v>1</v>
      </c>
      <c r="G126" s="202"/>
      <c r="H126" s="22" t="s">
        <v>3507</v>
      </c>
      <c r="I126" s="202"/>
      <c r="K126" s="202"/>
      <c r="L126" s="23">
        <v>24</v>
      </c>
      <c r="M126" s="37"/>
      <c r="N126" s="202"/>
      <c r="O126" s="23">
        <v>1626</v>
      </c>
      <c r="P126" s="23"/>
      <c r="Q126" s="72">
        <v>138164</v>
      </c>
      <c r="R126" s="227" t="s">
        <v>3210</v>
      </c>
      <c r="S126" s="202"/>
      <c r="T126" s="23"/>
      <c r="U126" s="202"/>
    </row>
    <row r="127" spans="2:22" s="22" customFormat="1">
      <c r="F127" s="23"/>
      <c r="G127" s="202"/>
      <c r="I127" s="202"/>
      <c r="K127" s="202"/>
      <c r="L127" s="23"/>
      <c r="M127" s="37"/>
      <c r="N127" s="202"/>
      <c r="O127" s="23"/>
      <c r="P127" s="23"/>
      <c r="Q127" s="23"/>
      <c r="R127" s="23"/>
      <c r="S127" s="202"/>
      <c r="T127" s="23"/>
      <c r="U127" s="202"/>
    </row>
    <row r="128" spans="2:22">
      <c r="B128" s="22" t="s">
        <v>3204</v>
      </c>
      <c r="C128" s="7" t="s">
        <v>3508</v>
      </c>
      <c r="D128" s="22" t="s">
        <v>3509</v>
      </c>
      <c r="E128" s="22" t="s">
        <v>3510</v>
      </c>
      <c r="F128" s="9">
        <v>1</v>
      </c>
      <c r="G128" s="205"/>
      <c r="H128" s="22" t="s">
        <v>3511</v>
      </c>
      <c r="I128" s="205"/>
      <c r="J128" s="22"/>
      <c r="K128" s="205"/>
      <c r="L128" s="7"/>
      <c r="N128" s="205"/>
      <c r="O128" s="23">
        <v>227</v>
      </c>
      <c r="P128" s="7"/>
      <c r="Q128" s="72">
        <v>11164</v>
      </c>
      <c r="R128" s="227" t="s">
        <v>3210</v>
      </c>
      <c r="S128" s="205"/>
      <c r="U128" s="205"/>
    </row>
    <row r="129" spans="2:23">
      <c r="B129" s="22" t="s">
        <v>3204</v>
      </c>
      <c r="C129" s="7" t="s">
        <v>3508</v>
      </c>
      <c r="D129" s="22" t="s">
        <v>3512</v>
      </c>
      <c r="E129" s="22" t="s">
        <v>3513</v>
      </c>
      <c r="F129" s="9">
        <v>1</v>
      </c>
      <c r="G129" s="205"/>
      <c r="H129" s="22" t="s">
        <v>3514</v>
      </c>
      <c r="I129" s="205"/>
      <c r="J129" s="22"/>
      <c r="K129" s="205"/>
      <c r="L129" s="7"/>
      <c r="N129" s="205"/>
      <c r="O129" s="7"/>
      <c r="P129" s="7"/>
      <c r="Q129" s="7"/>
      <c r="S129" s="205"/>
      <c r="U129" s="205"/>
    </row>
    <row r="130" spans="2:23">
      <c r="B130" s="22" t="s">
        <v>3204</v>
      </c>
      <c r="C130" s="7" t="s">
        <v>3508</v>
      </c>
      <c r="D130" s="22" t="s">
        <v>3515</v>
      </c>
      <c r="E130" s="22" t="s">
        <v>3516</v>
      </c>
      <c r="F130" s="9">
        <v>1</v>
      </c>
      <c r="G130" s="205"/>
      <c r="H130" s="22" t="s">
        <v>3342</v>
      </c>
      <c r="I130" s="205"/>
      <c r="J130" s="22"/>
      <c r="K130" s="205"/>
      <c r="N130" s="205"/>
      <c r="O130" s="23">
        <v>314</v>
      </c>
      <c r="P130" s="22"/>
      <c r="Q130" s="72">
        <v>38778</v>
      </c>
      <c r="R130" s="227" t="s">
        <v>3210</v>
      </c>
      <c r="S130" s="205"/>
      <c r="U130" s="205"/>
    </row>
    <row r="131" spans="2:23" s="22" customFormat="1">
      <c r="F131" s="23"/>
      <c r="G131" s="202"/>
      <c r="I131" s="202"/>
      <c r="K131" s="202"/>
      <c r="L131" s="23"/>
      <c r="M131" s="37"/>
      <c r="N131" s="202"/>
      <c r="O131" s="23"/>
      <c r="P131" s="23"/>
      <c r="Q131" s="23"/>
      <c r="R131" s="23"/>
      <c r="S131" s="202"/>
      <c r="T131" s="23"/>
      <c r="U131" s="202"/>
    </row>
    <row r="132" spans="2:23" s="22" customFormat="1">
      <c r="F132" s="23"/>
      <c r="G132" s="202"/>
      <c r="I132" s="202"/>
      <c r="K132" s="202"/>
      <c r="L132" s="23"/>
      <c r="M132" s="37"/>
      <c r="N132" s="202"/>
      <c r="O132" s="23"/>
      <c r="P132" s="23"/>
      <c r="Q132" s="23"/>
      <c r="R132" s="23"/>
      <c r="S132" s="202"/>
      <c r="T132" s="23"/>
      <c r="U132" s="202"/>
    </row>
    <row r="133" spans="2:23" s="22" customFormat="1">
      <c r="B133" s="22" t="s">
        <v>3204</v>
      </c>
      <c r="C133" s="22" t="s">
        <v>3517</v>
      </c>
      <c r="D133" s="22" t="s">
        <v>3518</v>
      </c>
      <c r="E133" s="22" t="s">
        <v>3519</v>
      </c>
      <c r="F133" s="23">
        <v>1</v>
      </c>
      <c r="G133" s="202"/>
      <c r="H133" s="22" t="s">
        <v>3520</v>
      </c>
      <c r="I133" s="202"/>
      <c r="K133" s="202"/>
      <c r="L133" s="23"/>
      <c r="M133" s="37"/>
      <c r="N133" s="202"/>
      <c r="O133" s="23">
        <v>4958</v>
      </c>
      <c r="P133" s="23"/>
      <c r="Q133" s="72">
        <v>1004419</v>
      </c>
      <c r="R133" s="227" t="s">
        <v>3210</v>
      </c>
      <c r="S133" s="202"/>
      <c r="T133" s="23"/>
      <c r="U133" s="202"/>
    </row>
    <row r="134" spans="2:23" s="22" customFormat="1">
      <c r="B134" s="22" t="s">
        <v>3204</v>
      </c>
      <c r="C134" s="22" t="s">
        <v>3517</v>
      </c>
      <c r="D134" s="34" t="s">
        <v>3521</v>
      </c>
      <c r="E134" s="22" t="s">
        <v>3522</v>
      </c>
      <c r="F134" s="23">
        <v>1</v>
      </c>
      <c r="G134" s="202"/>
      <c r="H134" s="22" t="s">
        <v>3523</v>
      </c>
      <c r="I134" s="202"/>
      <c r="K134" s="202"/>
      <c r="L134" s="23"/>
      <c r="M134" s="37"/>
      <c r="N134" s="202"/>
      <c r="O134" s="23">
        <v>185</v>
      </c>
      <c r="P134" s="23"/>
      <c r="Q134" s="72">
        <v>11000</v>
      </c>
      <c r="R134" s="227" t="s">
        <v>3210</v>
      </c>
      <c r="S134" s="202"/>
      <c r="T134" s="23"/>
      <c r="U134" s="202"/>
    </row>
    <row r="135" spans="2:23" s="22" customFormat="1">
      <c r="B135" s="22" t="s">
        <v>3204</v>
      </c>
      <c r="C135" s="22" t="s">
        <v>3517</v>
      </c>
      <c r="D135" s="34" t="s">
        <v>3524</v>
      </c>
      <c r="E135" s="22" t="s">
        <v>3525</v>
      </c>
      <c r="F135" s="23">
        <v>1</v>
      </c>
      <c r="G135" s="202"/>
      <c r="H135" s="22" t="s">
        <v>3526</v>
      </c>
      <c r="I135" s="202"/>
      <c r="K135" s="202"/>
      <c r="L135" s="23"/>
      <c r="M135" s="37"/>
      <c r="N135" s="202"/>
      <c r="O135" s="23"/>
      <c r="P135" s="23"/>
      <c r="Q135" s="23"/>
      <c r="R135" s="23"/>
      <c r="S135" s="202"/>
      <c r="T135" s="23"/>
      <c r="U135" s="202"/>
    </row>
    <row r="136" spans="2:23" s="22" customFormat="1">
      <c r="B136" s="22" t="s">
        <v>3204</v>
      </c>
      <c r="C136" s="22" t="s">
        <v>3517</v>
      </c>
      <c r="D136" s="34" t="s">
        <v>3527</v>
      </c>
      <c r="E136" s="22" t="s">
        <v>3528</v>
      </c>
      <c r="F136" s="23">
        <v>1</v>
      </c>
      <c r="G136" s="202"/>
      <c r="H136" s="230" t="s">
        <v>3529</v>
      </c>
      <c r="I136" s="202"/>
      <c r="J136" s="230"/>
      <c r="K136" s="202"/>
      <c r="L136" s="23"/>
      <c r="M136" s="37"/>
      <c r="N136" s="202"/>
      <c r="O136" s="23"/>
      <c r="P136" s="23"/>
      <c r="Q136" s="23"/>
      <c r="R136" s="23"/>
      <c r="S136" s="202"/>
      <c r="T136" s="23"/>
      <c r="U136" s="202"/>
    </row>
    <row r="137" spans="2:23" s="22" customFormat="1">
      <c r="F137" s="23"/>
      <c r="G137" s="202"/>
      <c r="I137" s="202"/>
      <c r="K137" s="202"/>
      <c r="L137" s="23"/>
      <c r="M137" s="37"/>
      <c r="N137" s="202"/>
      <c r="O137" s="23"/>
      <c r="P137" s="23"/>
      <c r="Q137" s="23"/>
      <c r="R137" s="23"/>
      <c r="S137" s="202"/>
      <c r="T137" s="23"/>
      <c r="U137" s="202"/>
    </row>
    <row r="138" spans="2:23" s="22" customFormat="1">
      <c r="B138" s="22" t="s">
        <v>3204</v>
      </c>
      <c r="C138" s="22" t="s">
        <v>3530</v>
      </c>
      <c r="D138" s="22" t="s">
        <v>3531</v>
      </c>
      <c r="E138" s="22" t="s">
        <v>3448</v>
      </c>
      <c r="F138" s="23">
        <v>1</v>
      </c>
      <c r="G138" s="231"/>
      <c r="H138" s="22" t="s">
        <v>3449</v>
      </c>
      <c r="I138" s="231"/>
      <c r="K138" s="231"/>
      <c r="L138" s="23"/>
      <c r="M138" s="37"/>
      <c r="N138" s="231"/>
      <c r="O138" s="23" t="s">
        <v>1859</v>
      </c>
      <c r="P138" s="23"/>
      <c r="Q138" s="23" t="s">
        <v>1859</v>
      </c>
      <c r="R138" s="227" t="s">
        <v>3210</v>
      </c>
      <c r="S138" s="231"/>
      <c r="T138" s="23"/>
      <c r="U138" s="231"/>
    </row>
    <row r="139" spans="2:23" s="22" customFormat="1">
      <c r="F139" s="23"/>
      <c r="G139" s="205"/>
      <c r="I139" s="205"/>
      <c r="K139" s="205"/>
      <c r="L139" s="23"/>
      <c r="M139" s="37"/>
      <c r="N139" s="205"/>
      <c r="O139" s="23"/>
      <c r="P139" s="23"/>
      <c r="Q139" s="23"/>
      <c r="R139" s="23"/>
      <c r="S139" s="205"/>
      <c r="T139" s="23"/>
      <c r="U139" s="205"/>
    </row>
    <row r="140" spans="2:23" s="22" customFormat="1">
      <c r="B140" s="22" t="s">
        <v>3204</v>
      </c>
      <c r="C140" s="22" t="s">
        <v>3532</v>
      </c>
      <c r="D140" s="34" t="s">
        <v>3533</v>
      </c>
      <c r="E140" s="22" t="s">
        <v>3534</v>
      </c>
      <c r="F140" s="23">
        <v>1</v>
      </c>
      <c r="G140" s="202"/>
      <c r="I140" s="202"/>
      <c r="K140" s="202"/>
      <c r="L140" s="23"/>
      <c r="M140" s="37"/>
      <c r="N140" s="202"/>
      <c r="O140" s="23"/>
      <c r="P140" s="23"/>
      <c r="Q140" s="23"/>
      <c r="R140" s="23"/>
      <c r="S140" s="202"/>
      <c r="T140" s="23"/>
      <c r="U140" s="202"/>
    </row>
    <row r="141" spans="2:23" s="22" customFormat="1">
      <c r="B141" s="22" t="s">
        <v>3204</v>
      </c>
      <c r="C141" s="22" t="s">
        <v>3532</v>
      </c>
      <c r="D141" s="22" t="s">
        <v>3535</v>
      </c>
      <c r="E141" s="22" t="s">
        <v>3536</v>
      </c>
      <c r="F141" s="9">
        <v>1</v>
      </c>
      <c r="G141" s="205"/>
      <c r="H141" s="22" t="s">
        <v>3537</v>
      </c>
      <c r="I141" s="205"/>
      <c r="K141" s="205"/>
      <c r="L141" s="7"/>
      <c r="M141" s="10"/>
      <c r="N141" s="205"/>
      <c r="O141" s="23">
        <v>144</v>
      </c>
      <c r="Q141" s="72">
        <v>10000</v>
      </c>
      <c r="R141" s="227" t="s">
        <v>3210</v>
      </c>
      <c r="S141" s="205"/>
      <c r="T141" s="9"/>
      <c r="U141" s="205"/>
      <c r="V141" s="7"/>
      <c r="W141" s="7"/>
    </row>
    <row r="142" spans="2:23" s="22" customFormat="1">
      <c r="B142" s="22" t="s">
        <v>3204</v>
      </c>
      <c r="C142" s="22" t="s">
        <v>3532</v>
      </c>
      <c r="D142" s="22" t="s">
        <v>3538</v>
      </c>
      <c r="E142" s="22" t="s">
        <v>3539</v>
      </c>
      <c r="F142" s="9">
        <v>1</v>
      </c>
      <c r="G142" s="205"/>
      <c r="H142" s="22" t="s">
        <v>3540</v>
      </c>
      <c r="I142" s="205"/>
      <c r="K142" s="205"/>
      <c r="L142" s="7"/>
      <c r="M142" s="10"/>
      <c r="N142" s="205"/>
      <c r="O142" s="23" t="s">
        <v>1859</v>
      </c>
      <c r="Q142" s="72">
        <v>2000</v>
      </c>
      <c r="R142" s="227" t="s">
        <v>3210</v>
      </c>
      <c r="S142" s="205"/>
      <c r="T142" s="9"/>
      <c r="U142" s="205"/>
      <c r="V142" s="7"/>
      <c r="W142" s="7"/>
    </row>
    <row r="143" spans="2:23" s="22" customFormat="1">
      <c r="B143" s="22" t="s">
        <v>3204</v>
      </c>
      <c r="C143" s="22" t="s">
        <v>3532</v>
      </c>
      <c r="D143" s="22" t="s">
        <v>3541</v>
      </c>
      <c r="E143" s="22" t="s">
        <v>3542</v>
      </c>
      <c r="F143" s="9">
        <v>1</v>
      </c>
      <c r="G143" s="205"/>
      <c r="H143" s="22" t="s">
        <v>3543</v>
      </c>
      <c r="I143" s="205"/>
      <c r="K143" s="205"/>
      <c r="L143" s="7"/>
      <c r="M143" s="10"/>
      <c r="N143" s="205"/>
      <c r="O143" s="23">
        <v>141</v>
      </c>
      <c r="Q143" s="72">
        <v>14262</v>
      </c>
      <c r="R143" s="227" t="s">
        <v>3210</v>
      </c>
      <c r="S143" s="205"/>
      <c r="T143" s="9"/>
      <c r="U143" s="205"/>
      <c r="V143" s="7"/>
      <c r="W143" s="7"/>
    </row>
    <row r="144" spans="2:23" s="22" customFormat="1">
      <c r="B144" s="22" t="s">
        <v>3204</v>
      </c>
      <c r="C144" s="22" t="s">
        <v>3532</v>
      </c>
      <c r="D144" s="22" t="s">
        <v>3544</v>
      </c>
      <c r="E144" s="22" t="s">
        <v>3545</v>
      </c>
      <c r="F144" s="9">
        <v>1</v>
      </c>
      <c r="G144" s="205"/>
      <c r="H144" s="22" t="s">
        <v>3546</v>
      </c>
      <c r="I144" s="205"/>
      <c r="K144" s="205"/>
      <c r="L144" s="7"/>
      <c r="M144" s="10"/>
      <c r="N144" s="205"/>
      <c r="O144" s="23">
        <v>110</v>
      </c>
      <c r="Q144" s="72">
        <v>11557</v>
      </c>
      <c r="R144" s="227" t="s">
        <v>3210</v>
      </c>
      <c r="S144" s="205"/>
      <c r="T144" s="9"/>
      <c r="U144" s="205"/>
      <c r="V144" s="7"/>
      <c r="W144" s="7"/>
    </row>
    <row r="145" spans="2:23">
      <c r="B145" s="22" t="s">
        <v>3204</v>
      </c>
      <c r="C145" s="22" t="s">
        <v>3532</v>
      </c>
      <c r="D145" s="22" t="s">
        <v>3547</v>
      </c>
      <c r="E145" s="22" t="s">
        <v>3548</v>
      </c>
      <c r="F145" s="9">
        <v>1</v>
      </c>
      <c r="G145" s="205"/>
      <c r="H145" s="22" t="s">
        <v>3549</v>
      </c>
      <c r="I145" s="205"/>
      <c r="J145" s="22"/>
      <c r="K145" s="205"/>
      <c r="L145" s="7"/>
      <c r="N145" s="205"/>
      <c r="O145" s="23">
        <v>42</v>
      </c>
      <c r="P145" s="22"/>
      <c r="Q145" s="72">
        <v>6621</v>
      </c>
      <c r="R145" s="227" t="s">
        <v>3210</v>
      </c>
      <c r="S145" s="205"/>
      <c r="U145" s="205"/>
    </row>
    <row r="146" spans="2:23">
      <c r="B146" s="22" t="s">
        <v>3204</v>
      </c>
      <c r="C146" s="22" t="s">
        <v>3532</v>
      </c>
      <c r="D146" s="22" t="s">
        <v>3550</v>
      </c>
      <c r="E146" s="22" t="s">
        <v>3551</v>
      </c>
      <c r="F146" s="9">
        <v>1</v>
      </c>
      <c r="G146" s="205"/>
      <c r="H146" s="22" t="s">
        <v>3552</v>
      </c>
      <c r="I146" s="205"/>
      <c r="J146" s="22"/>
      <c r="K146" s="205"/>
      <c r="L146" s="7"/>
      <c r="N146" s="205"/>
      <c r="P146" s="7"/>
      <c r="S146" s="205"/>
      <c r="U146" s="205"/>
    </row>
    <row r="147" spans="2:23">
      <c r="B147" s="22" t="s">
        <v>3204</v>
      </c>
      <c r="C147" s="22" t="s">
        <v>3532</v>
      </c>
      <c r="D147" s="34" t="s">
        <v>3553</v>
      </c>
      <c r="E147" s="22" t="s">
        <v>3554</v>
      </c>
      <c r="F147" s="23">
        <v>1</v>
      </c>
      <c r="G147" s="202"/>
      <c r="H147" s="22"/>
      <c r="I147" s="202"/>
      <c r="J147" s="22"/>
      <c r="K147" s="202"/>
      <c r="L147" s="23"/>
      <c r="M147" s="37"/>
      <c r="N147" s="202"/>
      <c r="O147" s="23"/>
      <c r="P147" s="23"/>
      <c r="Q147" s="23"/>
      <c r="R147" s="23"/>
      <c r="S147" s="202"/>
      <c r="T147" s="23"/>
      <c r="U147" s="202"/>
      <c r="V147" s="22" t="s">
        <v>3555</v>
      </c>
      <c r="W147" s="22"/>
    </row>
    <row r="148" spans="2:23">
      <c r="B148" s="22" t="s">
        <v>3204</v>
      </c>
      <c r="C148" s="22" t="s">
        <v>3532</v>
      </c>
      <c r="D148" s="22" t="s">
        <v>3556</v>
      </c>
      <c r="F148" s="23">
        <v>1</v>
      </c>
      <c r="G148" s="202"/>
      <c r="H148" s="22" t="s">
        <v>3557</v>
      </c>
      <c r="I148" s="202"/>
      <c r="J148" s="22"/>
      <c r="K148" s="202"/>
      <c r="L148" s="23"/>
      <c r="M148" s="37"/>
      <c r="N148" s="202"/>
      <c r="O148" s="23">
        <v>935</v>
      </c>
      <c r="P148" s="23"/>
      <c r="Q148" s="72">
        <v>109174</v>
      </c>
      <c r="R148" s="227" t="s">
        <v>3210</v>
      </c>
      <c r="S148" s="202"/>
      <c r="T148" s="23"/>
      <c r="U148" s="202"/>
      <c r="V148" s="22"/>
      <c r="W148" s="22"/>
    </row>
    <row r="149" spans="2:23">
      <c r="B149" s="22" t="s">
        <v>3204</v>
      </c>
      <c r="C149" s="22" t="s">
        <v>3532</v>
      </c>
      <c r="D149" s="22" t="s">
        <v>3558</v>
      </c>
      <c r="E149" s="22" t="s">
        <v>3559</v>
      </c>
      <c r="F149" s="9">
        <v>1</v>
      </c>
      <c r="G149" s="205"/>
      <c r="H149" s="22" t="s">
        <v>3549</v>
      </c>
      <c r="I149" s="205"/>
      <c r="J149" s="22"/>
      <c r="K149" s="205"/>
      <c r="L149" s="7"/>
      <c r="N149" s="205"/>
      <c r="O149" s="23">
        <v>423</v>
      </c>
      <c r="P149" s="22"/>
      <c r="Q149" s="72">
        <v>43026</v>
      </c>
      <c r="R149" s="227" t="s">
        <v>3210</v>
      </c>
      <c r="S149" s="205"/>
      <c r="U149" s="205"/>
    </row>
    <row r="150" spans="2:23">
      <c r="B150" s="22" t="s">
        <v>3204</v>
      </c>
      <c r="C150" s="22" t="s">
        <v>3532</v>
      </c>
      <c r="D150" s="22" t="s">
        <v>3560</v>
      </c>
      <c r="E150" s="22" t="s">
        <v>3561</v>
      </c>
      <c r="F150" s="9">
        <v>1</v>
      </c>
      <c r="G150" s="205"/>
      <c r="H150" s="22" t="s">
        <v>3562</v>
      </c>
      <c r="I150" s="205"/>
      <c r="J150" s="22"/>
      <c r="K150" s="205"/>
      <c r="L150" s="7"/>
      <c r="N150" s="205"/>
      <c r="O150" s="23">
        <v>47</v>
      </c>
      <c r="P150" s="22"/>
      <c r="Q150" s="72">
        <v>7100</v>
      </c>
      <c r="R150" s="227" t="s">
        <v>3210</v>
      </c>
      <c r="S150" s="205"/>
      <c r="U150" s="205"/>
    </row>
    <row r="151" spans="2:23">
      <c r="B151" s="22" t="s">
        <v>3204</v>
      </c>
      <c r="C151" s="22" t="s">
        <v>3532</v>
      </c>
      <c r="D151" s="22" t="s">
        <v>3563</v>
      </c>
      <c r="E151" s="22" t="s">
        <v>3564</v>
      </c>
      <c r="F151" s="23">
        <v>1</v>
      </c>
      <c r="G151" s="202"/>
      <c r="H151" s="22" t="s">
        <v>3565</v>
      </c>
      <c r="I151" s="202"/>
      <c r="J151" s="22"/>
      <c r="K151" s="202"/>
      <c r="L151" s="23"/>
      <c r="M151" s="37"/>
      <c r="N151" s="202"/>
      <c r="O151" s="23">
        <v>201</v>
      </c>
      <c r="P151" s="23"/>
      <c r="Q151" s="72">
        <v>30000</v>
      </c>
      <c r="R151" s="227" t="s">
        <v>3210</v>
      </c>
      <c r="S151" s="202"/>
      <c r="T151" s="23"/>
      <c r="U151" s="202"/>
      <c r="V151" s="22"/>
      <c r="W151" s="22"/>
    </row>
    <row r="152" spans="2:23" s="22" customFormat="1">
      <c r="F152" s="23"/>
      <c r="G152" s="202"/>
      <c r="I152" s="202"/>
      <c r="K152" s="202"/>
      <c r="L152" s="23"/>
      <c r="M152" s="37"/>
      <c r="N152" s="202"/>
      <c r="O152" s="23"/>
      <c r="P152" s="23"/>
      <c r="Q152" s="23"/>
      <c r="R152" s="23"/>
      <c r="S152" s="202"/>
      <c r="T152" s="23"/>
      <c r="U152" s="202"/>
    </row>
    <row r="153" spans="2:23" s="22" customFormat="1">
      <c r="B153" s="22" t="s">
        <v>3204</v>
      </c>
      <c r="C153" s="22" t="s">
        <v>3566</v>
      </c>
      <c r="D153" s="34" t="s">
        <v>3567</v>
      </c>
      <c r="E153" s="22" t="s">
        <v>3568</v>
      </c>
      <c r="F153" s="23">
        <v>1</v>
      </c>
      <c r="G153" s="231"/>
      <c r="H153" s="22" t="s">
        <v>3569</v>
      </c>
      <c r="I153" s="231"/>
      <c r="K153" s="231"/>
      <c r="L153" s="23"/>
      <c r="M153" s="37"/>
      <c r="N153" s="231"/>
      <c r="O153" s="23">
        <v>1200</v>
      </c>
      <c r="P153" s="23"/>
      <c r="Q153" s="72">
        <v>86000</v>
      </c>
      <c r="R153" s="227" t="s">
        <v>3210</v>
      </c>
      <c r="S153" s="231"/>
      <c r="T153" s="23"/>
      <c r="U153" s="231"/>
    </row>
    <row r="154" spans="2:23" s="22" customFormat="1">
      <c r="F154" s="23"/>
      <c r="G154" s="202"/>
      <c r="I154" s="202"/>
      <c r="K154" s="202"/>
      <c r="L154" s="23"/>
      <c r="M154" s="37"/>
      <c r="N154" s="202"/>
      <c r="O154" s="23"/>
      <c r="P154" s="23"/>
      <c r="Q154" s="23"/>
      <c r="R154" s="23"/>
      <c r="S154" s="202"/>
      <c r="T154" s="23"/>
      <c r="U154" s="202"/>
    </row>
    <row r="155" spans="2:23" s="22" customFormat="1">
      <c r="B155" s="22" t="s">
        <v>3204</v>
      </c>
      <c r="C155" s="22" t="s">
        <v>3570</v>
      </c>
      <c r="D155" s="34" t="s">
        <v>3571</v>
      </c>
      <c r="E155" s="22" t="s">
        <v>3572</v>
      </c>
      <c r="F155" s="23">
        <v>1</v>
      </c>
      <c r="G155" s="231"/>
      <c r="H155" s="22" t="s">
        <v>3573</v>
      </c>
      <c r="I155" s="231"/>
      <c r="K155" s="231"/>
      <c r="L155" s="23"/>
      <c r="M155" s="37"/>
      <c r="N155" s="231"/>
      <c r="O155" s="23">
        <v>160</v>
      </c>
      <c r="P155" s="23"/>
      <c r="Q155" s="72">
        <v>40341</v>
      </c>
      <c r="R155" s="227" t="s">
        <v>3210</v>
      </c>
      <c r="S155" s="231"/>
      <c r="T155" s="23"/>
      <c r="U155" s="231"/>
    </row>
    <row r="156" spans="2:23" s="22" customFormat="1">
      <c r="B156" s="22" t="s">
        <v>3204</v>
      </c>
      <c r="C156" s="22" t="s">
        <v>3570</v>
      </c>
      <c r="D156" s="34" t="s">
        <v>3574</v>
      </c>
      <c r="E156" s="22" t="s">
        <v>3575</v>
      </c>
      <c r="F156" s="23">
        <v>1</v>
      </c>
      <c r="G156" s="202"/>
      <c r="I156" s="202"/>
      <c r="K156" s="202"/>
      <c r="L156" s="23"/>
      <c r="M156" s="37"/>
      <c r="N156" s="202"/>
      <c r="O156" s="23"/>
      <c r="P156" s="23"/>
      <c r="Q156" s="23"/>
      <c r="R156" s="23"/>
      <c r="S156" s="202"/>
      <c r="T156" s="23"/>
      <c r="U156" s="202"/>
    </row>
    <row r="157" spans="2:23" s="22" customFormat="1">
      <c r="F157" s="23"/>
      <c r="G157" s="202"/>
      <c r="I157" s="202"/>
      <c r="K157" s="202"/>
      <c r="L157" s="23"/>
      <c r="M157" s="37"/>
      <c r="N157" s="202"/>
      <c r="O157" s="23"/>
      <c r="P157" s="23"/>
      <c r="Q157" s="23"/>
      <c r="R157" s="23"/>
      <c r="S157" s="202"/>
      <c r="T157" s="23"/>
      <c r="U157" s="202"/>
    </row>
    <row r="158" spans="2:23" s="22" customFormat="1">
      <c r="B158" s="22" t="s">
        <v>3204</v>
      </c>
      <c r="C158" s="22" t="s">
        <v>3576</v>
      </c>
      <c r="F158" s="23"/>
      <c r="G158" s="202"/>
      <c r="I158" s="202"/>
      <c r="K158" s="202"/>
      <c r="L158" s="23"/>
      <c r="M158" s="37"/>
      <c r="N158" s="202"/>
      <c r="O158" s="23"/>
      <c r="P158" s="23"/>
      <c r="Q158" s="23"/>
      <c r="R158" s="23"/>
      <c r="S158" s="202"/>
      <c r="T158" s="23"/>
      <c r="U158" s="202"/>
    </row>
    <row r="159" spans="2:23">
      <c r="B159" s="22" t="s">
        <v>3204</v>
      </c>
      <c r="C159" s="7" t="s">
        <v>3577</v>
      </c>
      <c r="D159" s="22" t="s">
        <v>3578</v>
      </c>
      <c r="E159" s="22" t="s">
        <v>3579</v>
      </c>
      <c r="F159" s="9">
        <v>1</v>
      </c>
      <c r="G159" s="205"/>
      <c r="H159" s="22" t="s">
        <v>3580</v>
      </c>
      <c r="I159" s="205"/>
      <c r="J159" s="22"/>
      <c r="K159" s="205"/>
      <c r="L159" s="7"/>
      <c r="N159" s="205"/>
      <c r="O159" s="23">
        <v>288</v>
      </c>
      <c r="P159" s="22"/>
      <c r="Q159" s="72">
        <v>39913</v>
      </c>
      <c r="R159" s="227" t="s">
        <v>3210</v>
      </c>
      <c r="S159" s="205"/>
      <c r="U159" s="205"/>
    </row>
    <row r="160" spans="2:23">
      <c r="B160" s="22" t="s">
        <v>3204</v>
      </c>
      <c r="C160" s="7" t="s">
        <v>3577</v>
      </c>
      <c r="D160" s="22" t="s">
        <v>3581</v>
      </c>
      <c r="E160" s="22" t="s">
        <v>3582</v>
      </c>
      <c r="F160" s="9">
        <v>1</v>
      </c>
      <c r="G160" s="205"/>
      <c r="H160" s="22" t="s">
        <v>3583</v>
      </c>
      <c r="I160" s="205"/>
      <c r="J160" s="22"/>
      <c r="K160" s="205"/>
      <c r="L160" s="7"/>
      <c r="N160" s="205"/>
      <c r="O160" s="23">
        <v>650</v>
      </c>
      <c r="P160" s="22"/>
      <c r="Q160" s="72">
        <v>34000</v>
      </c>
      <c r="R160" s="227" t="s">
        <v>3210</v>
      </c>
      <c r="S160" s="205"/>
      <c r="U160" s="205"/>
    </row>
    <row r="161" spans="2:22">
      <c r="B161" s="22" t="s">
        <v>3204</v>
      </c>
      <c r="C161" s="7" t="s">
        <v>3577</v>
      </c>
      <c r="D161" s="22" t="s">
        <v>3584</v>
      </c>
      <c r="E161" s="22" t="s">
        <v>3585</v>
      </c>
      <c r="F161" s="9">
        <v>1</v>
      </c>
      <c r="G161" s="205"/>
      <c r="H161" s="22" t="s">
        <v>3586</v>
      </c>
      <c r="I161" s="205"/>
      <c r="J161" s="22"/>
      <c r="K161" s="205"/>
      <c r="L161" s="7"/>
      <c r="N161" s="205"/>
      <c r="O161" s="23">
        <v>472</v>
      </c>
      <c r="P161" s="22"/>
      <c r="Q161" s="72">
        <v>41184</v>
      </c>
      <c r="R161" s="227" t="s">
        <v>3210</v>
      </c>
      <c r="S161" s="205"/>
      <c r="U161" s="205"/>
    </row>
    <row r="162" spans="2:22" s="22" customFormat="1">
      <c r="F162" s="23"/>
      <c r="G162" s="202"/>
      <c r="I162" s="202"/>
      <c r="K162" s="202"/>
      <c r="L162" s="23"/>
      <c r="M162" s="37"/>
      <c r="N162" s="202"/>
      <c r="O162" s="23"/>
      <c r="P162" s="23"/>
      <c r="Q162" s="23"/>
      <c r="R162" s="23"/>
      <c r="S162" s="202"/>
      <c r="T162" s="23"/>
      <c r="U162" s="202"/>
    </row>
    <row r="163" spans="2:22">
      <c r="B163" s="22" t="s">
        <v>3204</v>
      </c>
      <c r="C163" s="7" t="s">
        <v>3587</v>
      </c>
      <c r="D163" s="7" t="s">
        <v>3588</v>
      </c>
      <c r="G163" s="202"/>
      <c r="I163" s="202"/>
      <c r="K163" s="202"/>
      <c r="L163" s="7"/>
      <c r="N163" s="202"/>
      <c r="O163" s="9">
        <v>1400</v>
      </c>
      <c r="P163" s="7"/>
      <c r="Q163" s="13">
        <v>150000</v>
      </c>
      <c r="R163" s="227" t="s">
        <v>3210</v>
      </c>
      <c r="S163" s="202"/>
      <c r="U163" s="202"/>
    </row>
    <row r="164" spans="2:22">
      <c r="B164" s="22" t="s">
        <v>3204</v>
      </c>
      <c r="C164" s="7" t="s">
        <v>3587</v>
      </c>
      <c r="D164" s="22" t="s">
        <v>3589</v>
      </c>
      <c r="E164" s="22" t="s">
        <v>3590</v>
      </c>
      <c r="F164" s="9">
        <v>1</v>
      </c>
      <c r="G164" s="205"/>
      <c r="H164" s="22" t="s">
        <v>863</v>
      </c>
      <c r="I164" s="205"/>
      <c r="J164" s="22"/>
      <c r="K164" s="205"/>
      <c r="L164" s="7"/>
      <c r="N164" s="205"/>
      <c r="O164" s="23">
        <v>192</v>
      </c>
      <c r="P164" s="22"/>
      <c r="Q164" s="72">
        <v>17400</v>
      </c>
      <c r="R164" s="227" t="s">
        <v>3210</v>
      </c>
      <c r="S164" s="205"/>
      <c r="U164" s="205"/>
    </row>
    <row r="165" spans="2:22">
      <c r="B165" s="22" t="s">
        <v>3204</v>
      </c>
      <c r="C165" s="7" t="s">
        <v>3587</v>
      </c>
      <c r="D165" s="22" t="s">
        <v>3591</v>
      </c>
      <c r="E165" s="22" t="s">
        <v>3592</v>
      </c>
      <c r="F165" s="9">
        <v>1</v>
      </c>
      <c r="G165" s="205"/>
      <c r="H165" s="22" t="s">
        <v>3593</v>
      </c>
      <c r="I165" s="205"/>
      <c r="J165" s="22"/>
      <c r="K165" s="205"/>
      <c r="L165" s="7"/>
      <c r="N165" s="205"/>
      <c r="O165" s="23">
        <v>55</v>
      </c>
      <c r="P165" s="22"/>
      <c r="Q165" s="72">
        <v>12000</v>
      </c>
      <c r="R165" s="227" t="s">
        <v>3210</v>
      </c>
      <c r="S165" s="205"/>
      <c r="U165" s="205"/>
    </row>
    <row r="166" spans="2:22">
      <c r="B166" s="22" t="s">
        <v>3204</v>
      </c>
      <c r="C166" s="7" t="s">
        <v>3587</v>
      </c>
      <c r="D166" s="22" t="s">
        <v>3594</v>
      </c>
      <c r="E166" s="22" t="s">
        <v>3595</v>
      </c>
      <c r="F166" s="9">
        <v>1</v>
      </c>
      <c r="G166" s="205"/>
      <c r="H166" s="22" t="s">
        <v>3596</v>
      </c>
      <c r="I166" s="205"/>
      <c r="J166" s="22"/>
      <c r="K166" s="205"/>
      <c r="L166" s="7"/>
      <c r="N166" s="205"/>
      <c r="O166" s="23">
        <v>60</v>
      </c>
      <c r="P166" s="22"/>
      <c r="Q166" s="23">
        <v>7605</v>
      </c>
      <c r="R166" s="227" t="s">
        <v>3210</v>
      </c>
      <c r="S166" s="205"/>
      <c r="U166" s="205"/>
    </row>
    <row r="167" spans="2:22">
      <c r="B167" s="22" t="s">
        <v>3204</v>
      </c>
      <c r="C167" s="7" t="s">
        <v>3587</v>
      </c>
      <c r="D167" s="22" t="s">
        <v>3597</v>
      </c>
      <c r="E167" s="22" t="s">
        <v>3598</v>
      </c>
      <c r="F167" s="9">
        <v>1</v>
      </c>
      <c r="G167" s="205"/>
      <c r="H167" s="22" t="s">
        <v>3476</v>
      </c>
      <c r="I167" s="205"/>
      <c r="J167" s="22"/>
      <c r="K167" s="205"/>
      <c r="L167" s="7"/>
      <c r="N167" s="205"/>
      <c r="O167" s="23">
        <v>32</v>
      </c>
      <c r="P167" s="22"/>
      <c r="Q167" s="72">
        <v>10000</v>
      </c>
      <c r="R167" s="227" t="s">
        <v>3210</v>
      </c>
      <c r="S167" s="205"/>
      <c r="U167" s="205"/>
    </row>
    <row r="168" spans="2:22">
      <c r="B168" s="22" t="s">
        <v>3204</v>
      </c>
      <c r="C168" s="7" t="s">
        <v>3587</v>
      </c>
      <c r="D168" s="22" t="s">
        <v>3599</v>
      </c>
      <c r="E168" s="22" t="s">
        <v>3600</v>
      </c>
      <c r="F168" s="9">
        <v>1</v>
      </c>
      <c r="G168" s="205"/>
      <c r="H168" s="22" t="s">
        <v>3427</v>
      </c>
      <c r="I168" s="205"/>
      <c r="J168" s="22"/>
      <c r="K168" s="205"/>
      <c r="L168" s="7"/>
      <c r="N168" s="205"/>
      <c r="O168" s="23">
        <v>128</v>
      </c>
      <c r="P168" s="22"/>
      <c r="Q168" s="72">
        <v>60000</v>
      </c>
      <c r="R168" s="227" t="s">
        <v>3210</v>
      </c>
      <c r="S168" s="205"/>
      <c r="U168" s="205"/>
    </row>
    <row r="169" spans="2:22">
      <c r="B169" s="22" t="s">
        <v>3204</v>
      </c>
      <c r="C169" s="7" t="s">
        <v>3587</v>
      </c>
      <c r="D169" s="22" t="s">
        <v>3601</v>
      </c>
      <c r="E169" s="22" t="s">
        <v>3602</v>
      </c>
      <c r="F169" s="9">
        <v>1</v>
      </c>
      <c r="G169" s="205"/>
      <c r="H169" s="22" t="s">
        <v>3461</v>
      </c>
      <c r="I169" s="205"/>
      <c r="J169" s="22"/>
      <c r="K169" s="205"/>
      <c r="L169" s="7"/>
      <c r="N169" s="205"/>
      <c r="P169" s="7"/>
      <c r="S169" s="205"/>
      <c r="U169" s="205"/>
    </row>
    <row r="170" spans="2:22" s="22" customFormat="1">
      <c r="F170" s="23"/>
      <c r="G170" s="202"/>
      <c r="I170" s="202"/>
      <c r="K170" s="202"/>
      <c r="L170" s="23"/>
      <c r="M170" s="37"/>
      <c r="N170" s="202"/>
      <c r="O170" s="23"/>
      <c r="P170" s="23"/>
      <c r="Q170" s="23"/>
      <c r="R170" s="23"/>
      <c r="S170" s="202"/>
      <c r="T170" s="23"/>
      <c r="U170" s="202"/>
    </row>
    <row r="171" spans="2:22" s="22" customFormat="1">
      <c r="B171" s="22" t="s">
        <v>3603</v>
      </c>
      <c r="C171" s="22" t="s">
        <v>3604</v>
      </c>
      <c r="D171" s="22" t="s">
        <v>3605</v>
      </c>
      <c r="E171" s="22" t="s">
        <v>3606</v>
      </c>
      <c r="F171" s="23">
        <v>1</v>
      </c>
      <c r="G171" s="202"/>
      <c r="H171" s="22" t="s">
        <v>3244</v>
      </c>
      <c r="I171" s="202"/>
      <c r="K171" s="202"/>
      <c r="L171" s="23"/>
      <c r="M171" s="37"/>
      <c r="N171" s="202"/>
      <c r="O171" s="72"/>
      <c r="P171" s="72"/>
      <c r="Q171" s="72"/>
      <c r="R171" s="72"/>
      <c r="S171" s="202"/>
      <c r="T171" s="72"/>
      <c r="U171" s="202"/>
      <c r="V171" s="22" t="s">
        <v>3607</v>
      </c>
    </row>
    <row r="172" spans="2:22" s="22" customFormat="1">
      <c r="F172" s="23"/>
      <c r="G172" s="202"/>
      <c r="I172" s="202"/>
      <c r="K172" s="202"/>
      <c r="L172" s="23"/>
      <c r="M172" s="37"/>
      <c r="N172" s="202"/>
      <c r="O172" s="72"/>
      <c r="P172" s="72"/>
      <c r="Q172" s="72"/>
      <c r="R172" s="72"/>
      <c r="S172" s="202"/>
      <c r="T172" s="72"/>
      <c r="U172" s="202"/>
    </row>
    <row r="173" spans="2:22" s="22" customFormat="1">
      <c r="B173" s="22" t="s">
        <v>3603</v>
      </c>
      <c r="C173" s="22" t="s">
        <v>3604</v>
      </c>
      <c r="D173" s="34" t="s">
        <v>3608</v>
      </c>
      <c r="F173" s="203"/>
      <c r="G173" s="204"/>
      <c r="I173" s="204"/>
      <c r="K173" s="204"/>
      <c r="L173" s="23"/>
      <c r="M173" s="37"/>
      <c r="N173" s="204"/>
      <c r="O173" s="23"/>
      <c r="P173" s="23"/>
      <c r="Q173" s="23"/>
      <c r="R173" s="23"/>
      <c r="S173" s="204"/>
      <c r="T173" s="23"/>
      <c r="U173" s="204"/>
    </row>
    <row r="174" spans="2:22" s="22" customFormat="1">
      <c r="B174" s="22" t="s">
        <v>3603</v>
      </c>
      <c r="C174" s="22" t="s">
        <v>3604</v>
      </c>
      <c r="D174" s="22" t="s">
        <v>3609</v>
      </c>
      <c r="E174" s="22" t="s">
        <v>3610</v>
      </c>
      <c r="F174" s="203">
        <v>1</v>
      </c>
      <c r="G174" s="205"/>
      <c r="H174" s="22" t="s">
        <v>3611</v>
      </c>
      <c r="I174" s="205"/>
      <c r="K174" s="205"/>
      <c r="M174" s="37"/>
      <c r="N174" s="205"/>
      <c r="O174" s="23">
        <v>18</v>
      </c>
      <c r="Q174" s="23">
        <v>9120</v>
      </c>
      <c r="R174" s="23"/>
      <c r="S174" s="205"/>
      <c r="T174" s="23"/>
      <c r="U174" s="205"/>
    </row>
    <row r="175" spans="2:22" s="22" customFormat="1">
      <c r="B175" s="22" t="s">
        <v>3603</v>
      </c>
      <c r="C175" s="22" t="s">
        <v>3604</v>
      </c>
      <c r="D175" s="22" t="s">
        <v>3612</v>
      </c>
      <c r="E175" s="22" t="s">
        <v>3613</v>
      </c>
      <c r="F175" s="203">
        <v>1</v>
      </c>
      <c r="G175" s="205"/>
      <c r="H175" s="22" t="s">
        <v>3614</v>
      </c>
      <c r="I175" s="205"/>
      <c r="K175" s="205"/>
      <c r="M175" s="37"/>
      <c r="N175" s="205"/>
      <c r="O175" s="23">
        <v>135</v>
      </c>
      <c r="Q175" s="23" t="s">
        <v>1859</v>
      </c>
      <c r="R175" s="23"/>
      <c r="S175" s="205"/>
      <c r="T175" s="23"/>
      <c r="U175" s="205"/>
    </row>
    <row r="176" spans="2:22" s="22" customFormat="1">
      <c r="B176" s="22" t="s">
        <v>3603</v>
      </c>
      <c r="C176" s="22" t="s">
        <v>3604</v>
      </c>
      <c r="D176" s="22" t="s">
        <v>3615</v>
      </c>
      <c r="E176" s="22" t="s">
        <v>3616</v>
      </c>
      <c r="F176" s="203">
        <v>1</v>
      </c>
      <c r="G176" s="205"/>
      <c r="H176" s="22" t="s">
        <v>3617</v>
      </c>
      <c r="I176" s="205"/>
      <c r="J176" s="23">
        <v>26</v>
      </c>
      <c r="K176" s="205"/>
      <c r="L176" s="23">
        <v>8</v>
      </c>
      <c r="M176" s="37" t="s">
        <v>3343</v>
      </c>
      <c r="N176" s="205"/>
      <c r="O176" s="23">
        <v>529</v>
      </c>
      <c r="P176" s="23"/>
      <c r="Q176" s="72">
        <v>155000</v>
      </c>
      <c r="R176" s="227" t="s">
        <v>3210</v>
      </c>
      <c r="S176" s="205"/>
      <c r="T176" s="23"/>
      <c r="U176" s="205"/>
      <c r="V176" s="22" t="s">
        <v>3618</v>
      </c>
    </row>
    <row r="177" spans="2:22" s="22" customFormat="1">
      <c r="B177" s="22" t="s">
        <v>3603</v>
      </c>
      <c r="C177" s="22" t="s">
        <v>3604</v>
      </c>
      <c r="D177" s="22" t="s">
        <v>3619</v>
      </c>
      <c r="E177" s="22" t="s">
        <v>3620</v>
      </c>
      <c r="F177" s="203">
        <v>1</v>
      </c>
      <c r="G177" s="205"/>
      <c r="H177" s="22" t="s">
        <v>3621</v>
      </c>
      <c r="I177" s="205"/>
      <c r="K177" s="205"/>
      <c r="M177" s="37"/>
      <c r="N177" s="205"/>
      <c r="O177" s="23">
        <v>350</v>
      </c>
      <c r="Q177" s="72">
        <v>300000</v>
      </c>
      <c r="R177" s="23"/>
      <c r="S177" s="205"/>
      <c r="T177" s="23"/>
      <c r="U177" s="205"/>
    </row>
    <row r="178" spans="2:22" s="22" customFormat="1">
      <c r="B178" s="22" t="s">
        <v>3603</v>
      </c>
      <c r="C178" s="22" t="s">
        <v>3604</v>
      </c>
      <c r="D178" s="34" t="s">
        <v>3622</v>
      </c>
      <c r="E178" s="22" t="s">
        <v>3623</v>
      </c>
      <c r="F178" s="203">
        <v>1</v>
      </c>
      <c r="G178" s="205"/>
      <c r="I178" s="205"/>
      <c r="K178" s="205"/>
      <c r="L178" s="23"/>
      <c r="M178" s="37"/>
      <c r="N178" s="205"/>
      <c r="O178" s="23"/>
      <c r="P178" s="23"/>
      <c r="Q178" s="23"/>
      <c r="R178" s="23"/>
      <c r="S178" s="205"/>
      <c r="T178" s="23"/>
      <c r="U178" s="205"/>
    </row>
    <row r="179" spans="2:22" s="22" customFormat="1">
      <c r="B179" s="22" t="s">
        <v>3603</v>
      </c>
      <c r="C179" s="22" t="s">
        <v>3604</v>
      </c>
      <c r="D179" s="34" t="s">
        <v>3624</v>
      </c>
      <c r="E179" s="22" t="s">
        <v>3625</v>
      </c>
      <c r="F179" s="203">
        <v>1</v>
      </c>
      <c r="G179" s="205"/>
      <c r="I179" s="205"/>
      <c r="K179" s="205"/>
      <c r="L179" s="23"/>
      <c r="M179" s="37"/>
      <c r="N179" s="205"/>
      <c r="O179" s="23">
        <v>6666</v>
      </c>
      <c r="P179" s="23"/>
      <c r="Q179" s="72">
        <v>1067106</v>
      </c>
      <c r="R179" s="227" t="s">
        <v>3210</v>
      </c>
      <c r="S179" s="205"/>
      <c r="T179" s="23"/>
      <c r="U179" s="205"/>
    </row>
    <row r="180" spans="2:22" s="22" customFormat="1">
      <c r="B180" s="22" t="s">
        <v>3603</v>
      </c>
      <c r="C180" s="22" t="s">
        <v>3604</v>
      </c>
      <c r="D180" s="22" t="s">
        <v>3626</v>
      </c>
      <c r="E180" s="22" t="s">
        <v>3627</v>
      </c>
      <c r="F180" s="203">
        <v>1</v>
      </c>
      <c r="G180" s="205"/>
      <c r="H180" s="22" t="s">
        <v>3628</v>
      </c>
      <c r="I180" s="205"/>
      <c r="K180" s="205"/>
      <c r="L180" s="23"/>
      <c r="M180" s="37"/>
      <c r="N180" s="205"/>
      <c r="O180" s="23">
        <v>336</v>
      </c>
      <c r="P180" s="23"/>
      <c r="Q180" s="72">
        <v>32000</v>
      </c>
      <c r="R180" s="227" t="s">
        <v>3210</v>
      </c>
      <c r="S180" s="205"/>
      <c r="T180" s="23"/>
      <c r="U180" s="205"/>
    </row>
    <row r="181" spans="2:22" s="22" customFormat="1">
      <c r="B181" s="22" t="s">
        <v>3603</v>
      </c>
      <c r="C181" s="22" t="s">
        <v>3604</v>
      </c>
      <c r="D181" s="34" t="s">
        <v>3629</v>
      </c>
      <c r="E181" s="22" t="s">
        <v>3630</v>
      </c>
      <c r="F181" s="203">
        <v>1</v>
      </c>
      <c r="G181" s="205"/>
      <c r="H181" s="22" t="s">
        <v>3631</v>
      </c>
      <c r="I181" s="205"/>
      <c r="K181" s="205"/>
      <c r="L181" s="23"/>
      <c r="M181" s="37"/>
      <c r="N181" s="205"/>
      <c r="O181" s="23">
        <v>1858</v>
      </c>
      <c r="P181" s="23"/>
      <c r="Q181" s="72">
        <v>91106</v>
      </c>
      <c r="R181" s="227" t="s">
        <v>3210</v>
      </c>
      <c r="S181" s="205"/>
      <c r="T181" s="23"/>
      <c r="U181" s="205"/>
    </row>
    <row r="182" spans="2:22" s="22" customFormat="1">
      <c r="B182" s="22" t="s">
        <v>3603</v>
      </c>
      <c r="C182" s="22" t="s">
        <v>3604</v>
      </c>
      <c r="D182" s="22" t="s">
        <v>3632</v>
      </c>
      <c r="E182" s="22" t="s">
        <v>3633</v>
      </c>
      <c r="F182" s="203">
        <v>1</v>
      </c>
      <c r="G182" s="205"/>
      <c r="H182" s="22" t="s">
        <v>3583</v>
      </c>
      <c r="I182" s="205"/>
      <c r="K182" s="205"/>
      <c r="M182" s="37"/>
      <c r="N182" s="205"/>
      <c r="O182" s="23">
        <v>450</v>
      </c>
      <c r="Q182" s="72">
        <v>30000</v>
      </c>
      <c r="R182" s="23"/>
      <c r="S182" s="205"/>
      <c r="T182" s="23"/>
      <c r="U182" s="205"/>
    </row>
    <row r="183" spans="2:22" s="22" customFormat="1">
      <c r="B183" s="22" t="s">
        <v>3603</v>
      </c>
      <c r="C183" s="22" t="s">
        <v>3604</v>
      </c>
      <c r="D183" s="22" t="s">
        <v>3634</v>
      </c>
      <c r="F183" s="203">
        <v>1</v>
      </c>
      <c r="G183" s="205"/>
      <c r="H183" s="22" t="s">
        <v>3635</v>
      </c>
      <c r="I183" s="205"/>
      <c r="K183" s="205"/>
      <c r="M183" s="37"/>
      <c r="N183" s="205"/>
      <c r="O183" s="23">
        <v>120</v>
      </c>
      <c r="Q183" s="72">
        <v>20000</v>
      </c>
      <c r="R183" s="23"/>
      <c r="S183" s="205"/>
      <c r="T183" s="23"/>
      <c r="U183" s="205"/>
    </row>
    <row r="184" spans="2:22" s="22" customFormat="1">
      <c r="B184" s="22" t="s">
        <v>3603</v>
      </c>
      <c r="C184" s="22" t="s">
        <v>3604</v>
      </c>
      <c r="D184" s="22" t="s">
        <v>3636</v>
      </c>
      <c r="E184" s="22" t="s">
        <v>3637</v>
      </c>
      <c r="F184" s="203">
        <v>1</v>
      </c>
      <c r="G184" s="205"/>
      <c r="H184" s="22" t="s">
        <v>3638</v>
      </c>
      <c r="I184" s="205"/>
      <c r="K184" s="205"/>
      <c r="M184" s="37"/>
      <c r="N184" s="205"/>
      <c r="O184" s="23">
        <v>250</v>
      </c>
      <c r="Q184" s="72">
        <v>18000</v>
      </c>
      <c r="R184" s="23"/>
      <c r="S184" s="205"/>
      <c r="T184" s="23"/>
      <c r="U184" s="205"/>
    </row>
    <row r="185" spans="2:22" s="22" customFormat="1">
      <c r="B185" s="22" t="s">
        <v>3603</v>
      </c>
      <c r="C185" s="22" t="s">
        <v>3604</v>
      </c>
      <c r="D185" s="22" t="s">
        <v>3639</v>
      </c>
      <c r="E185" s="22" t="s">
        <v>3640</v>
      </c>
      <c r="F185" s="203">
        <v>1</v>
      </c>
      <c r="G185" s="205"/>
      <c r="H185" s="22" t="s">
        <v>3641</v>
      </c>
      <c r="I185" s="205"/>
      <c r="K185" s="205"/>
      <c r="M185" s="37"/>
      <c r="N185" s="205"/>
      <c r="O185" s="23">
        <v>100</v>
      </c>
      <c r="Q185" s="72">
        <v>20000</v>
      </c>
      <c r="R185" s="23"/>
      <c r="S185" s="205"/>
      <c r="T185" s="23"/>
      <c r="U185" s="205"/>
    </row>
    <row r="186" spans="2:22" s="22" customFormat="1">
      <c r="B186" s="22" t="s">
        <v>3603</v>
      </c>
      <c r="C186" s="22" t="s">
        <v>3604</v>
      </c>
      <c r="D186" s="22" t="s">
        <v>3642</v>
      </c>
      <c r="E186" s="22" t="s">
        <v>3643</v>
      </c>
      <c r="F186" s="203">
        <v>1</v>
      </c>
      <c r="G186" s="205"/>
      <c r="H186" s="22" t="s">
        <v>3402</v>
      </c>
      <c r="I186" s="205"/>
      <c r="K186" s="205"/>
      <c r="M186" s="37"/>
      <c r="N186" s="205"/>
      <c r="O186" s="23">
        <v>170</v>
      </c>
      <c r="Q186" s="23" t="s">
        <v>1859</v>
      </c>
      <c r="R186" s="23"/>
      <c r="S186" s="205"/>
      <c r="T186" s="23"/>
      <c r="U186" s="205"/>
    </row>
    <row r="187" spans="2:22" s="22" customFormat="1">
      <c r="B187" s="22" t="s">
        <v>3603</v>
      </c>
      <c r="C187" s="22" t="s">
        <v>3604</v>
      </c>
      <c r="D187" s="22" t="s">
        <v>3644</v>
      </c>
      <c r="E187" s="22" t="s">
        <v>3645</v>
      </c>
      <c r="F187" s="203">
        <v>1</v>
      </c>
      <c r="G187" s="205"/>
      <c r="H187" s="22" t="s">
        <v>865</v>
      </c>
      <c r="I187" s="205"/>
      <c r="K187" s="205"/>
      <c r="M187" s="37"/>
      <c r="N187" s="205"/>
      <c r="O187" s="23">
        <v>1273</v>
      </c>
      <c r="Q187" s="72">
        <v>432632</v>
      </c>
      <c r="R187" s="23"/>
      <c r="S187" s="205"/>
      <c r="T187" s="23"/>
      <c r="U187" s="205"/>
    </row>
    <row r="188" spans="2:22" s="22" customFormat="1">
      <c r="B188" s="22" t="s">
        <v>3603</v>
      </c>
      <c r="C188" s="22" t="s">
        <v>3604</v>
      </c>
      <c r="D188" s="22" t="s">
        <v>3646</v>
      </c>
      <c r="E188" s="22" t="s">
        <v>3647</v>
      </c>
      <c r="F188" s="203">
        <v>1</v>
      </c>
      <c r="G188" s="205"/>
      <c r="H188" s="22" t="s">
        <v>3648</v>
      </c>
      <c r="I188" s="205"/>
      <c r="K188" s="205"/>
      <c r="M188" s="37"/>
      <c r="N188" s="205"/>
      <c r="O188" s="23"/>
      <c r="Q188" s="72">
        <v>100000</v>
      </c>
      <c r="R188" s="23"/>
      <c r="S188" s="205"/>
      <c r="T188" s="23"/>
      <c r="U188" s="205"/>
    </row>
    <row r="189" spans="2:22" s="22" customFormat="1">
      <c r="B189" s="22" t="s">
        <v>3603</v>
      </c>
      <c r="C189" s="22" t="s">
        <v>3604</v>
      </c>
      <c r="D189" s="34" t="s">
        <v>3649</v>
      </c>
      <c r="E189" s="22" t="s">
        <v>3650</v>
      </c>
      <c r="F189" s="203">
        <v>1</v>
      </c>
      <c r="G189" s="205"/>
      <c r="H189" s="22" t="s">
        <v>3651</v>
      </c>
      <c r="I189" s="205"/>
      <c r="K189" s="205"/>
      <c r="L189" s="23"/>
      <c r="M189" s="37"/>
      <c r="N189" s="205"/>
      <c r="O189" s="23">
        <v>78</v>
      </c>
      <c r="P189" s="23"/>
      <c r="Q189" s="23"/>
      <c r="R189" s="23"/>
      <c r="S189" s="205"/>
      <c r="T189" s="23">
        <v>1</v>
      </c>
      <c r="U189" s="205"/>
    </row>
    <row r="190" spans="2:22" s="22" customFormat="1">
      <c r="B190" s="22" t="s">
        <v>3603</v>
      </c>
      <c r="C190" s="22" t="s">
        <v>3604</v>
      </c>
      <c r="D190" s="34" t="s">
        <v>3652</v>
      </c>
      <c r="E190" s="22" t="s">
        <v>3653</v>
      </c>
      <c r="F190" s="203">
        <v>1</v>
      </c>
      <c r="G190" s="205"/>
      <c r="I190" s="205"/>
      <c r="K190" s="205"/>
      <c r="L190" s="23"/>
      <c r="M190" s="37"/>
      <c r="N190" s="205"/>
      <c r="O190" s="23"/>
      <c r="P190" s="23"/>
      <c r="Q190" s="23"/>
      <c r="R190" s="23"/>
      <c r="S190" s="205"/>
      <c r="T190" s="23"/>
      <c r="U190" s="205"/>
      <c r="V190" s="22" t="s">
        <v>3654</v>
      </c>
    </row>
    <row r="191" spans="2:22" s="22" customFormat="1">
      <c r="B191" s="22" t="s">
        <v>3603</v>
      </c>
      <c r="C191" s="22" t="s">
        <v>3604</v>
      </c>
      <c r="D191" s="22" t="s">
        <v>3655</v>
      </c>
      <c r="E191" s="22" t="s">
        <v>3656</v>
      </c>
      <c r="F191" s="203">
        <v>1</v>
      </c>
      <c r="G191" s="205"/>
      <c r="H191" s="22" t="s">
        <v>3657</v>
      </c>
      <c r="I191" s="205"/>
      <c r="K191" s="205"/>
      <c r="L191" s="23"/>
      <c r="M191" s="37"/>
      <c r="N191" s="205"/>
      <c r="O191" s="23" t="s">
        <v>1859</v>
      </c>
      <c r="P191" s="23"/>
      <c r="Q191" s="23" t="s">
        <v>1859</v>
      </c>
      <c r="R191" s="227" t="s">
        <v>3210</v>
      </c>
      <c r="S191" s="205"/>
      <c r="T191" s="23"/>
      <c r="U191" s="205"/>
    </row>
    <row r="192" spans="2:22" s="22" customFormat="1">
      <c r="B192" s="22" t="s">
        <v>3603</v>
      </c>
      <c r="C192" s="22" t="s">
        <v>3604</v>
      </c>
      <c r="D192" s="34" t="s">
        <v>3658</v>
      </c>
      <c r="E192" s="22" t="s">
        <v>3659</v>
      </c>
      <c r="F192" s="203">
        <v>1</v>
      </c>
      <c r="G192" s="205"/>
      <c r="H192" s="22" t="s">
        <v>3660</v>
      </c>
      <c r="I192" s="205"/>
      <c r="J192" s="23">
        <v>10</v>
      </c>
      <c r="K192" s="205"/>
      <c r="L192" s="23">
        <v>6</v>
      </c>
      <c r="M192" s="37" t="s">
        <v>3375</v>
      </c>
      <c r="N192" s="205"/>
      <c r="O192" s="23">
        <v>1480</v>
      </c>
      <c r="P192" s="23"/>
      <c r="Q192" s="23"/>
      <c r="R192" s="23"/>
      <c r="S192" s="205"/>
      <c r="T192" s="23">
        <v>2</v>
      </c>
      <c r="U192" s="205"/>
    </row>
    <row r="193" spans="2:22" s="22" customFormat="1">
      <c r="B193" s="22" t="s">
        <v>3603</v>
      </c>
      <c r="C193" s="22" t="s">
        <v>3604</v>
      </c>
      <c r="D193" s="34" t="s">
        <v>3661</v>
      </c>
      <c r="F193" s="203">
        <v>1</v>
      </c>
      <c r="G193" s="204"/>
      <c r="I193" s="204"/>
      <c r="K193" s="204"/>
      <c r="L193" s="23"/>
      <c r="M193" s="37"/>
      <c r="N193" s="204"/>
      <c r="O193" s="23"/>
      <c r="P193" s="23"/>
      <c r="Q193" s="23"/>
      <c r="R193" s="23"/>
      <c r="S193" s="204"/>
      <c r="T193" s="23"/>
      <c r="U193" s="204"/>
    </row>
    <row r="194" spans="2:22" s="22" customFormat="1">
      <c r="B194" s="22" t="s">
        <v>3603</v>
      </c>
      <c r="C194" s="22" t="s">
        <v>3604</v>
      </c>
      <c r="D194" s="22" t="s">
        <v>3662</v>
      </c>
      <c r="E194" s="22" t="s">
        <v>3663</v>
      </c>
      <c r="F194" s="203">
        <v>1</v>
      </c>
      <c r="G194" s="205"/>
      <c r="H194" s="22" t="s">
        <v>3664</v>
      </c>
      <c r="I194" s="205"/>
      <c r="K194" s="205"/>
      <c r="M194" s="37"/>
      <c r="N194" s="205"/>
      <c r="O194" s="23">
        <v>96</v>
      </c>
      <c r="Q194" s="72">
        <v>7200</v>
      </c>
      <c r="R194" s="23"/>
      <c r="S194" s="205"/>
      <c r="T194" s="23"/>
      <c r="U194" s="205"/>
    </row>
    <row r="195" spans="2:22" s="22" customFormat="1">
      <c r="B195" s="22" t="s">
        <v>3603</v>
      </c>
      <c r="C195" s="22" t="s">
        <v>3604</v>
      </c>
      <c r="D195" s="34" t="s">
        <v>3665</v>
      </c>
      <c r="E195" s="22" t="s">
        <v>3666</v>
      </c>
      <c r="F195" s="203">
        <v>1</v>
      </c>
      <c r="G195" s="204"/>
      <c r="H195" s="22" t="s">
        <v>3667</v>
      </c>
      <c r="I195" s="204"/>
      <c r="K195" s="204"/>
      <c r="L195" s="23">
        <v>24</v>
      </c>
      <c r="M195" s="37"/>
      <c r="N195" s="204"/>
      <c r="O195" s="23">
        <v>2010</v>
      </c>
      <c r="P195" s="72"/>
      <c r="Q195" s="72">
        <v>257758</v>
      </c>
      <c r="R195" s="227" t="s">
        <v>3210</v>
      </c>
      <c r="S195" s="204"/>
      <c r="T195" s="72"/>
      <c r="U195" s="204"/>
    </row>
    <row r="196" spans="2:22" s="22" customFormat="1">
      <c r="B196" s="22" t="s">
        <v>3603</v>
      </c>
      <c r="C196" s="22" t="s">
        <v>3604</v>
      </c>
      <c r="D196" s="34" t="s">
        <v>1344</v>
      </c>
      <c r="E196" s="22" t="s">
        <v>3668</v>
      </c>
      <c r="F196" s="203">
        <v>1</v>
      </c>
      <c r="G196" s="204"/>
      <c r="H196" s="22" t="s">
        <v>3669</v>
      </c>
      <c r="I196" s="204"/>
      <c r="J196" s="23">
        <v>11</v>
      </c>
      <c r="K196" s="204"/>
      <c r="L196" s="23">
        <v>5</v>
      </c>
      <c r="M196" s="37" t="s">
        <v>3343</v>
      </c>
      <c r="N196" s="204"/>
      <c r="O196" s="72">
        <v>302</v>
      </c>
      <c r="P196" s="72"/>
      <c r="Q196" s="72">
        <v>45000</v>
      </c>
      <c r="R196" s="37" t="s">
        <v>3437</v>
      </c>
      <c r="S196" s="204"/>
      <c r="T196" s="72"/>
      <c r="U196" s="204"/>
    </row>
    <row r="197" spans="2:22" s="22" customFormat="1">
      <c r="B197" s="22" t="s">
        <v>3603</v>
      </c>
      <c r="C197" s="22" t="s">
        <v>3604</v>
      </c>
      <c r="D197" s="22" t="s">
        <v>3670</v>
      </c>
      <c r="E197" s="22" t="s">
        <v>3671</v>
      </c>
      <c r="F197" s="203">
        <v>1</v>
      </c>
      <c r="G197" s="205"/>
      <c r="H197" s="22" t="s">
        <v>863</v>
      </c>
      <c r="I197" s="205"/>
      <c r="K197" s="205"/>
      <c r="M197" s="37"/>
      <c r="N197" s="205"/>
      <c r="O197" s="23">
        <v>1750</v>
      </c>
      <c r="Q197" s="72">
        <v>1500000</v>
      </c>
      <c r="R197" s="227" t="s">
        <v>3210</v>
      </c>
      <c r="S197" s="205"/>
      <c r="T197" s="72"/>
      <c r="U197" s="205"/>
    </row>
    <row r="198" spans="2:22" s="22" customFormat="1">
      <c r="B198" s="22" t="s">
        <v>3603</v>
      </c>
      <c r="C198" s="22" t="s">
        <v>3604</v>
      </c>
      <c r="D198" s="22" t="s">
        <v>3672</v>
      </c>
      <c r="E198" s="22" t="s">
        <v>3673</v>
      </c>
      <c r="F198" s="203">
        <v>1</v>
      </c>
      <c r="G198" s="205"/>
      <c r="H198" s="22" t="s">
        <v>3674</v>
      </c>
      <c r="I198" s="205"/>
      <c r="K198" s="205"/>
      <c r="M198" s="37"/>
      <c r="N198" s="205"/>
      <c r="O198" s="23">
        <v>1158</v>
      </c>
      <c r="Q198" s="72">
        <v>90030</v>
      </c>
      <c r="R198" s="227" t="s">
        <v>3210</v>
      </c>
      <c r="S198" s="205"/>
      <c r="T198" s="72"/>
      <c r="U198" s="205"/>
    </row>
    <row r="199" spans="2:22" s="22" customFormat="1">
      <c r="B199" s="22" t="s">
        <v>3603</v>
      </c>
      <c r="C199" s="22" t="s">
        <v>3604</v>
      </c>
      <c r="D199" s="22" t="s">
        <v>3675</v>
      </c>
      <c r="E199" s="22" t="s">
        <v>3676</v>
      </c>
      <c r="F199" s="203">
        <v>1</v>
      </c>
      <c r="G199" s="205"/>
      <c r="H199" s="22" t="s">
        <v>3677</v>
      </c>
      <c r="I199" s="205"/>
      <c r="K199" s="205"/>
      <c r="M199" s="37"/>
      <c r="N199" s="205"/>
      <c r="O199" s="23">
        <v>150</v>
      </c>
      <c r="Q199" s="23">
        <v>28000</v>
      </c>
      <c r="R199" s="227" t="s">
        <v>3210</v>
      </c>
      <c r="S199" s="205"/>
      <c r="T199" s="72"/>
      <c r="U199" s="205"/>
    </row>
    <row r="200" spans="2:22" s="22" customFormat="1">
      <c r="B200" s="22" t="s">
        <v>3603</v>
      </c>
      <c r="C200" s="22" t="s">
        <v>3604</v>
      </c>
      <c r="D200" s="34" t="s">
        <v>3678</v>
      </c>
      <c r="E200" s="22" t="s">
        <v>3679</v>
      </c>
      <c r="F200" s="203">
        <v>1</v>
      </c>
      <c r="G200" s="204"/>
      <c r="I200" s="204"/>
      <c r="K200" s="204"/>
      <c r="L200" s="23"/>
      <c r="M200" s="37"/>
      <c r="N200" s="204"/>
      <c r="O200" s="23"/>
      <c r="P200" s="23"/>
      <c r="Q200" s="23"/>
      <c r="R200" s="23"/>
      <c r="S200" s="204"/>
      <c r="T200" s="23"/>
      <c r="U200" s="204"/>
      <c r="V200" s="22" t="s">
        <v>3654</v>
      </c>
    </row>
    <row r="201" spans="2:22" s="22" customFormat="1">
      <c r="B201" s="22" t="s">
        <v>3603</v>
      </c>
      <c r="C201" s="22" t="s">
        <v>3604</v>
      </c>
      <c r="D201" s="22" t="s">
        <v>3680</v>
      </c>
      <c r="E201" s="22" t="s">
        <v>3681</v>
      </c>
      <c r="F201" s="203">
        <v>1</v>
      </c>
      <c r="G201" s="204"/>
      <c r="H201" s="22" t="s">
        <v>3682</v>
      </c>
      <c r="I201" s="204"/>
      <c r="K201" s="204"/>
      <c r="L201" s="23"/>
      <c r="M201" s="37"/>
      <c r="N201" s="204"/>
      <c r="O201" s="23">
        <v>4358</v>
      </c>
      <c r="P201" s="23"/>
      <c r="Q201" s="72">
        <v>646304</v>
      </c>
      <c r="R201" s="227" t="s">
        <v>3210</v>
      </c>
      <c r="S201" s="204"/>
      <c r="T201" s="23"/>
      <c r="U201" s="204"/>
    </row>
    <row r="202" spans="2:22" s="22" customFormat="1">
      <c r="F202" s="23"/>
      <c r="G202" s="202"/>
      <c r="I202" s="202"/>
      <c r="K202" s="202"/>
      <c r="L202" s="23"/>
      <c r="M202" s="37"/>
      <c r="N202" s="202"/>
      <c r="O202" s="23"/>
      <c r="P202" s="23"/>
      <c r="Q202" s="72"/>
      <c r="R202" s="23"/>
      <c r="S202" s="202"/>
      <c r="T202" s="23"/>
      <c r="U202" s="202"/>
    </row>
    <row r="203" spans="2:22" s="22" customFormat="1">
      <c r="B203" s="22" t="s">
        <v>3603</v>
      </c>
      <c r="C203" s="22" t="s">
        <v>3684</v>
      </c>
      <c r="D203" s="22" t="s">
        <v>3685</v>
      </c>
      <c r="E203" s="34" t="s">
        <v>3686</v>
      </c>
      <c r="F203" s="23">
        <v>1</v>
      </c>
      <c r="G203" s="202"/>
      <c r="I203" s="202"/>
      <c r="K203" s="202"/>
      <c r="L203" s="23"/>
      <c r="M203" s="37"/>
      <c r="N203" s="202"/>
      <c r="O203" s="23">
        <v>78</v>
      </c>
      <c r="P203" s="23">
        <v>51</v>
      </c>
      <c r="Q203" s="72">
        <v>64900</v>
      </c>
      <c r="R203" s="23" t="s">
        <v>3683</v>
      </c>
      <c r="S203" s="202"/>
      <c r="T203" s="23"/>
      <c r="U203" s="202"/>
    </row>
    <row r="204" spans="2:22" s="22" customFormat="1">
      <c r="B204" s="22" t="s">
        <v>3603</v>
      </c>
      <c r="C204" s="22" t="s">
        <v>3687</v>
      </c>
      <c r="D204" s="22" t="s">
        <v>3688</v>
      </c>
      <c r="E204" s="34" t="s">
        <v>3689</v>
      </c>
      <c r="F204" s="23">
        <v>1</v>
      </c>
      <c r="G204" s="202"/>
      <c r="H204" s="12" t="s">
        <v>3690</v>
      </c>
      <c r="I204" s="202"/>
      <c r="J204" s="23">
        <v>27</v>
      </c>
      <c r="K204" s="202"/>
      <c r="L204" s="23">
        <v>25</v>
      </c>
      <c r="M204" s="37" t="s">
        <v>3375</v>
      </c>
      <c r="N204" s="202"/>
      <c r="O204" s="23">
        <v>2297</v>
      </c>
      <c r="P204" s="23">
        <v>1868</v>
      </c>
      <c r="Q204" s="72">
        <v>482449</v>
      </c>
      <c r="R204" s="23" t="s">
        <v>3683</v>
      </c>
      <c r="S204" s="202"/>
      <c r="T204" s="23"/>
      <c r="U204" s="202"/>
    </row>
    <row r="205" spans="2:22" s="22" customFormat="1">
      <c r="B205" s="22" t="s">
        <v>3603</v>
      </c>
      <c r="D205" s="22" t="s">
        <v>3691</v>
      </c>
      <c r="E205" s="22" t="s">
        <v>3692</v>
      </c>
      <c r="F205" s="9">
        <v>1</v>
      </c>
      <c r="G205" s="205"/>
      <c r="H205" s="22" t="s">
        <v>3693</v>
      </c>
      <c r="I205" s="205"/>
      <c r="K205" s="205"/>
      <c r="L205" s="9"/>
      <c r="M205" s="10"/>
      <c r="N205" s="205"/>
      <c r="O205" s="23">
        <v>84</v>
      </c>
      <c r="Q205" s="72">
        <v>23980</v>
      </c>
      <c r="R205" s="227" t="s">
        <v>3210</v>
      </c>
      <c r="S205" s="205"/>
      <c r="T205" s="23"/>
      <c r="U205" s="205"/>
    </row>
    <row r="206" spans="2:22" s="22" customFormat="1">
      <c r="B206" s="22" t="s">
        <v>3603</v>
      </c>
      <c r="D206" s="22" t="s">
        <v>3694</v>
      </c>
      <c r="E206" s="22" t="s">
        <v>3695</v>
      </c>
      <c r="F206" s="9">
        <v>1</v>
      </c>
      <c r="G206" s="205"/>
      <c r="H206" s="7" t="s">
        <v>3696</v>
      </c>
      <c r="I206" s="205"/>
      <c r="J206" s="7"/>
      <c r="K206" s="205"/>
      <c r="L206" s="9"/>
      <c r="M206" s="10"/>
      <c r="N206" s="205"/>
      <c r="O206" s="23">
        <v>129</v>
      </c>
      <c r="Q206" s="72">
        <v>10714</v>
      </c>
      <c r="R206" s="227" t="s">
        <v>3210</v>
      </c>
      <c r="S206" s="205"/>
      <c r="T206" s="23"/>
      <c r="U206" s="205"/>
    </row>
    <row r="207" spans="2:22" s="22" customFormat="1">
      <c r="B207" s="22" t="s">
        <v>3603</v>
      </c>
      <c r="D207" s="22" t="s">
        <v>3697</v>
      </c>
      <c r="E207" s="22" t="s">
        <v>3698</v>
      </c>
      <c r="F207" s="9">
        <v>1</v>
      </c>
      <c r="G207" s="202"/>
      <c r="H207" s="22" t="s">
        <v>3699</v>
      </c>
      <c r="I207" s="202"/>
      <c r="K207" s="202"/>
      <c r="M207" s="37"/>
      <c r="N207" s="202"/>
      <c r="O207" s="23">
        <v>148</v>
      </c>
      <c r="Q207" s="72">
        <v>11468</v>
      </c>
      <c r="R207" s="227" t="s">
        <v>3210</v>
      </c>
      <c r="S207" s="202"/>
      <c r="T207" s="23"/>
      <c r="U207" s="202"/>
    </row>
    <row r="208" spans="2:22" s="22" customFormat="1">
      <c r="B208" s="22" t="s">
        <v>3603</v>
      </c>
      <c r="D208" s="22" t="s">
        <v>3700</v>
      </c>
      <c r="E208" s="22" t="s">
        <v>3701</v>
      </c>
      <c r="F208" s="9">
        <v>1</v>
      </c>
      <c r="G208" s="205"/>
      <c r="H208" s="22" t="s">
        <v>3702</v>
      </c>
      <c r="I208" s="205"/>
      <c r="K208" s="205"/>
      <c r="M208" s="37"/>
      <c r="N208" s="205"/>
      <c r="O208" s="23">
        <v>140</v>
      </c>
      <c r="Q208" s="72">
        <v>8000</v>
      </c>
      <c r="R208" s="227" t="s">
        <v>3210</v>
      </c>
      <c r="S208" s="205"/>
      <c r="T208" s="23"/>
      <c r="U208" s="205"/>
    </row>
    <row r="209" spans="2:22" s="22" customFormat="1">
      <c r="B209" s="22" t="s">
        <v>3603</v>
      </c>
      <c r="D209" s="22" t="s">
        <v>3703</v>
      </c>
      <c r="E209" s="22" t="s">
        <v>3704</v>
      </c>
      <c r="F209" s="9">
        <v>1</v>
      </c>
      <c r="G209" s="205"/>
      <c r="H209" s="22" t="s">
        <v>3628</v>
      </c>
      <c r="I209" s="205"/>
      <c r="K209" s="205"/>
      <c r="M209" s="37"/>
      <c r="N209" s="205"/>
      <c r="O209" s="23">
        <v>413</v>
      </c>
      <c r="Q209" s="23" t="s">
        <v>1859</v>
      </c>
      <c r="R209" s="227" t="s">
        <v>3210</v>
      </c>
      <c r="S209" s="205"/>
      <c r="T209" s="23"/>
      <c r="U209" s="205"/>
    </row>
    <row r="210" spans="2:22" s="22" customFormat="1">
      <c r="F210" s="23"/>
      <c r="G210" s="202"/>
      <c r="I210" s="202"/>
      <c r="K210" s="202"/>
      <c r="L210" s="23"/>
      <c r="M210" s="37"/>
      <c r="N210" s="202"/>
      <c r="O210" s="23"/>
      <c r="P210" s="23"/>
      <c r="Q210" s="23"/>
      <c r="R210" s="23"/>
      <c r="S210" s="202"/>
      <c r="T210" s="23"/>
      <c r="U210" s="202"/>
    </row>
    <row r="211" spans="2:22" s="22" customFormat="1">
      <c r="B211" s="22" t="s">
        <v>3603</v>
      </c>
      <c r="C211" s="22" t="s">
        <v>3705</v>
      </c>
      <c r="D211" s="34" t="s">
        <v>3706</v>
      </c>
      <c r="E211" s="22" t="s">
        <v>3707</v>
      </c>
      <c r="F211" s="203">
        <v>1</v>
      </c>
      <c r="G211" s="204"/>
      <c r="I211" s="204"/>
      <c r="K211" s="204"/>
      <c r="L211" s="23"/>
      <c r="M211" s="37"/>
      <c r="N211" s="204"/>
      <c r="O211" s="23"/>
      <c r="P211" s="23"/>
      <c r="Q211" s="23"/>
      <c r="R211" s="23"/>
      <c r="S211" s="204"/>
      <c r="T211" s="23"/>
      <c r="U211" s="204"/>
    </row>
    <row r="212" spans="2:22" s="22" customFormat="1">
      <c r="F212" s="23"/>
      <c r="G212" s="202"/>
      <c r="I212" s="202"/>
      <c r="K212" s="202"/>
      <c r="L212" s="23"/>
      <c r="M212" s="37"/>
      <c r="N212" s="202"/>
      <c r="O212" s="23"/>
      <c r="P212" s="23"/>
      <c r="Q212" s="23"/>
      <c r="R212" s="23"/>
      <c r="S212" s="202"/>
      <c r="T212" s="23"/>
      <c r="U212" s="202"/>
    </row>
    <row r="213" spans="2:22" s="22" customFormat="1">
      <c r="B213" s="22" t="s">
        <v>3603</v>
      </c>
      <c r="C213" s="22" t="s">
        <v>3708</v>
      </c>
      <c r="D213" s="34" t="s">
        <v>3709</v>
      </c>
      <c r="E213" s="22" t="s">
        <v>3710</v>
      </c>
      <c r="F213" s="203">
        <v>1</v>
      </c>
      <c r="G213" s="204"/>
      <c r="I213" s="204"/>
      <c r="K213" s="204"/>
      <c r="L213" s="23"/>
      <c r="M213" s="37"/>
      <c r="N213" s="204"/>
      <c r="O213" s="23">
        <v>1200</v>
      </c>
      <c r="P213" s="23"/>
      <c r="Q213" s="72">
        <v>500000</v>
      </c>
      <c r="R213" s="37" t="s">
        <v>3437</v>
      </c>
      <c r="S213" s="204"/>
      <c r="T213" s="23"/>
      <c r="U213" s="204"/>
      <c r="V213" s="22" t="s">
        <v>3618</v>
      </c>
    </row>
    <row r="214" spans="2:22" s="22" customFormat="1">
      <c r="B214" s="22" t="s">
        <v>3603</v>
      </c>
      <c r="C214" s="22" t="s">
        <v>3708</v>
      </c>
      <c r="D214" s="22" t="s">
        <v>3711</v>
      </c>
      <c r="E214" s="22" t="s">
        <v>3712</v>
      </c>
      <c r="F214" s="23">
        <v>1</v>
      </c>
      <c r="G214" s="202"/>
      <c r="H214" s="22" t="s">
        <v>3713</v>
      </c>
      <c r="I214" s="202"/>
      <c r="K214" s="202"/>
      <c r="L214" s="23"/>
      <c r="M214" s="37"/>
      <c r="N214" s="202"/>
      <c r="O214" s="23"/>
      <c r="P214" s="23"/>
      <c r="Q214" s="23"/>
      <c r="R214" s="23"/>
      <c r="S214" s="202"/>
      <c r="T214" s="23"/>
      <c r="U214" s="202"/>
      <c r="V214" s="22" t="s">
        <v>3714</v>
      </c>
    </row>
    <row r="215" spans="2:22" s="22" customFormat="1">
      <c r="B215" s="22" t="s">
        <v>3603</v>
      </c>
      <c r="C215" s="22" t="s">
        <v>3708</v>
      </c>
      <c r="D215" s="34" t="s">
        <v>3715</v>
      </c>
      <c r="E215" s="22" t="s">
        <v>3716</v>
      </c>
      <c r="F215" s="203">
        <v>1</v>
      </c>
      <c r="G215" s="204"/>
      <c r="H215" s="22" t="s">
        <v>3717</v>
      </c>
      <c r="I215" s="204"/>
      <c r="K215" s="204"/>
      <c r="L215" s="72"/>
      <c r="M215" s="37"/>
      <c r="N215" s="204"/>
      <c r="O215" s="23">
        <v>2100</v>
      </c>
      <c r="P215" s="23"/>
      <c r="Q215" s="72">
        <v>252905</v>
      </c>
      <c r="R215" s="227" t="s">
        <v>3210</v>
      </c>
      <c r="S215" s="204"/>
      <c r="T215" s="23">
        <v>4</v>
      </c>
      <c r="U215" s="204"/>
      <c r="V215" s="22" t="s">
        <v>3718</v>
      </c>
    </row>
    <row r="216" spans="2:22" s="22" customFormat="1">
      <c r="F216" s="23"/>
      <c r="G216" s="202"/>
      <c r="I216" s="202"/>
      <c r="K216" s="202"/>
      <c r="L216" s="23"/>
      <c r="M216" s="37"/>
      <c r="N216" s="202"/>
      <c r="O216" s="23"/>
      <c r="P216" s="23"/>
      <c r="Q216" s="23"/>
      <c r="R216" s="23"/>
      <c r="S216" s="202"/>
      <c r="T216" s="23"/>
      <c r="U216" s="202"/>
    </row>
    <row r="217" spans="2:22" s="22" customFormat="1">
      <c r="F217" s="23"/>
      <c r="G217" s="202"/>
      <c r="I217" s="202"/>
      <c r="K217" s="202"/>
      <c r="L217" s="23"/>
      <c r="M217" s="37"/>
      <c r="N217" s="202"/>
      <c r="O217" s="23"/>
      <c r="P217" s="23"/>
      <c r="Q217" s="23"/>
      <c r="R217" s="23"/>
      <c r="S217" s="202"/>
      <c r="T217" s="23"/>
      <c r="U217" s="202"/>
    </row>
    <row r="218" spans="2:22" s="22" customFormat="1">
      <c r="B218" s="22" t="s">
        <v>3603</v>
      </c>
      <c r="C218" s="22" t="s">
        <v>3719</v>
      </c>
      <c r="D218" s="34" t="s">
        <v>3720</v>
      </c>
      <c r="E218" s="22" t="s">
        <v>3721</v>
      </c>
      <c r="F218" s="203">
        <v>1</v>
      </c>
      <c r="G218" s="204"/>
      <c r="I218" s="204"/>
      <c r="K218" s="204"/>
      <c r="L218" s="23"/>
      <c r="M218" s="37"/>
      <c r="N218" s="204"/>
      <c r="O218" s="23"/>
      <c r="P218" s="23"/>
      <c r="Q218" s="23"/>
      <c r="R218" s="23"/>
      <c r="S218" s="204"/>
      <c r="T218" s="23"/>
      <c r="U218" s="204"/>
    </row>
    <row r="219" spans="2:22" s="22" customFormat="1">
      <c r="F219" s="23"/>
      <c r="G219" s="202"/>
      <c r="I219" s="202"/>
      <c r="K219" s="202"/>
      <c r="L219" s="23"/>
      <c r="M219" s="37"/>
      <c r="N219" s="202"/>
      <c r="O219" s="23"/>
      <c r="P219" s="23"/>
      <c r="Q219" s="23"/>
      <c r="R219" s="23"/>
      <c r="S219" s="202"/>
      <c r="T219" s="23"/>
      <c r="U219" s="202"/>
    </row>
    <row r="220" spans="2:22" s="22" customFormat="1">
      <c r="B220" s="36" t="s">
        <v>3722</v>
      </c>
      <c r="C220" s="22" t="s">
        <v>3723</v>
      </c>
      <c r="D220" s="22" t="s">
        <v>3724</v>
      </c>
      <c r="E220" s="22" t="s">
        <v>3725</v>
      </c>
      <c r="F220" s="23">
        <v>1</v>
      </c>
      <c r="G220" s="205"/>
      <c r="I220" s="205"/>
      <c r="K220" s="205"/>
      <c r="M220" s="37"/>
      <c r="N220" s="205"/>
      <c r="O220" s="72">
        <v>19081</v>
      </c>
      <c r="P220" s="23"/>
      <c r="Q220" s="72">
        <v>63400000</v>
      </c>
      <c r="R220" s="227" t="s">
        <v>3210</v>
      </c>
      <c r="S220" s="205"/>
      <c r="T220" s="23"/>
      <c r="U220" s="205"/>
    </row>
    <row r="221" spans="2:22" s="22" customFormat="1">
      <c r="F221" s="23"/>
      <c r="G221" s="202"/>
      <c r="I221" s="202"/>
      <c r="K221" s="202"/>
      <c r="L221" s="23"/>
      <c r="M221" s="37"/>
      <c r="N221" s="202"/>
      <c r="O221" s="23"/>
      <c r="P221" s="23"/>
      <c r="Q221" s="23"/>
      <c r="R221" s="23"/>
      <c r="S221" s="202"/>
      <c r="T221" s="23"/>
      <c r="U221" s="202"/>
    </row>
    <row r="222" spans="2:22" s="22" customFormat="1">
      <c r="B222" s="36" t="s">
        <v>3722</v>
      </c>
      <c r="C222" s="206" t="s">
        <v>3726</v>
      </c>
      <c r="D222" s="22" t="s">
        <v>3727</v>
      </c>
      <c r="E222" s="22" t="s">
        <v>3728</v>
      </c>
      <c r="F222" s="23">
        <v>1</v>
      </c>
      <c r="G222" s="202"/>
      <c r="H222" s="22" t="s">
        <v>3729</v>
      </c>
      <c r="I222" s="202"/>
      <c r="K222" s="202"/>
      <c r="L222" s="23"/>
      <c r="M222" s="37"/>
      <c r="N222" s="202"/>
      <c r="O222" s="23">
        <v>103</v>
      </c>
      <c r="P222" s="23"/>
      <c r="Q222" s="72">
        <v>20000</v>
      </c>
      <c r="R222" s="227" t="s">
        <v>3210</v>
      </c>
      <c r="S222" s="202"/>
      <c r="T222" s="23"/>
      <c r="U222" s="202"/>
    </row>
    <row r="223" spans="2:22" s="22" customFormat="1">
      <c r="B223" s="36"/>
      <c r="F223" s="23"/>
      <c r="G223" s="202"/>
      <c r="I223" s="202"/>
      <c r="K223" s="202"/>
      <c r="L223" s="23"/>
      <c r="M223" s="37"/>
      <c r="N223" s="202"/>
      <c r="O223" s="23"/>
      <c r="P223" s="23"/>
      <c r="Q223" s="23"/>
      <c r="R223" s="23"/>
      <c r="S223" s="202"/>
      <c r="T223" s="23"/>
      <c r="U223" s="202"/>
    </row>
    <row r="224" spans="2:22" s="22" customFormat="1">
      <c r="B224" s="36" t="s">
        <v>3722</v>
      </c>
      <c r="C224" s="22" t="s">
        <v>3730</v>
      </c>
      <c r="D224" s="34" t="s">
        <v>3731</v>
      </c>
      <c r="F224" s="23"/>
      <c r="G224" s="202"/>
      <c r="I224" s="202"/>
      <c r="K224" s="202"/>
      <c r="L224" s="23"/>
      <c r="M224" s="37"/>
      <c r="N224" s="202"/>
      <c r="O224" s="23"/>
      <c r="P224" s="23"/>
      <c r="Q224" s="23"/>
      <c r="R224" s="23"/>
      <c r="S224" s="202"/>
      <c r="T224" s="23"/>
      <c r="U224" s="202"/>
    </row>
    <row r="225" spans="2:23" s="22" customFormat="1">
      <c r="B225" s="36"/>
      <c r="D225" s="34"/>
      <c r="F225" s="23"/>
      <c r="G225" s="202"/>
      <c r="I225" s="202"/>
      <c r="K225" s="202"/>
      <c r="L225" s="23"/>
      <c r="M225" s="37"/>
      <c r="N225" s="202"/>
      <c r="O225" s="23"/>
      <c r="P225" s="23"/>
      <c r="Q225" s="23"/>
      <c r="R225" s="23"/>
      <c r="S225" s="202"/>
      <c r="T225" s="23"/>
      <c r="U225" s="202"/>
    </row>
    <row r="226" spans="2:23" s="22" customFormat="1">
      <c r="B226" s="36" t="s">
        <v>3722</v>
      </c>
      <c r="C226" s="36" t="s">
        <v>3732</v>
      </c>
      <c r="D226" s="22" t="s">
        <v>3733</v>
      </c>
      <c r="E226" s="22" t="s">
        <v>3734</v>
      </c>
      <c r="F226" s="9">
        <v>1</v>
      </c>
      <c r="G226" s="205"/>
      <c r="H226" s="22" t="s">
        <v>3735</v>
      </c>
      <c r="I226" s="205"/>
      <c r="K226" s="205"/>
      <c r="L226" s="7"/>
      <c r="M226" s="10"/>
      <c r="N226" s="205"/>
      <c r="O226" s="23">
        <v>13</v>
      </c>
      <c r="Q226" s="72">
        <v>5000</v>
      </c>
      <c r="R226" s="227" t="s">
        <v>3210</v>
      </c>
      <c r="S226" s="205"/>
      <c r="T226" s="9"/>
      <c r="U226" s="205"/>
      <c r="V226" s="7"/>
      <c r="W226" s="7"/>
    </row>
    <row r="227" spans="2:23" s="22" customFormat="1">
      <c r="B227" s="36" t="s">
        <v>3722</v>
      </c>
      <c r="C227" s="36" t="s">
        <v>3732</v>
      </c>
      <c r="D227" s="22" t="s">
        <v>3736</v>
      </c>
      <c r="E227" s="22" t="s">
        <v>3737</v>
      </c>
      <c r="F227" s="9">
        <v>1</v>
      </c>
      <c r="G227" s="205"/>
      <c r="H227" s="22" t="s">
        <v>3738</v>
      </c>
      <c r="I227" s="205"/>
      <c r="K227" s="205"/>
      <c r="L227" s="7"/>
      <c r="M227" s="10"/>
      <c r="N227" s="205"/>
      <c r="O227" s="23">
        <v>10</v>
      </c>
      <c r="Q227" s="23">
        <v>8500</v>
      </c>
      <c r="R227" s="227" t="s">
        <v>3210</v>
      </c>
      <c r="S227" s="205"/>
      <c r="T227" s="9"/>
      <c r="U227" s="205"/>
      <c r="V227" s="7"/>
      <c r="W227" s="7"/>
    </row>
    <row r="228" spans="2:23" s="22" customFormat="1">
      <c r="B228" s="36" t="s">
        <v>3722</v>
      </c>
      <c r="C228" s="36" t="s">
        <v>3732</v>
      </c>
      <c r="D228" s="22" t="s">
        <v>3739</v>
      </c>
      <c r="F228" s="23">
        <v>1</v>
      </c>
      <c r="G228" s="202"/>
      <c r="I228" s="202"/>
      <c r="K228" s="202"/>
      <c r="L228" s="23"/>
      <c r="M228" s="37"/>
      <c r="N228" s="202"/>
      <c r="O228" s="23"/>
      <c r="P228" s="23"/>
      <c r="Q228" s="23"/>
      <c r="R228" s="23"/>
      <c r="S228" s="202"/>
      <c r="T228" s="23"/>
      <c r="U228" s="202"/>
    </row>
    <row r="229" spans="2:23" s="22" customFormat="1">
      <c r="B229" s="36" t="s">
        <v>3722</v>
      </c>
      <c r="C229" s="36" t="s">
        <v>3732</v>
      </c>
      <c r="D229" s="22" t="s">
        <v>3740</v>
      </c>
      <c r="E229" s="22" t="s">
        <v>3741</v>
      </c>
      <c r="F229" s="9">
        <v>1</v>
      </c>
      <c r="G229" s="205"/>
      <c r="H229" s="22" t="s">
        <v>3742</v>
      </c>
      <c r="I229" s="205"/>
      <c r="K229" s="205"/>
      <c r="L229" s="7"/>
      <c r="M229" s="10"/>
      <c r="N229" s="205"/>
      <c r="O229" s="23">
        <v>14</v>
      </c>
      <c r="Q229" s="23">
        <v>5000</v>
      </c>
      <c r="R229" s="227" t="s">
        <v>3210</v>
      </c>
      <c r="S229" s="205"/>
      <c r="T229" s="9"/>
      <c r="U229" s="205"/>
      <c r="V229" s="7"/>
      <c r="W229" s="7"/>
    </row>
    <row r="230" spans="2:23" s="22" customFormat="1">
      <c r="B230" s="36" t="s">
        <v>3722</v>
      </c>
      <c r="C230" s="36" t="s">
        <v>3732</v>
      </c>
      <c r="D230" s="22" t="s">
        <v>3743</v>
      </c>
      <c r="E230" s="22" t="s">
        <v>3744</v>
      </c>
      <c r="F230" s="9">
        <v>1</v>
      </c>
      <c r="G230" s="205"/>
      <c r="H230" s="22" t="s">
        <v>3745</v>
      </c>
      <c r="I230" s="205"/>
      <c r="K230" s="205"/>
      <c r="L230" s="7"/>
      <c r="M230" s="10"/>
      <c r="N230" s="205"/>
      <c r="O230" s="23" t="s">
        <v>1859</v>
      </c>
      <c r="Q230" s="23" t="s">
        <v>1859</v>
      </c>
      <c r="R230" s="227" t="s">
        <v>3210</v>
      </c>
      <c r="S230" s="205"/>
      <c r="T230" s="9"/>
      <c r="U230" s="205"/>
      <c r="V230" s="7"/>
      <c r="W230" s="7"/>
    </row>
    <row r="231" spans="2:23" s="22" customFormat="1">
      <c r="B231" s="36" t="s">
        <v>3722</v>
      </c>
      <c r="C231" s="36" t="s">
        <v>3732</v>
      </c>
      <c r="D231" s="22" t="s">
        <v>3746</v>
      </c>
      <c r="E231" s="22" t="s">
        <v>3747</v>
      </c>
      <c r="F231" s="9">
        <v>1</v>
      </c>
      <c r="G231" s="205"/>
      <c r="H231" s="22" t="s">
        <v>3748</v>
      </c>
      <c r="I231" s="205"/>
      <c r="K231" s="205"/>
      <c r="L231" s="7"/>
      <c r="M231" s="10"/>
      <c r="N231" s="205"/>
      <c r="O231" s="23" t="s">
        <v>1859</v>
      </c>
      <c r="Q231" s="23" t="s">
        <v>1859</v>
      </c>
      <c r="R231" s="227" t="s">
        <v>3210</v>
      </c>
      <c r="S231" s="205"/>
      <c r="T231" s="9"/>
      <c r="U231" s="205"/>
      <c r="V231" s="7"/>
      <c r="W231" s="7"/>
    </row>
    <row r="232" spans="2:23" s="22" customFormat="1">
      <c r="B232" s="36" t="s">
        <v>3722</v>
      </c>
      <c r="C232" s="36" t="s">
        <v>3732</v>
      </c>
      <c r="D232" s="22" t="s">
        <v>3749</v>
      </c>
      <c r="E232" s="22" t="s">
        <v>3750</v>
      </c>
      <c r="F232" s="9">
        <v>1</v>
      </c>
      <c r="G232" s="205"/>
      <c r="H232" s="22" t="s">
        <v>3751</v>
      </c>
      <c r="I232" s="205"/>
      <c r="K232" s="205"/>
      <c r="L232" s="7"/>
      <c r="M232" s="10"/>
      <c r="N232" s="205"/>
      <c r="O232" s="23" t="s">
        <v>1859</v>
      </c>
      <c r="Q232" s="23" t="s">
        <v>1859</v>
      </c>
      <c r="R232" s="23"/>
      <c r="S232" s="205"/>
      <c r="T232" s="23"/>
      <c r="U232" s="205"/>
    </row>
    <row r="233" spans="2:23" s="22" customFormat="1">
      <c r="B233" s="36" t="s">
        <v>3722</v>
      </c>
      <c r="C233" s="36" t="s">
        <v>3732</v>
      </c>
      <c r="D233" s="34" t="s">
        <v>3752</v>
      </c>
      <c r="E233" s="22" t="s">
        <v>3753</v>
      </c>
      <c r="F233" s="9">
        <v>1</v>
      </c>
      <c r="G233" s="205"/>
      <c r="H233" s="22" t="s">
        <v>3754</v>
      </c>
      <c r="I233" s="205"/>
      <c r="K233" s="205"/>
      <c r="L233" s="7"/>
      <c r="M233" s="10"/>
      <c r="N233" s="205"/>
      <c r="O233" s="23">
        <v>126</v>
      </c>
      <c r="Q233" s="72">
        <v>60000</v>
      </c>
      <c r="R233" s="227" t="s">
        <v>3210</v>
      </c>
      <c r="S233" s="205"/>
      <c r="T233" s="23"/>
      <c r="U233" s="205"/>
    </row>
    <row r="234" spans="2:23">
      <c r="B234" s="36" t="s">
        <v>3722</v>
      </c>
      <c r="C234" s="36" t="s">
        <v>3732</v>
      </c>
      <c r="D234" s="22" t="s">
        <v>3755</v>
      </c>
      <c r="E234" s="22" t="s">
        <v>3756</v>
      </c>
      <c r="F234" s="9">
        <v>1</v>
      </c>
      <c r="G234" s="205"/>
      <c r="H234" s="22" t="s">
        <v>871</v>
      </c>
      <c r="I234" s="205"/>
      <c r="J234" s="22"/>
      <c r="K234" s="205"/>
      <c r="L234" s="7"/>
      <c r="N234" s="205"/>
      <c r="O234" s="23">
        <v>100</v>
      </c>
      <c r="P234" s="22"/>
      <c r="Q234" s="72">
        <v>57000</v>
      </c>
      <c r="R234" s="227" t="s">
        <v>3210</v>
      </c>
      <c r="S234" s="205"/>
      <c r="U234" s="205"/>
    </row>
    <row r="235" spans="2:23">
      <c r="B235" s="36" t="s">
        <v>3722</v>
      </c>
      <c r="C235" s="36" t="s">
        <v>3732</v>
      </c>
      <c r="D235" s="34" t="s">
        <v>3757</v>
      </c>
      <c r="F235" s="23">
        <v>1</v>
      </c>
      <c r="G235" s="202"/>
      <c r="H235" s="22"/>
      <c r="I235" s="202"/>
      <c r="J235" s="22"/>
      <c r="K235" s="202"/>
      <c r="L235" s="23"/>
      <c r="M235" s="37"/>
      <c r="N235" s="202"/>
      <c r="O235" s="23"/>
      <c r="P235" s="23"/>
      <c r="Q235" s="23"/>
      <c r="R235" s="23"/>
      <c r="S235" s="202"/>
      <c r="T235" s="23"/>
      <c r="U235" s="202"/>
      <c r="V235" s="22"/>
      <c r="W235" s="22"/>
    </row>
    <row r="236" spans="2:23" s="22" customFormat="1">
      <c r="F236" s="23"/>
      <c r="G236" s="202"/>
      <c r="I236" s="202"/>
      <c r="K236" s="202"/>
      <c r="L236" s="23"/>
      <c r="M236" s="37"/>
      <c r="N236" s="202"/>
      <c r="O236" s="23"/>
      <c r="P236" s="23"/>
      <c r="Q236" s="23"/>
      <c r="R236" s="23"/>
      <c r="S236" s="202"/>
      <c r="T236" s="23"/>
      <c r="U236" s="202"/>
    </row>
    <row r="237" spans="2:23" s="22" customFormat="1">
      <c r="B237" s="22" t="s">
        <v>3758</v>
      </c>
      <c r="C237" s="22" t="s">
        <v>3759</v>
      </c>
      <c r="D237" s="22" t="s">
        <v>3760</v>
      </c>
      <c r="E237" s="22" t="s">
        <v>3761</v>
      </c>
      <c r="F237" s="23">
        <v>1</v>
      </c>
      <c r="G237" s="205"/>
      <c r="H237" s="22" t="s">
        <v>3217</v>
      </c>
      <c r="I237" s="205"/>
      <c r="K237" s="205"/>
      <c r="M237" s="37"/>
      <c r="N237" s="205"/>
      <c r="O237" s="23">
        <v>560</v>
      </c>
      <c r="Q237" s="72">
        <v>1500000</v>
      </c>
      <c r="R237" s="23"/>
      <c r="S237" s="205"/>
      <c r="T237" s="23"/>
      <c r="U237" s="205"/>
    </row>
    <row r="238" spans="2:23" s="22" customFormat="1">
      <c r="F238" s="23"/>
      <c r="G238" s="202"/>
      <c r="I238" s="202"/>
      <c r="K238" s="202"/>
      <c r="L238" s="23"/>
      <c r="M238" s="37"/>
      <c r="N238" s="202"/>
      <c r="O238" s="23"/>
      <c r="P238" s="23"/>
      <c r="Q238" s="23"/>
      <c r="R238" s="23"/>
      <c r="S238" s="202"/>
      <c r="T238" s="23"/>
      <c r="U238" s="202"/>
    </row>
    <row r="239" spans="2:23" s="22" customFormat="1">
      <c r="B239" s="22" t="s">
        <v>3758</v>
      </c>
      <c r="C239" s="22" t="s">
        <v>3762</v>
      </c>
      <c r="D239" s="22" t="s">
        <v>3763</v>
      </c>
      <c r="F239" s="23">
        <v>1</v>
      </c>
      <c r="G239" s="202"/>
      <c r="I239" s="202"/>
      <c r="K239" s="202"/>
      <c r="L239" s="23"/>
      <c r="M239" s="37"/>
      <c r="N239" s="202"/>
      <c r="O239" s="23"/>
      <c r="P239" s="23"/>
      <c r="Q239" s="23"/>
      <c r="R239" s="23"/>
      <c r="S239" s="202"/>
      <c r="T239" s="23"/>
      <c r="U239" s="202"/>
    </row>
    <row r="240" spans="2:23" s="22" customFormat="1">
      <c r="F240" s="23"/>
      <c r="G240" s="202"/>
      <c r="I240" s="202"/>
      <c r="K240" s="202"/>
      <c r="L240" s="23"/>
      <c r="M240" s="37"/>
      <c r="N240" s="202"/>
      <c r="O240" s="23"/>
      <c r="P240" s="23"/>
      <c r="Q240" s="23"/>
      <c r="R240" s="23"/>
      <c r="S240" s="202"/>
      <c r="T240" s="23"/>
      <c r="U240" s="202"/>
    </row>
    <row r="241" spans="2:21">
      <c r="B241" s="7" t="s">
        <v>3764</v>
      </c>
      <c r="C241" s="7" t="s">
        <v>3765</v>
      </c>
      <c r="D241" s="22" t="s">
        <v>3766</v>
      </c>
      <c r="E241" s="22" t="s">
        <v>3767</v>
      </c>
      <c r="F241" s="23">
        <v>1</v>
      </c>
      <c r="G241" s="205"/>
      <c r="H241" s="22" t="s">
        <v>3768</v>
      </c>
      <c r="I241" s="205"/>
      <c r="J241" s="22"/>
      <c r="K241" s="205"/>
      <c r="L241" s="7"/>
      <c r="N241" s="205"/>
      <c r="O241" s="23">
        <v>1</v>
      </c>
      <c r="P241" s="22"/>
      <c r="Q241" s="72">
        <v>5000</v>
      </c>
      <c r="R241" s="227" t="s">
        <v>3210</v>
      </c>
      <c r="S241" s="205"/>
      <c r="U241" s="205"/>
    </row>
    <row r="242" spans="2:21">
      <c r="B242" s="7" t="s">
        <v>3764</v>
      </c>
      <c r="C242" s="7" t="s">
        <v>3765</v>
      </c>
      <c r="D242" s="22" t="s">
        <v>3769</v>
      </c>
      <c r="E242" s="22" t="s">
        <v>3770</v>
      </c>
      <c r="F242" s="23">
        <v>1</v>
      </c>
      <c r="G242" s="205"/>
      <c r="H242" s="22" t="s">
        <v>3771</v>
      </c>
      <c r="I242" s="205"/>
      <c r="J242" s="22"/>
      <c r="K242" s="205"/>
      <c r="L242" s="7"/>
      <c r="N242" s="205"/>
      <c r="O242" s="23">
        <v>1</v>
      </c>
      <c r="P242" s="22"/>
      <c r="Q242" s="72">
        <v>40000</v>
      </c>
      <c r="R242" s="227" t="s">
        <v>3210</v>
      </c>
      <c r="S242" s="205"/>
      <c r="U242" s="205"/>
    </row>
    <row r="243" spans="2:21">
      <c r="B243" s="7" t="s">
        <v>3764</v>
      </c>
      <c r="C243" s="7" t="s">
        <v>3765</v>
      </c>
      <c r="D243" s="22" t="s">
        <v>3772</v>
      </c>
      <c r="E243" s="22" t="s">
        <v>3773</v>
      </c>
      <c r="F243" s="23">
        <v>1</v>
      </c>
      <c r="G243" s="205"/>
      <c r="H243" s="22" t="s">
        <v>3774</v>
      </c>
      <c r="I243" s="205"/>
      <c r="J243" s="22"/>
      <c r="K243" s="205"/>
      <c r="L243" s="7"/>
      <c r="N243" s="205"/>
      <c r="O243" s="23">
        <v>80</v>
      </c>
      <c r="P243" s="22"/>
      <c r="Q243" s="72">
        <v>12840</v>
      </c>
      <c r="R243" s="227" t="s">
        <v>3210</v>
      </c>
      <c r="S243" s="205"/>
      <c r="U243" s="205"/>
    </row>
    <row r="244" spans="2:21">
      <c r="B244" s="7" t="s">
        <v>3764</v>
      </c>
      <c r="C244" s="7" t="s">
        <v>3765</v>
      </c>
      <c r="D244" s="22" t="s">
        <v>3775</v>
      </c>
      <c r="E244" s="22" t="s">
        <v>3776</v>
      </c>
      <c r="F244" s="23">
        <v>1</v>
      </c>
      <c r="G244" s="205"/>
      <c r="H244" s="22" t="s">
        <v>3777</v>
      </c>
      <c r="I244" s="205"/>
      <c r="J244" s="22"/>
      <c r="K244" s="205"/>
      <c r="L244" s="7"/>
      <c r="N244" s="205"/>
      <c r="O244" s="23">
        <v>256</v>
      </c>
      <c r="P244" s="22"/>
      <c r="Q244" s="72">
        <v>430000</v>
      </c>
      <c r="R244" s="227" t="s">
        <v>3210</v>
      </c>
      <c r="S244" s="205"/>
      <c r="U244" s="205"/>
    </row>
    <row r="245" spans="2:21">
      <c r="B245" s="7" t="s">
        <v>3764</v>
      </c>
      <c r="C245" s="7" t="s">
        <v>3765</v>
      </c>
      <c r="D245" s="22" t="s">
        <v>3778</v>
      </c>
      <c r="E245" s="22" t="s">
        <v>3779</v>
      </c>
      <c r="F245" s="23">
        <v>1</v>
      </c>
      <c r="G245" s="205"/>
      <c r="H245" s="22" t="s">
        <v>3342</v>
      </c>
      <c r="I245" s="205"/>
      <c r="J245" s="22"/>
      <c r="K245" s="205"/>
      <c r="L245" s="7"/>
      <c r="N245" s="205"/>
      <c r="O245" s="23">
        <v>19</v>
      </c>
      <c r="P245" s="22"/>
      <c r="Q245" s="72">
        <v>35118</v>
      </c>
      <c r="R245" s="227" t="s">
        <v>3210</v>
      </c>
      <c r="S245" s="205"/>
      <c r="U245" s="205"/>
    </row>
    <row r="246" spans="2:21">
      <c r="B246" s="7" t="s">
        <v>3764</v>
      </c>
      <c r="C246" s="7" t="s">
        <v>3765</v>
      </c>
      <c r="D246" s="22" t="s">
        <v>3780</v>
      </c>
      <c r="E246" s="22" t="s">
        <v>3781</v>
      </c>
      <c r="F246" s="23">
        <v>1</v>
      </c>
      <c r="G246" s="205"/>
      <c r="H246" s="22" t="s">
        <v>3782</v>
      </c>
      <c r="I246" s="205"/>
      <c r="J246" s="22"/>
      <c r="K246" s="205"/>
      <c r="L246" s="7"/>
      <c r="N246" s="205"/>
      <c r="O246" s="23">
        <v>200</v>
      </c>
      <c r="P246" s="22"/>
      <c r="Q246" s="72">
        <v>12000</v>
      </c>
      <c r="R246" s="227" t="s">
        <v>3210</v>
      </c>
      <c r="S246" s="205"/>
      <c r="U246" s="205"/>
    </row>
    <row r="247" spans="2:21">
      <c r="B247" s="7" t="s">
        <v>3764</v>
      </c>
      <c r="C247" s="7" t="s">
        <v>3765</v>
      </c>
      <c r="D247" s="22" t="s">
        <v>3783</v>
      </c>
      <c r="E247" s="22" t="s">
        <v>3784</v>
      </c>
      <c r="F247" s="23">
        <v>1</v>
      </c>
      <c r="G247" s="205"/>
      <c r="H247" s="22" t="s">
        <v>3217</v>
      </c>
      <c r="I247" s="205"/>
      <c r="J247" s="22"/>
      <c r="K247" s="205"/>
      <c r="L247" s="7"/>
      <c r="N247" s="205"/>
      <c r="O247" s="23">
        <v>108</v>
      </c>
      <c r="P247" s="22"/>
      <c r="Q247" s="72">
        <v>1010000</v>
      </c>
      <c r="R247" s="227" t="s">
        <v>3210</v>
      </c>
      <c r="S247" s="205"/>
      <c r="U247" s="205"/>
    </row>
    <row r="248" spans="2:21">
      <c r="B248" s="7" t="s">
        <v>3764</v>
      </c>
      <c r="C248" s="7" t="s">
        <v>3765</v>
      </c>
      <c r="D248" s="22" t="s">
        <v>3785</v>
      </c>
      <c r="E248" s="22" t="s">
        <v>3786</v>
      </c>
      <c r="F248" s="23">
        <v>1</v>
      </c>
      <c r="G248" s="205"/>
      <c r="H248" s="22" t="s">
        <v>3787</v>
      </c>
      <c r="I248" s="205"/>
      <c r="J248" s="22"/>
      <c r="K248" s="205"/>
      <c r="L248" s="7"/>
      <c r="N248" s="205"/>
      <c r="O248" s="23">
        <v>100</v>
      </c>
      <c r="P248" s="22"/>
      <c r="Q248" s="72">
        <v>300000</v>
      </c>
      <c r="R248" s="227" t="s">
        <v>3210</v>
      </c>
      <c r="S248" s="205"/>
      <c r="U248" s="205"/>
    </row>
    <row r="249" spans="2:21">
      <c r="B249" s="7" t="s">
        <v>3764</v>
      </c>
      <c r="C249" s="7" t="s">
        <v>3765</v>
      </c>
      <c r="D249" s="22" t="s">
        <v>3788</v>
      </c>
      <c r="E249" s="22" t="s">
        <v>3789</v>
      </c>
      <c r="F249" s="23">
        <v>1</v>
      </c>
      <c r="G249" s="205"/>
      <c r="H249" s="22" t="s">
        <v>3790</v>
      </c>
      <c r="I249" s="205"/>
      <c r="J249" s="22"/>
      <c r="K249" s="205"/>
      <c r="L249" s="7"/>
      <c r="N249" s="205"/>
      <c r="O249" s="23" t="s">
        <v>1859</v>
      </c>
      <c r="P249" s="22"/>
      <c r="Q249" s="23" t="s">
        <v>1859</v>
      </c>
      <c r="R249" s="227" t="s">
        <v>3210</v>
      </c>
      <c r="S249" s="205"/>
      <c r="U249" s="205"/>
    </row>
    <row r="250" spans="2:21">
      <c r="B250" s="7" t="s">
        <v>3764</v>
      </c>
      <c r="C250" s="7" t="s">
        <v>3765</v>
      </c>
      <c r="D250" s="22" t="s">
        <v>3791</v>
      </c>
      <c r="E250" s="22" t="s">
        <v>3792</v>
      </c>
      <c r="F250" s="23">
        <v>1</v>
      </c>
      <c r="G250" s="205"/>
      <c r="H250" s="22" t="s">
        <v>3793</v>
      </c>
      <c r="I250" s="205"/>
      <c r="J250" s="22"/>
      <c r="K250" s="205"/>
      <c r="L250" s="7"/>
      <c r="N250" s="205"/>
      <c r="O250" s="23">
        <v>154</v>
      </c>
      <c r="P250" s="22"/>
      <c r="Q250" s="72">
        <v>70000</v>
      </c>
      <c r="R250" s="227" t="s">
        <v>3210</v>
      </c>
      <c r="S250" s="205"/>
      <c r="U250" s="205"/>
    </row>
    <row r="251" spans="2:21">
      <c r="B251" s="7" t="s">
        <v>3764</v>
      </c>
      <c r="C251" s="7" t="s">
        <v>3765</v>
      </c>
      <c r="D251" s="22" t="s">
        <v>3794</v>
      </c>
      <c r="E251" s="22" t="s">
        <v>3795</v>
      </c>
      <c r="F251" s="23">
        <v>1</v>
      </c>
      <c r="G251" s="205"/>
      <c r="H251" s="22" t="s">
        <v>3796</v>
      </c>
      <c r="I251" s="205"/>
      <c r="J251" s="22"/>
      <c r="K251" s="205"/>
      <c r="L251" s="7"/>
      <c r="N251" s="205"/>
      <c r="P251" s="7"/>
      <c r="R251" s="227" t="s">
        <v>3210</v>
      </c>
      <c r="S251" s="205"/>
      <c r="U251" s="205"/>
    </row>
    <row r="252" spans="2:21">
      <c r="B252" s="7" t="s">
        <v>3764</v>
      </c>
      <c r="C252" s="7" t="s">
        <v>3765</v>
      </c>
      <c r="D252" s="22" t="s">
        <v>3797</v>
      </c>
      <c r="E252" s="22" t="s">
        <v>3798</v>
      </c>
      <c r="F252" s="23">
        <v>1</v>
      </c>
      <c r="G252" s="205"/>
      <c r="H252" s="22" t="s">
        <v>3799</v>
      </c>
      <c r="I252" s="205"/>
      <c r="J252" s="22"/>
      <c r="K252" s="205"/>
      <c r="L252" s="7"/>
      <c r="N252" s="205"/>
      <c r="O252" s="23">
        <v>725</v>
      </c>
      <c r="P252" s="22"/>
      <c r="Q252" s="72">
        <v>900000</v>
      </c>
      <c r="R252" s="227" t="s">
        <v>3210</v>
      </c>
      <c r="S252" s="205"/>
      <c r="U252" s="205"/>
    </row>
    <row r="253" spans="2:21">
      <c r="B253" s="7" t="s">
        <v>3764</v>
      </c>
      <c r="C253" s="7" t="s">
        <v>3765</v>
      </c>
      <c r="D253" s="22" t="s">
        <v>3800</v>
      </c>
      <c r="E253" s="22" t="s">
        <v>3801</v>
      </c>
      <c r="F253" s="23">
        <v>1</v>
      </c>
      <c r="G253" s="205"/>
      <c r="H253" s="22" t="s">
        <v>3802</v>
      </c>
      <c r="I253" s="205"/>
      <c r="J253" s="22"/>
      <c r="K253" s="205"/>
      <c r="L253" s="7"/>
      <c r="N253" s="205"/>
      <c r="O253" s="23">
        <v>64</v>
      </c>
      <c r="P253" s="22"/>
      <c r="Q253" s="72">
        <v>10635</v>
      </c>
      <c r="R253" s="227" t="s">
        <v>3210</v>
      </c>
      <c r="S253" s="205"/>
      <c r="U253" s="205"/>
    </row>
    <row r="254" spans="2:21">
      <c r="B254" s="7" t="s">
        <v>3764</v>
      </c>
      <c r="C254" s="7" t="s">
        <v>3765</v>
      </c>
      <c r="D254" s="22" t="s">
        <v>3803</v>
      </c>
      <c r="E254" s="22" t="s">
        <v>3804</v>
      </c>
      <c r="F254" s="23">
        <v>1</v>
      </c>
      <c r="G254" s="205"/>
      <c r="H254" s="22" t="s">
        <v>3232</v>
      </c>
      <c r="I254" s="205"/>
      <c r="J254" s="22"/>
      <c r="K254" s="205"/>
      <c r="L254" s="7"/>
      <c r="N254" s="205"/>
      <c r="O254" s="23">
        <v>68</v>
      </c>
      <c r="P254" s="22"/>
      <c r="Q254" s="72">
        <v>67000</v>
      </c>
      <c r="R254" s="227" t="s">
        <v>3210</v>
      </c>
      <c r="S254" s="205"/>
      <c r="U254" s="205"/>
    </row>
    <row r="255" spans="2:21">
      <c r="B255" s="7" t="s">
        <v>3764</v>
      </c>
      <c r="C255" s="7" t="s">
        <v>3765</v>
      </c>
      <c r="D255" s="22" t="s">
        <v>3805</v>
      </c>
      <c r="E255" s="22" t="s">
        <v>3806</v>
      </c>
      <c r="F255" s="23">
        <v>1</v>
      </c>
      <c r="G255" s="205"/>
      <c r="H255" s="22" t="s">
        <v>3807</v>
      </c>
      <c r="I255" s="205"/>
      <c r="J255" s="22"/>
      <c r="K255" s="205"/>
      <c r="L255" s="7"/>
      <c r="N255" s="205"/>
      <c r="O255" s="23">
        <v>37</v>
      </c>
      <c r="P255" s="22"/>
      <c r="Q255" s="72">
        <v>32500</v>
      </c>
      <c r="R255" s="227" t="s">
        <v>3210</v>
      </c>
      <c r="S255" s="205"/>
      <c r="U255" s="205"/>
    </row>
    <row r="256" spans="2:21" s="22" customFormat="1">
      <c r="F256" s="23"/>
      <c r="G256" s="202"/>
      <c r="I256" s="202"/>
      <c r="K256" s="202"/>
      <c r="L256" s="23"/>
      <c r="M256" s="37"/>
      <c r="N256" s="202"/>
      <c r="O256" s="23"/>
      <c r="P256" s="23"/>
      <c r="Q256" s="23"/>
      <c r="R256" s="23"/>
      <c r="S256" s="202"/>
      <c r="T256" s="23"/>
      <c r="U256" s="202"/>
    </row>
    <row r="257" spans="2:23">
      <c r="B257" s="7"/>
      <c r="C257" s="7" t="s">
        <v>3808</v>
      </c>
      <c r="D257" s="22" t="s">
        <v>3809</v>
      </c>
      <c r="E257" s="22" t="s">
        <v>3810</v>
      </c>
      <c r="F257" s="9">
        <v>1</v>
      </c>
      <c r="G257" s="205"/>
      <c r="H257" s="22" t="s">
        <v>3476</v>
      </c>
      <c r="I257" s="205"/>
      <c r="J257" s="22"/>
      <c r="K257" s="205"/>
      <c r="N257" s="205"/>
      <c r="O257" s="23">
        <v>294</v>
      </c>
      <c r="P257" s="22"/>
      <c r="Q257" s="72">
        <v>23629</v>
      </c>
      <c r="R257" s="227" t="s">
        <v>3210</v>
      </c>
      <c r="S257" s="205"/>
      <c r="U257" s="205"/>
    </row>
    <row r="258" spans="2:23">
      <c r="B258" s="7"/>
      <c r="C258" s="7" t="s">
        <v>3808</v>
      </c>
      <c r="D258" s="22" t="s">
        <v>3811</v>
      </c>
      <c r="E258" s="22" t="s">
        <v>3812</v>
      </c>
      <c r="F258" s="9">
        <v>1</v>
      </c>
      <c r="G258" s="205"/>
      <c r="H258" s="22" t="s">
        <v>3813</v>
      </c>
      <c r="I258" s="205"/>
      <c r="J258" s="22"/>
      <c r="K258" s="205"/>
      <c r="N258" s="205"/>
      <c r="R258" s="227" t="s">
        <v>3210</v>
      </c>
      <c r="S258" s="205"/>
      <c r="U258" s="205"/>
    </row>
    <row r="259" spans="2:23">
      <c r="B259" s="7"/>
      <c r="C259" s="7" t="s">
        <v>3808</v>
      </c>
      <c r="D259" s="22" t="s">
        <v>3814</v>
      </c>
      <c r="F259" s="9">
        <v>1</v>
      </c>
      <c r="G259" s="205"/>
      <c r="H259" s="22" t="s">
        <v>3333</v>
      </c>
      <c r="I259" s="205"/>
      <c r="J259" s="22"/>
      <c r="K259" s="205"/>
      <c r="N259" s="205"/>
      <c r="O259" s="23">
        <v>170</v>
      </c>
      <c r="P259"/>
      <c r="Q259" s="72">
        <v>15000</v>
      </c>
      <c r="R259" s="227" t="s">
        <v>3210</v>
      </c>
      <c r="S259" s="205"/>
      <c r="U259" s="205"/>
    </row>
    <row r="260" spans="2:23">
      <c r="B260" s="7"/>
      <c r="C260" s="7" t="s">
        <v>3808</v>
      </c>
      <c r="D260" s="7" t="s">
        <v>3815</v>
      </c>
      <c r="E260" s="12" t="s">
        <v>3816</v>
      </c>
      <c r="F260" s="9">
        <v>1</v>
      </c>
      <c r="G260" s="205"/>
      <c r="H260" s="7" t="s">
        <v>3523</v>
      </c>
      <c r="I260" s="205"/>
      <c r="K260" s="205"/>
      <c r="N260" s="205"/>
      <c r="O260" s="9">
        <v>185</v>
      </c>
      <c r="Q260" s="13">
        <v>11000</v>
      </c>
      <c r="R260" s="227" t="s">
        <v>3210</v>
      </c>
      <c r="S260" s="205"/>
      <c r="U260" s="205"/>
    </row>
    <row r="261" spans="2:23">
      <c r="B261" s="7"/>
      <c r="C261" s="7" t="s">
        <v>3808</v>
      </c>
      <c r="D261" s="22" t="s">
        <v>3817</v>
      </c>
      <c r="E261" s="22" t="s">
        <v>3818</v>
      </c>
      <c r="F261" s="9">
        <v>1</v>
      </c>
      <c r="G261" s="205"/>
      <c r="H261" s="22" t="s">
        <v>3819</v>
      </c>
      <c r="I261" s="205"/>
      <c r="J261" s="22"/>
      <c r="K261" s="205"/>
      <c r="N261" s="205"/>
      <c r="O261" s="23">
        <v>200</v>
      </c>
      <c r="P261" s="22"/>
      <c r="Q261" s="72">
        <v>40000</v>
      </c>
      <c r="R261" s="227" t="s">
        <v>3210</v>
      </c>
      <c r="S261" s="205"/>
      <c r="U261" s="205"/>
    </row>
    <row r="262" spans="2:23">
      <c r="B262" s="7"/>
      <c r="C262" s="7" t="s">
        <v>3808</v>
      </c>
      <c r="D262" s="22" t="s">
        <v>3820</v>
      </c>
      <c r="E262" s="22" t="s">
        <v>3821</v>
      </c>
      <c r="F262" s="9">
        <v>1</v>
      </c>
      <c r="G262" s="205"/>
      <c r="H262" s="22" t="s">
        <v>3822</v>
      </c>
      <c r="I262" s="205"/>
      <c r="J262" s="22"/>
      <c r="K262" s="205"/>
      <c r="N262" s="205"/>
      <c r="O262" s="23">
        <v>162</v>
      </c>
      <c r="P262" s="22"/>
      <c r="Q262" s="23">
        <v>7634</v>
      </c>
      <c r="R262" s="227" t="s">
        <v>3210</v>
      </c>
      <c r="S262" s="205"/>
      <c r="U262" s="205"/>
    </row>
    <row r="263" spans="2:23">
      <c r="B263" s="7"/>
      <c r="C263" s="7" t="s">
        <v>3808</v>
      </c>
      <c r="D263" s="22" t="s">
        <v>3823</v>
      </c>
      <c r="E263" s="22" t="s">
        <v>3824</v>
      </c>
      <c r="F263" s="9">
        <v>1</v>
      </c>
      <c r="G263" s="205"/>
      <c r="H263" s="22" t="s">
        <v>3825</v>
      </c>
      <c r="I263" s="205"/>
      <c r="J263" s="22"/>
      <c r="K263" s="205"/>
      <c r="N263" s="205"/>
      <c r="O263" s="23"/>
      <c r="P263" s="22"/>
      <c r="Q263" s="72">
        <v>43000</v>
      </c>
      <c r="R263" s="227" t="s">
        <v>3210</v>
      </c>
      <c r="S263" s="205"/>
      <c r="U263" s="205"/>
    </row>
    <row r="264" spans="2:23">
      <c r="B264" s="7"/>
      <c r="C264" s="7" t="s">
        <v>3808</v>
      </c>
      <c r="D264" s="22" t="s">
        <v>3826</v>
      </c>
      <c r="E264" s="22" t="s">
        <v>3827</v>
      </c>
      <c r="F264" s="9">
        <v>1</v>
      </c>
      <c r="G264" s="205"/>
      <c r="H264" s="22" t="s">
        <v>3828</v>
      </c>
      <c r="I264" s="205"/>
      <c r="J264" s="22"/>
      <c r="K264" s="205"/>
      <c r="N264" s="205"/>
      <c r="O264" s="23">
        <v>100</v>
      </c>
      <c r="P264" s="22"/>
      <c r="Q264" s="72">
        <v>5000</v>
      </c>
      <c r="R264" s="227" t="s">
        <v>3210</v>
      </c>
      <c r="S264" s="205"/>
      <c r="U264" s="205"/>
    </row>
    <row r="265" spans="2:23">
      <c r="B265" s="7"/>
      <c r="C265" s="7" t="s">
        <v>3808</v>
      </c>
      <c r="D265" s="22" t="s">
        <v>3829</v>
      </c>
      <c r="E265" s="22" t="s">
        <v>3830</v>
      </c>
      <c r="F265" s="9">
        <v>1</v>
      </c>
      <c r="G265" s="205"/>
      <c r="H265" s="22" t="s">
        <v>3831</v>
      </c>
      <c r="I265" s="205"/>
      <c r="J265" s="22"/>
      <c r="K265" s="205"/>
      <c r="N265" s="205"/>
      <c r="O265" s="23">
        <v>230</v>
      </c>
      <c r="P265" s="22"/>
      <c r="Q265" s="72">
        <v>15000</v>
      </c>
      <c r="R265" s="227" t="s">
        <v>3210</v>
      </c>
      <c r="S265" s="205"/>
      <c r="U265" s="205"/>
    </row>
    <row r="266" spans="2:23">
      <c r="B266" s="7"/>
      <c r="D266" s="22"/>
      <c r="G266" s="205"/>
      <c r="H266" s="22"/>
      <c r="I266" s="205"/>
      <c r="J266" s="22"/>
      <c r="K266" s="205"/>
      <c r="N266" s="205"/>
      <c r="O266" s="23"/>
      <c r="P266" s="22"/>
      <c r="Q266" s="72"/>
      <c r="S266" s="205"/>
      <c r="U266" s="205"/>
    </row>
    <row r="267" spans="2:23">
      <c r="G267" s="232"/>
      <c r="I267" s="232"/>
      <c r="K267" s="232"/>
      <c r="N267" s="232"/>
      <c r="S267" s="232"/>
      <c r="U267" s="232"/>
    </row>
    <row r="268" spans="2:23">
      <c r="B268" s="7" t="s">
        <v>3832</v>
      </c>
      <c r="D268" s="55" t="s">
        <v>3833</v>
      </c>
      <c r="E268" t="s">
        <v>1365</v>
      </c>
      <c r="F268" s="23">
        <v>1</v>
      </c>
      <c r="G268" s="205"/>
      <c r="H268" s="7" t="s">
        <v>3188</v>
      </c>
      <c r="I268" s="205"/>
      <c r="J268" s="9">
        <v>25</v>
      </c>
      <c r="K268" s="205"/>
      <c r="N268" s="205"/>
      <c r="O268" s="9">
        <v>1100</v>
      </c>
      <c r="S268" s="205"/>
      <c r="U268" s="205"/>
    </row>
    <row r="269" spans="2:23">
      <c r="G269" s="232"/>
      <c r="I269" s="232"/>
      <c r="K269" s="232"/>
      <c r="N269" s="232"/>
      <c r="S269" s="232"/>
      <c r="U269" s="232"/>
    </row>
    <row r="270" spans="2:23" s="22" customFormat="1">
      <c r="F270" s="23"/>
      <c r="G270" s="202"/>
      <c r="I270" s="202"/>
      <c r="K270" s="202"/>
      <c r="L270" s="23"/>
      <c r="M270" s="37"/>
      <c r="N270" s="202"/>
      <c r="O270" s="23"/>
      <c r="P270" s="23"/>
      <c r="Q270" s="23"/>
      <c r="R270" s="23"/>
      <c r="S270" s="202"/>
      <c r="T270" s="23"/>
      <c r="U270" s="202"/>
    </row>
    <row r="271" spans="2:23" s="22" customFormat="1">
      <c r="F271" s="23"/>
      <c r="G271" s="202"/>
      <c r="I271" s="202"/>
      <c r="K271" s="202"/>
      <c r="L271" s="23"/>
      <c r="M271" s="37"/>
      <c r="N271" s="202"/>
      <c r="O271" s="23"/>
      <c r="P271" s="23"/>
      <c r="Q271" s="23"/>
      <c r="R271" s="23"/>
      <c r="S271" s="202"/>
      <c r="T271" s="23"/>
      <c r="U271" s="202"/>
    </row>
    <row r="272" spans="2:23" s="178" customFormat="1" ht="21">
      <c r="B272" s="207"/>
      <c r="C272" s="207"/>
      <c r="D272" s="207"/>
      <c r="E272" s="207"/>
      <c r="F272" s="208">
        <f>SUM(F5:F271)</f>
        <v>222</v>
      </c>
      <c r="G272" s="208"/>
      <c r="H272" s="207"/>
      <c r="I272" s="208"/>
      <c r="J272" s="208">
        <f>SUM(J5:J271)</f>
        <v>295</v>
      </c>
      <c r="K272" s="208"/>
      <c r="L272" s="208">
        <f>SUM(L5:L271)</f>
        <v>473</v>
      </c>
      <c r="M272" s="234"/>
      <c r="N272" s="208"/>
      <c r="O272" s="208">
        <f>SUM(O5:O271)</f>
        <v>283783</v>
      </c>
      <c r="P272" s="208">
        <f>SUM(P5:P271)</f>
        <v>1919</v>
      </c>
      <c r="Q272" s="208">
        <f>SUM(Q5:Q271)</f>
        <v>153641815</v>
      </c>
      <c r="R272" s="208"/>
      <c r="S272" s="208"/>
      <c r="T272" s="208">
        <f>SUM(T5:T271)</f>
        <v>7</v>
      </c>
      <c r="U272" s="208"/>
      <c r="V272" s="208"/>
      <c r="W272" s="208"/>
    </row>
    <row r="273" spans="2:22" s="22" customFormat="1">
      <c r="F273" s="23"/>
      <c r="G273" s="23"/>
      <c r="I273" s="23"/>
      <c r="K273" s="23"/>
      <c r="L273" s="23"/>
      <c r="M273" s="37"/>
      <c r="N273" s="23"/>
      <c r="O273" s="23"/>
      <c r="P273" s="23"/>
      <c r="Q273" s="23"/>
      <c r="R273" s="23"/>
      <c r="S273" s="23"/>
      <c r="T273" s="23"/>
      <c r="U273" s="23"/>
    </row>
    <row r="274" spans="2:22" s="22" customFormat="1">
      <c r="F274" s="23"/>
      <c r="G274" s="23"/>
      <c r="I274" s="23"/>
      <c r="K274" s="23"/>
      <c r="L274" s="23"/>
      <c r="M274" s="37"/>
      <c r="N274" s="23"/>
      <c r="O274" s="72"/>
      <c r="P274" s="72"/>
      <c r="Q274" s="72"/>
      <c r="R274" s="72"/>
      <c r="S274" s="23"/>
      <c r="T274" s="72"/>
      <c r="U274" s="23"/>
    </row>
    <row r="275" spans="2:22" s="12" customFormat="1">
      <c r="F275" s="80"/>
      <c r="G275" s="80"/>
      <c r="I275" s="80"/>
      <c r="K275" s="80"/>
      <c r="L275" s="80"/>
      <c r="M275" s="233"/>
      <c r="N275" s="80"/>
      <c r="O275" s="80"/>
      <c r="P275" s="80"/>
      <c r="Q275" s="80"/>
      <c r="R275" s="80"/>
      <c r="S275" s="80"/>
      <c r="T275" s="80"/>
      <c r="U275" s="80"/>
    </row>
    <row r="276" spans="2:22" s="16" customFormat="1" ht="21">
      <c r="F276" s="209"/>
      <c r="G276" s="15"/>
      <c r="I276" s="15"/>
      <c r="K276" s="15"/>
      <c r="L276" s="15" t="s">
        <v>3190</v>
      </c>
      <c r="M276" s="17"/>
      <c r="N276" s="15"/>
      <c r="O276" s="80"/>
      <c r="P276" s="80"/>
      <c r="Q276" s="80"/>
      <c r="R276" s="80"/>
      <c r="S276" s="15"/>
      <c r="T276" s="15"/>
      <c r="U276" s="15"/>
    </row>
    <row r="277" spans="2:22" s="16" customFormat="1" ht="21">
      <c r="F277" s="209"/>
      <c r="G277" s="15"/>
      <c r="H277" s="15" t="s">
        <v>3191</v>
      </c>
      <c r="I277" s="15"/>
      <c r="J277" s="15"/>
      <c r="K277" s="15"/>
      <c r="L277" s="15" t="s">
        <v>3192</v>
      </c>
      <c r="M277" s="17"/>
      <c r="N277" s="15"/>
      <c r="O277" s="15" t="s">
        <v>3193</v>
      </c>
      <c r="P277" s="15" t="s">
        <v>3193</v>
      </c>
      <c r="Q277" s="15" t="s">
        <v>3193</v>
      </c>
      <c r="R277" s="15"/>
      <c r="S277" s="15"/>
      <c r="T277" s="15"/>
      <c r="U277" s="15"/>
    </row>
    <row r="278" spans="2:22" s="20" customFormat="1" ht="22" thickBot="1">
      <c r="B278" s="20" t="s">
        <v>3194</v>
      </c>
      <c r="C278" s="20" t="s">
        <v>3195</v>
      </c>
      <c r="D278" s="20" t="s">
        <v>3196</v>
      </c>
      <c r="E278" s="20" t="s">
        <v>37</v>
      </c>
      <c r="F278" s="19" t="s">
        <v>3856</v>
      </c>
      <c r="G278" s="19"/>
      <c r="H278" s="19" t="s">
        <v>3197</v>
      </c>
      <c r="I278" s="19"/>
      <c r="J278" s="19"/>
      <c r="K278" s="19"/>
      <c r="L278" s="19" t="s">
        <v>3199</v>
      </c>
      <c r="M278" s="21" t="s">
        <v>3200</v>
      </c>
      <c r="N278" s="19"/>
      <c r="O278" s="19" t="s">
        <v>2</v>
      </c>
      <c r="P278" s="19" t="s">
        <v>226</v>
      </c>
      <c r="Q278" s="19" t="s">
        <v>3201</v>
      </c>
      <c r="R278" s="19"/>
      <c r="S278" s="19"/>
      <c r="T278" s="19" t="s">
        <v>3203</v>
      </c>
      <c r="U278" s="19"/>
      <c r="V278" s="20" t="s">
        <v>46</v>
      </c>
    </row>
    <row r="279" spans="2:22">
      <c r="E279" s="55"/>
      <c r="F279" s="6"/>
      <c r="G279" s="6"/>
      <c r="I279" s="6"/>
      <c r="K279" s="6"/>
      <c r="N279" s="6"/>
      <c r="S279" s="6"/>
      <c r="U279" s="6"/>
    </row>
    <row r="281" spans="2:22">
      <c r="B281" s="7" t="s">
        <v>3832</v>
      </c>
      <c r="D281" s="55" t="s">
        <v>3834</v>
      </c>
      <c r="E281" s="55" t="s">
        <v>3835</v>
      </c>
      <c r="F281" s="23">
        <v>1</v>
      </c>
      <c r="G281" s="205"/>
      <c r="I281" s="205"/>
      <c r="K281" s="205"/>
      <c r="N281" s="205"/>
      <c r="R281" s="227" t="s">
        <v>3210</v>
      </c>
      <c r="S281" s="205"/>
      <c r="U281" s="205"/>
    </row>
    <row r="282" spans="2:22">
      <c r="B282" s="7" t="s">
        <v>3832</v>
      </c>
      <c r="D282" s="22" t="s">
        <v>3836</v>
      </c>
      <c r="E282" s="22" t="s">
        <v>3837</v>
      </c>
      <c r="F282" s="23">
        <v>1</v>
      </c>
      <c r="G282" s="205"/>
      <c r="H282" s="22" t="s">
        <v>3838</v>
      </c>
      <c r="I282" s="205"/>
      <c r="J282" s="22"/>
      <c r="K282" s="205"/>
      <c r="L282" s="7"/>
      <c r="N282" s="205"/>
      <c r="P282" s="7"/>
      <c r="Q282" s="13">
        <v>200000</v>
      </c>
      <c r="R282" s="227" t="s">
        <v>3210</v>
      </c>
      <c r="S282" s="205"/>
      <c r="U282" s="205"/>
    </row>
    <row r="283" spans="2:22">
      <c r="B283" s="7" t="s">
        <v>3832</v>
      </c>
      <c r="D283" s="22" t="s">
        <v>3839</v>
      </c>
      <c r="E283" s="22" t="s">
        <v>3840</v>
      </c>
      <c r="F283" s="23">
        <v>1</v>
      </c>
      <c r="G283" s="205"/>
      <c r="H283" s="22" t="s">
        <v>3841</v>
      </c>
      <c r="I283" s="205"/>
      <c r="J283" s="22"/>
      <c r="K283" s="205"/>
      <c r="L283" s="7"/>
      <c r="N283" s="205"/>
      <c r="O283" s="23">
        <v>650</v>
      </c>
      <c r="P283" s="22"/>
      <c r="Q283" s="23" t="s">
        <v>1859</v>
      </c>
      <c r="R283" s="227" t="s">
        <v>3210</v>
      </c>
      <c r="S283" s="205"/>
      <c r="U283" s="205"/>
    </row>
    <row r="284" spans="2:22">
      <c r="B284" s="7" t="s">
        <v>3832</v>
      </c>
      <c r="D284" s="22" t="s">
        <v>3842</v>
      </c>
      <c r="E284" s="22" t="s">
        <v>3843</v>
      </c>
      <c r="F284" s="23">
        <v>1</v>
      </c>
      <c r="G284" s="205"/>
      <c r="H284" s="22" t="s">
        <v>3365</v>
      </c>
      <c r="I284" s="205"/>
      <c r="J284" s="22"/>
      <c r="K284" s="205"/>
      <c r="L284" s="7"/>
      <c r="N284" s="205"/>
      <c r="O284" s="23"/>
      <c r="P284" s="22"/>
      <c r="Q284" s="23"/>
      <c r="R284" s="227" t="s">
        <v>3210</v>
      </c>
      <c r="S284" s="205"/>
      <c r="U284" s="205"/>
    </row>
    <row r="285" spans="2:22">
      <c r="B285" s="7" t="s">
        <v>3832</v>
      </c>
      <c r="D285" s="22" t="s">
        <v>3844</v>
      </c>
      <c r="E285" s="22" t="s">
        <v>3845</v>
      </c>
      <c r="F285" s="23">
        <v>1</v>
      </c>
      <c r="G285" s="205"/>
      <c r="H285" s="22" t="s">
        <v>3846</v>
      </c>
      <c r="I285" s="205"/>
      <c r="J285" s="22"/>
      <c r="K285" s="205"/>
      <c r="L285" s="7"/>
      <c r="N285" s="205"/>
      <c r="O285" s="23">
        <v>155</v>
      </c>
      <c r="P285" s="22"/>
      <c r="Q285" s="72">
        <v>73174</v>
      </c>
      <c r="R285" s="227" t="s">
        <v>3210</v>
      </c>
      <c r="S285" s="205"/>
      <c r="U285" s="205"/>
    </row>
    <row r="286" spans="2:22">
      <c r="B286" s="7" t="s">
        <v>3832</v>
      </c>
      <c r="D286" s="22" t="s">
        <v>3847</v>
      </c>
      <c r="E286" s="22" t="s">
        <v>3848</v>
      </c>
      <c r="F286" s="23">
        <v>1</v>
      </c>
      <c r="G286" s="205"/>
      <c r="H286" s="22" t="s">
        <v>3849</v>
      </c>
      <c r="I286" s="205"/>
      <c r="J286" s="22"/>
      <c r="K286" s="205"/>
      <c r="L286" s="7"/>
      <c r="N286" s="205"/>
      <c r="O286" s="23">
        <v>115</v>
      </c>
      <c r="P286" s="22"/>
      <c r="Q286" s="72">
        <v>15666</v>
      </c>
      <c r="R286" s="227" t="s">
        <v>3210</v>
      </c>
      <c r="S286" s="205"/>
      <c r="U286" s="205"/>
    </row>
    <row r="287" spans="2:22">
      <c r="E287" s="9"/>
      <c r="F287" s="23"/>
      <c r="G287" s="205"/>
      <c r="H287" s="9"/>
      <c r="I287" s="205"/>
      <c r="J287" s="9"/>
      <c r="K287" s="205"/>
      <c r="N287" s="205"/>
      <c r="S287" s="205"/>
      <c r="U287" s="205"/>
    </row>
    <row r="288" spans="2:22">
      <c r="B288" s="22" t="s">
        <v>3850</v>
      </c>
      <c r="D288" s="22" t="s">
        <v>3851</v>
      </c>
      <c r="E288" s="22" t="s">
        <v>3852</v>
      </c>
      <c r="F288" s="9">
        <v>1</v>
      </c>
      <c r="G288" s="205"/>
      <c r="H288" s="22" t="s">
        <v>3853</v>
      </c>
      <c r="I288" s="205"/>
      <c r="J288" s="22"/>
      <c r="K288" s="205"/>
      <c r="L288" s="23"/>
      <c r="N288" s="205"/>
      <c r="R288" s="227" t="s">
        <v>3210</v>
      </c>
      <c r="S288" s="205"/>
      <c r="U288" s="205"/>
    </row>
    <row r="289" spans="4:21">
      <c r="D289" s="22"/>
      <c r="G289" s="205"/>
      <c r="H289" s="22"/>
      <c r="I289" s="205"/>
      <c r="J289" s="22"/>
      <c r="K289" s="205"/>
      <c r="L289" s="23"/>
      <c r="N289" s="205"/>
      <c r="S289" s="205"/>
      <c r="U289" s="205"/>
    </row>
  </sheetData>
  <hyperlinks>
    <hyperlink ref="D134" r:id="rId1" tooltip="Church of God (Seventh-Day)" display="https://en.wikipedia.org/wiki/Church_of_God_(Seventh-Day)" xr:uid="{E4C9C552-BF3C-CE4B-9EA7-DCEC92494DF6}"/>
    <hyperlink ref="D135" r:id="rId2" tooltip="Advent Christian Church" display="https://en.wikipedia.org/wiki/Advent_Christian_Church" xr:uid="{31A67569-85F7-AC40-9D14-5572BDE4744A}"/>
    <hyperlink ref="D136" r:id="rId3" tooltip="Seventh Day Adventist Reform Movement" display="https://en.wikipedia.org/wiki/Seventh_Day_Adventist_Reform_Movement" xr:uid="{56DCE450-27F0-6041-B5FD-96EFCC724333}"/>
    <hyperlink ref="D140" r:id="rId4" tooltip="Amish" display="https://en.wikipedia.org/wiki/Amish" xr:uid="{11777A1B-CE11-3841-B8A2-444F4F480842}"/>
    <hyperlink ref="D147" r:id="rId5" tooltip="Hutterite" display="https://en.wikipedia.org/wiki/Hutterite" xr:uid="{F8F914CA-AC80-4243-8D20-7B12C77E82AD}"/>
    <hyperlink ref="D153" r:id="rId6" location="cite_note-217" display="https://en.wikipedia.org/wiki/List_of_Christian_denominations_by_number_of_members - cite_note-217" xr:uid="{CD152164-5B36-C542-9006-37CCC1BE9728}"/>
    <hyperlink ref="D155" r:id="rId7" tooltip="Moravian Church" display="https://en.wikipedia.org/wiki/Moravian_Church" xr:uid="{CB29325C-2DFB-BC45-B8A4-DD1BC4482452}"/>
    <hyperlink ref="D156" r:id="rId8" tooltip="Unity of the Brethren Baptists" display="https://en.wikipedia.org/wiki/Unity_of_the_Brethren_Baptists" xr:uid="{B035405C-20E4-6C44-BF59-E5BC621A17E9}"/>
    <hyperlink ref="D173" r:id="rId9" tooltip="Apostolic Church (denomination)" display="https://en.wikipedia.org/wiki/Apostolic_Church_(denomination)" xr:uid="{D53BEADF-AEC7-3C41-ADB1-330928C6A741}"/>
    <hyperlink ref="D193" r:id="rId10" location="cite_note-224" display="https://en.wikipedia.org/wiki/List_of_Christian_denominations_by_number_of_members - cite_note-224" xr:uid="{179C7CD3-DDE8-F64D-83C6-D35764BA9DAD}"/>
    <hyperlink ref="D192" r:id="rId11" tooltip="International Church of the Foursquare Gospel" display="https://en.wikipedia.org/wiki/International_Church_of_the_Foursquare_Gospel" xr:uid="{6B482BAA-F5E4-BE42-B54C-07A5DF8F9487}"/>
    <hyperlink ref="D179" r:id="rId12" tooltip="Church of God (Cleveland, Tennessee)" display="https://en.wikipedia.org/wiki/Church_of_God_(Cleveland,_Tennessee)" xr:uid="{FC61EA15-4A5F-2348-A6C6-D0503DC72FDB}"/>
    <hyperlink ref="D195" r:id="rId13" tooltip="International Pentecostal Holiness Church" display="https://en.wikipedia.org/wiki/International_Pentecostal_Holiness_Church" xr:uid="{3991956B-880A-B54A-9458-69C6A94070A1}"/>
    <hyperlink ref="D178" r:id="rId14" tooltip="Christian Congregation of Brazil" display="https://en.wikipedia.org/wiki/Christian_Congregation_of_Brazil" xr:uid="{11B82F3D-8BA6-8C41-97E9-C4E4490DEED0}"/>
    <hyperlink ref="D200" r:id="rId15" tooltip="Universal Church of the Kingdom of God" display="https://en.wikipedia.org/wiki/Universal_Church_of_the_Kingdom_of_God" xr:uid="{89747AE4-5872-1B49-A39E-94191A60EA5D}"/>
    <hyperlink ref="D181" r:id="rId16" tooltip="Church of God of Prophecy" display="https://en.wikipedia.org/wiki/Church_of_God_of_Prophecy" xr:uid="{D3E8AA94-B6A0-8C45-B1D4-95F3DB0619CD}"/>
    <hyperlink ref="D190" r:id="rId17" tooltip="God is Love Pentecostal Church" display="https://en.wikipedia.org/wiki/God_is_Love_Pentecostal_Church" xr:uid="{AFE5EB95-2C75-1A44-85B4-A112CA9CF5E7}"/>
    <hyperlink ref="D213" r:id="rId18" tooltip="Calvary Chapel" display="https://en.wikipedia.org/wiki/Calvary_Chapel" xr:uid="{5002A15D-27D1-784A-981E-15C99B1B4DCF}"/>
    <hyperlink ref="D215" r:id="rId19" tooltip="Church of God (Anderson, Indiana)" display="https://en.wikipedia.org/wiki/Church_of_God_(Anderson,_Indiana)" xr:uid="{7850FE95-8119-E447-B2CB-E581374D52AF}"/>
    <hyperlink ref="D218" r:id="rId20" location="cite_note-238" display="https://en.wikipedia.org/wiki/List_of_Christian_denominations_by_number_of_members - cite_note-238" xr:uid="{241ABC2C-FB11-6344-ADFD-E6A77D497717}"/>
    <hyperlink ref="D211" r:id="rId21" location="cite_note-239" display="https://en.wikipedia.org/wiki/List_of_Christian_denominations_by_number_of_members - cite_note-239" xr:uid="{59A14809-9B3F-444E-BD9D-FD79AE524A63}"/>
    <hyperlink ref="D224" r:id="rId22" tooltip="Congregation of Mary Immaculate Queen" display="https://en.wikipedia.org/wiki/Congregation_of_Mary_Immaculate_Queen" xr:uid="{DC714DCD-0056-344A-96CE-D9353C40B8BE}"/>
    <hyperlink ref="D235" r:id="rId23" tooltip="Traditionalist Mexican-American Catholic Church" display="https://en.wikipedia.org/wiki/Traditionalist_Mexican-American_Catholic_Church" xr:uid="{3ED1CA0C-0F4D-F349-8DF3-154417E2658E}"/>
    <hyperlink ref="D233" r:id="rId24" tooltip="Polish National Catholic Church" display="https://en.wikipedia.org/wiki/Polish_National_Catholic_Church" xr:uid="{7927BA42-3FA0-614E-B6B9-CD43ECB64143}"/>
    <hyperlink ref="C109" r:id="rId25" tooltip="Continental Reformed church" display="https://en.wikipedia.org/wiki/Continental_Reformed_church" xr:uid="{1F67E4D2-B61B-274F-9916-532E447AE60E}"/>
    <hyperlink ref="C111" r:id="rId26" tooltip="Congregational church" display="https://en.wikipedia.org/wiki/Congregational_church" xr:uid="{0CC847BD-B605-2F40-BEF6-68046D718BEF}"/>
    <hyperlink ref="C226:C233" r:id="rId27" tooltip="Edit section: Independent Catholicism – 18 million" display="https://en.wikipedia.org/w/index.php?title=List_of_Christian_denominations_by_number_of_members&amp;action=edit&amp;section=4" xr:uid="{334FB910-BD66-4A42-9C62-1DE53F679094}"/>
    <hyperlink ref="E203" r:id="rId28" xr:uid="{1605835D-C5CA-0941-995A-D38654896FBA}"/>
    <hyperlink ref="E204" r:id="rId29" xr:uid="{42D85E84-109B-D74E-AC0C-03F31875F08C}"/>
    <hyperlink ref="B220" r:id="rId30" display="https://en.wikipedia.org/wiki/Latin_Church" xr:uid="{9F4F6850-1C3B-0B41-BDF9-AF07A87332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F7DF-85B0-D04C-9919-BD518F0887A8}">
  <dimension ref="A1:YB161"/>
  <sheetViews>
    <sheetView workbookViewId="0">
      <selection activeCell="B31" sqref="B31"/>
    </sheetView>
  </sheetViews>
  <sheetFormatPr baseColWidth="10" defaultRowHeight="16"/>
  <cols>
    <col min="1" max="1" width="5.83203125" style="22" customWidth="1"/>
    <col min="2" max="2" width="15.1640625" style="22" customWidth="1"/>
    <col min="3" max="3" width="13.33203125" style="22" customWidth="1"/>
    <col min="4" max="4" width="8.5" style="23" bestFit="1" customWidth="1"/>
    <col min="5" max="5" width="5.83203125" style="22" customWidth="1"/>
    <col min="6" max="6" width="14.5" style="23" customWidth="1"/>
    <col min="7" max="7" width="7.1640625" style="23" bestFit="1" customWidth="1"/>
    <col min="8" max="8" width="8.33203125" style="23" bestFit="1" customWidth="1"/>
    <col min="9" max="9" width="7.33203125" style="23" bestFit="1" customWidth="1"/>
    <col min="10" max="10" width="12.1640625" style="23" bestFit="1" customWidth="1"/>
    <col min="11" max="11" width="7.83203125" style="23" bestFit="1" customWidth="1"/>
    <col min="12" max="12" width="10.83203125" style="23"/>
    <col min="13" max="13" width="5.83203125" style="22" customWidth="1"/>
    <col min="14" max="14" width="41.1640625" style="22" bestFit="1" customWidth="1"/>
    <col min="15" max="15" width="65.5" style="22" bestFit="1" customWidth="1"/>
    <col min="16" max="16" width="34.5" style="22" bestFit="1" customWidth="1"/>
    <col min="17" max="17" width="14.83203125" style="22" bestFit="1" customWidth="1"/>
    <col min="18" max="18" width="7.1640625" style="22" bestFit="1" customWidth="1"/>
    <col min="19" max="19" width="6.1640625" style="22" bestFit="1" customWidth="1"/>
    <col min="20" max="20" width="13" style="22" bestFit="1" customWidth="1"/>
    <col min="21" max="21" width="12.5" style="22" bestFit="1" customWidth="1"/>
    <col min="22" max="22" width="5.83203125" style="22" customWidth="1"/>
    <col min="23" max="23" width="38.1640625" style="22" bestFit="1" customWidth="1"/>
    <col min="24" max="24" width="27.6640625" style="22" bestFit="1" customWidth="1"/>
    <col min="25" max="25" width="5.33203125" style="23" bestFit="1" customWidth="1"/>
    <col min="26" max="26" width="22.1640625" style="22" bestFit="1" customWidth="1"/>
    <col min="27" max="27" width="5.33203125" style="23" bestFit="1" customWidth="1"/>
    <col min="28" max="28" width="30.83203125" style="22" bestFit="1" customWidth="1"/>
    <col min="29" max="30" width="9.5" style="22" bestFit="1" customWidth="1"/>
    <col min="31" max="31" width="12" style="22" bestFit="1" customWidth="1"/>
    <col min="32" max="32" width="45.33203125" style="22" bestFit="1" customWidth="1"/>
    <col min="33" max="34" width="12" style="22" bestFit="1" customWidth="1"/>
    <col min="35" max="35" width="6.1640625" style="22" bestFit="1" customWidth="1"/>
    <col min="36" max="36" width="5.33203125" style="22" bestFit="1" customWidth="1"/>
    <col min="37" max="39" width="12.5" style="22" bestFit="1" customWidth="1"/>
    <col min="40" max="40" width="8.33203125" style="22" bestFit="1" customWidth="1"/>
    <col min="41" max="41" width="5.33203125" style="22" bestFit="1" customWidth="1"/>
    <col min="42" max="42" width="12" style="22" bestFit="1" customWidth="1"/>
    <col min="43" max="43" width="5.83203125" style="22" customWidth="1"/>
    <col min="44" max="44" width="7.83203125" style="22" bestFit="1" customWidth="1"/>
    <col min="45" max="16384" width="10.83203125" style="22"/>
  </cols>
  <sheetData>
    <row r="1" spans="2:27" s="12" customFormat="1">
      <c r="C1" s="80"/>
      <c r="D1" s="80"/>
      <c r="F1" s="80"/>
      <c r="G1" s="80"/>
      <c r="H1" s="80"/>
      <c r="I1" s="80"/>
      <c r="J1" s="80"/>
      <c r="K1" s="80"/>
      <c r="L1" s="80"/>
      <c r="Y1" s="80"/>
      <c r="AA1" s="80"/>
    </row>
    <row r="2" spans="2:27" s="16" customFormat="1" ht="21">
      <c r="B2" s="16" t="s">
        <v>99</v>
      </c>
      <c r="C2" s="15"/>
      <c r="D2" s="15"/>
      <c r="F2" s="17" t="s">
        <v>683</v>
      </c>
      <c r="G2" s="15"/>
      <c r="H2" s="15"/>
      <c r="I2" s="15"/>
      <c r="J2" s="15"/>
      <c r="K2" s="15"/>
      <c r="L2" s="15"/>
      <c r="R2" s="100"/>
      <c r="Y2" s="15"/>
      <c r="AA2" s="15"/>
    </row>
    <row r="3" spans="2:27" s="16" customFormat="1" ht="21">
      <c r="C3" s="15"/>
      <c r="D3" s="15"/>
      <c r="F3" s="15"/>
      <c r="G3" s="15"/>
      <c r="H3" s="15"/>
      <c r="I3" s="15"/>
      <c r="J3" s="15"/>
      <c r="K3" s="15"/>
      <c r="L3" s="15"/>
      <c r="Y3" s="15"/>
      <c r="AA3" s="15"/>
    </row>
    <row r="4" spans="2:27" s="16" customFormat="1" ht="21">
      <c r="B4" s="217"/>
      <c r="C4" s="218"/>
      <c r="D4" s="218"/>
      <c r="E4" s="217"/>
      <c r="F4" s="218" t="s">
        <v>124</v>
      </c>
      <c r="G4" s="15"/>
      <c r="H4" s="15"/>
      <c r="I4" s="15"/>
      <c r="J4" s="15"/>
      <c r="K4" s="15"/>
      <c r="L4" s="15"/>
      <c r="R4"/>
      <c r="Y4" s="15"/>
      <c r="AA4" s="15"/>
    </row>
    <row r="5" spans="2:27" s="20" customFormat="1" ht="22" thickBot="1">
      <c r="B5" s="219" t="s">
        <v>1</v>
      </c>
      <c r="C5" s="220" t="s">
        <v>2</v>
      </c>
      <c r="D5" s="220" t="s">
        <v>3</v>
      </c>
      <c r="E5" s="219"/>
      <c r="F5" s="220" t="s">
        <v>1</v>
      </c>
      <c r="G5" s="19" t="s">
        <v>3</v>
      </c>
      <c r="H5" s="19"/>
      <c r="I5" s="19"/>
      <c r="J5" s="19"/>
      <c r="K5" s="19"/>
      <c r="L5" s="19"/>
      <c r="N5" s="219" t="s">
        <v>1379</v>
      </c>
      <c r="P5" s="219" t="s">
        <v>1379</v>
      </c>
      <c r="Y5" s="19"/>
      <c r="AA5" s="19"/>
    </row>
    <row r="6" spans="2:27">
      <c r="B6" s="37">
        <v>0</v>
      </c>
      <c r="C6" s="23">
        <v>1601</v>
      </c>
      <c r="D6" s="22">
        <v>12.3</v>
      </c>
      <c r="F6" s="72">
        <v>26249</v>
      </c>
      <c r="G6" s="23">
        <v>1.3</v>
      </c>
    </row>
    <row r="7" spans="2:27" ht="21">
      <c r="B7" s="81" t="s">
        <v>100</v>
      </c>
      <c r="C7" s="23">
        <v>4119</v>
      </c>
      <c r="D7" s="22">
        <v>31.7</v>
      </c>
      <c r="F7" s="72">
        <v>120339</v>
      </c>
      <c r="G7" s="23">
        <v>6</v>
      </c>
      <c r="N7" s="82" t="s">
        <v>6</v>
      </c>
      <c r="O7" s="83"/>
      <c r="P7" s="7" t="s">
        <v>1372</v>
      </c>
      <c r="R7" s="7"/>
    </row>
    <row r="8" spans="2:27">
      <c r="B8" s="22" t="s">
        <v>101</v>
      </c>
      <c r="C8" s="23">
        <v>3205</v>
      </c>
      <c r="D8" s="22">
        <v>24.7</v>
      </c>
      <c r="F8" s="23">
        <v>222032</v>
      </c>
      <c r="G8" s="23">
        <v>11.1</v>
      </c>
      <c r="N8" s="22" t="s">
        <v>874</v>
      </c>
      <c r="P8" s="7" t="s">
        <v>1373</v>
      </c>
    </row>
    <row r="9" spans="2:27">
      <c r="B9" s="22" t="s">
        <v>102</v>
      </c>
      <c r="C9" s="23">
        <v>2095</v>
      </c>
      <c r="D9" s="22">
        <v>16.100000000000001</v>
      </c>
      <c r="F9" s="72">
        <v>285765</v>
      </c>
      <c r="G9" s="23">
        <v>14.3</v>
      </c>
      <c r="N9" s="22" t="s">
        <v>873</v>
      </c>
      <c r="P9" s="7" t="s">
        <v>1374</v>
      </c>
      <c r="R9" s="7"/>
    </row>
    <row r="10" spans="2:27">
      <c r="B10" s="22" t="s">
        <v>103</v>
      </c>
      <c r="C10" s="72">
        <v>1101</v>
      </c>
      <c r="D10" s="22">
        <v>8.5</v>
      </c>
      <c r="F10" s="72">
        <v>299688</v>
      </c>
      <c r="G10" s="23">
        <v>15</v>
      </c>
      <c r="N10" s="84"/>
      <c r="O10" s="84"/>
      <c r="P10" s="7" t="s">
        <v>1371</v>
      </c>
      <c r="R10" s="7"/>
    </row>
    <row r="11" spans="2:27">
      <c r="B11" s="22" t="s">
        <v>104</v>
      </c>
      <c r="C11" s="23">
        <v>439</v>
      </c>
      <c r="D11" s="22">
        <v>3.4</v>
      </c>
      <c r="F11" s="72">
        <v>222939</v>
      </c>
      <c r="G11" s="23">
        <v>11.2</v>
      </c>
      <c r="N11" s="12" t="s">
        <v>872</v>
      </c>
      <c r="O11" s="84" t="s">
        <v>871</v>
      </c>
      <c r="R11" s="96"/>
    </row>
    <row r="12" spans="2:27">
      <c r="B12" s="84" t="s">
        <v>105</v>
      </c>
      <c r="C12" s="23">
        <v>157</v>
      </c>
      <c r="D12" s="22">
        <v>1.2</v>
      </c>
      <c r="F12" s="72">
        <v>126851</v>
      </c>
      <c r="G12" s="23">
        <v>6.4</v>
      </c>
      <c r="O12" s="84"/>
      <c r="P12" s="7" t="s">
        <v>1375</v>
      </c>
      <c r="R12" s="7"/>
    </row>
    <row r="13" spans="2:27">
      <c r="B13" s="22" t="s">
        <v>106</v>
      </c>
      <c r="C13" s="23">
        <v>269</v>
      </c>
      <c r="D13" s="22">
        <v>2.1</v>
      </c>
      <c r="F13" s="72">
        <v>689507</v>
      </c>
      <c r="G13" s="23">
        <v>34.6</v>
      </c>
      <c r="P13" s="7" t="s">
        <v>1376</v>
      </c>
      <c r="R13" s="7"/>
    </row>
    <row r="14" spans="2:27" ht="21">
      <c r="N14" s="207" t="s">
        <v>3094</v>
      </c>
      <c r="R14" s="7"/>
    </row>
    <row r="15" spans="2:27">
      <c r="B15" s="221" t="s">
        <v>1949</v>
      </c>
      <c r="C15" s="23">
        <f>SUM(C6:C13)</f>
        <v>12986</v>
      </c>
      <c r="D15" s="22"/>
      <c r="F15" s="72">
        <f>SUM(F6:F13)</f>
        <v>1993370</v>
      </c>
      <c r="N15" s="22" t="s">
        <v>974</v>
      </c>
      <c r="P15" s="7" t="s">
        <v>1377</v>
      </c>
      <c r="R15" s="7"/>
    </row>
    <row r="16" spans="2:27">
      <c r="B16" s="85"/>
      <c r="C16" s="23"/>
      <c r="D16" s="22"/>
      <c r="O16" s="84"/>
      <c r="P16" s="7" t="s">
        <v>1378</v>
      </c>
      <c r="R16" s="7"/>
    </row>
    <row r="17" spans="1:44">
      <c r="B17" s="22" t="s">
        <v>107</v>
      </c>
      <c r="C17" s="23"/>
      <c r="D17" s="22"/>
    </row>
    <row r="18" spans="1:44">
      <c r="B18" s="85"/>
      <c r="C18" s="23"/>
      <c r="D18" s="22"/>
    </row>
    <row r="19" spans="1:44">
      <c r="B19" s="81" t="s">
        <v>108</v>
      </c>
      <c r="C19" s="23"/>
      <c r="D19" s="23">
        <f>SUM(C11:C13)</f>
        <v>865</v>
      </c>
      <c r="R19"/>
    </row>
    <row r="20" spans="1:44">
      <c r="B20" s="85"/>
    </row>
    <row r="21" spans="1:44" s="16" customFormat="1" ht="21">
      <c r="A21" s="15"/>
      <c r="D21" s="15"/>
      <c r="E21" s="15"/>
      <c r="F21" s="15" t="s">
        <v>17</v>
      </c>
      <c r="G21" s="15"/>
      <c r="H21" s="15"/>
      <c r="I21" s="15"/>
      <c r="J21" s="15"/>
      <c r="K21" s="15"/>
      <c r="L21" s="15"/>
      <c r="M21" s="15"/>
      <c r="N21" s="17"/>
      <c r="O21" s="17"/>
      <c r="S21" s="17"/>
      <c r="T21" s="15"/>
      <c r="U21" s="15"/>
      <c r="V21" s="15"/>
      <c r="X21" s="18"/>
      <c r="Y21" s="15"/>
      <c r="Z21" s="15"/>
      <c r="AA21" s="15"/>
      <c r="AB21" s="17"/>
      <c r="AC21" s="15"/>
      <c r="AD21" s="15"/>
      <c r="AE21" s="15"/>
      <c r="AF21" s="17"/>
      <c r="AG21" s="15"/>
      <c r="AH21" s="15"/>
      <c r="AI21" s="17"/>
      <c r="AJ21" s="15"/>
      <c r="AK21" s="17"/>
      <c r="AL21" s="15"/>
      <c r="AM21" s="15"/>
      <c r="AQ21" s="15"/>
    </row>
    <row r="22" spans="1:44" s="16" customFormat="1" ht="21">
      <c r="A22" s="15"/>
      <c r="B22" s="16" t="s">
        <v>18</v>
      </c>
      <c r="C22" s="16" t="s">
        <v>19</v>
      </c>
      <c r="D22" s="15"/>
      <c r="E22" s="15"/>
      <c r="F22" s="15" t="s">
        <v>20</v>
      </c>
      <c r="G22" s="15"/>
      <c r="H22" s="15"/>
      <c r="I22" s="15"/>
      <c r="J22" s="15"/>
      <c r="K22" s="15"/>
      <c r="L22" s="15"/>
      <c r="M22" s="15"/>
      <c r="N22" s="17"/>
      <c r="O22" s="17"/>
      <c r="S22" s="17"/>
      <c r="T22" s="15"/>
      <c r="U22" s="15"/>
      <c r="V22" s="15"/>
      <c r="X22" s="18"/>
      <c r="Y22" s="15"/>
      <c r="Z22" s="15"/>
      <c r="AA22" s="15"/>
      <c r="AB22" s="17"/>
      <c r="AC22" s="15" t="s">
        <v>21</v>
      </c>
      <c r="AD22" s="15" t="s">
        <v>21</v>
      </c>
      <c r="AE22" s="15" t="s">
        <v>21</v>
      </c>
      <c r="AF22" s="17"/>
      <c r="AG22" s="15" t="s">
        <v>22</v>
      </c>
      <c r="AH22" s="15" t="s">
        <v>22</v>
      </c>
      <c r="AI22" s="17"/>
      <c r="AJ22" s="15"/>
      <c r="AK22" s="17"/>
      <c r="AL22" s="15" t="s">
        <v>23</v>
      </c>
      <c r="AM22" s="15" t="s">
        <v>23</v>
      </c>
      <c r="AN22" s="15" t="s">
        <v>24</v>
      </c>
      <c r="AO22" s="15"/>
      <c r="AQ22" s="15"/>
    </row>
    <row r="23" spans="1:44" s="20" customFormat="1" ht="22" thickBot="1">
      <c r="A23" s="19"/>
      <c r="B23" s="20" t="s">
        <v>25</v>
      </c>
      <c r="C23" s="20" t="s">
        <v>25</v>
      </c>
      <c r="D23" s="19"/>
      <c r="E23" s="19"/>
      <c r="F23" s="19" t="s">
        <v>26</v>
      </c>
      <c r="G23" s="19" t="s">
        <v>27</v>
      </c>
      <c r="H23" s="19" t="s">
        <v>28</v>
      </c>
      <c r="I23" s="19" t="s">
        <v>29</v>
      </c>
      <c r="J23" s="19" t="s">
        <v>14</v>
      </c>
      <c r="K23" s="19" t="s">
        <v>24</v>
      </c>
      <c r="L23" s="19" t="s">
        <v>30</v>
      </c>
      <c r="M23" s="19"/>
      <c r="N23" s="21" t="s">
        <v>31</v>
      </c>
      <c r="O23" s="21" t="s">
        <v>962</v>
      </c>
      <c r="P23" s="20" t="s">
        <v>32</v>
      </c>
      <c r="Q23" s="20" t="s">
        <v>33</v>
      </c>
      <c r="R23" s="20" t="s">
        <v>34</v>
      </c>
      <c r="S23" s="21" t="s">
        <v>35</v>
      </c>
      <c r="T23" s="21" t="s">
        <v>118</v>
      </c>
      <c r="U23" s="21" t="s">
        <v>119</v>
      </c>
      <c r="V23" s="19"/>
      <c r="W23" s="20" t="s">
        <v>37</v>
      </c>
      <c r="X23" s="21" t="s">
        <v>38</v>
      </c>
      <c r="Y23" s="19" t="s">
        <v>39</v>
      </c>
      <c r="Z23" s="21" t="s">
        <v>40</v>
      </c>
      <c r="AA23" s="19" t="s">
        <v>39</v>
      </c>
      <c r="AB23" s="21" t="s">
        <v>21</v>
      </c>
      <c r="AC23" s="19" t="s">
        <v>41</v>
      </c>
      <c r="AD23" s="19" t="s">
        <v>39</v>
      </c>
      <c r="AE23" s="19" t="s">
        <v>42</v>
      </c>
      <c r="AF23" s="21" t="s">
        <v>22</v>
      </c>
      <c r="AG23" s="19" t="s">
        <v>39</v>
      </c>
      <c r="AH23" s="19" t="s">
        <v>43</v>
      </c>
      <c r="AI23" s="21" t="s">
        <v>44</v>
      </c>
      <c r="AJ23" s="19" t="s">
        <v>39</v>
      </c>
      <c r="AK23" s="21" t="s">
        <v>23</v>
      </c>
      <c r="AL23" s="19" t="s">
        <v>39</v>
      </c>
      <c r="AM23" s="19" t="s">
        <v>42</v>
      </c>
      <c r="AN23" s="19" t="s">
        <v>45</v>
      </c>
      <c r="AO23" s="20" t="s">
        <v>39</v>
      </c>
      <c r="AP23" s="19" t="s">
        <v>42</v>
      </c>
      <c r="AQ23" s="19"/>
      <c r="AR23" s="20" t="s">
        <v>46</v>
      </c>
    </row>
    <row r="24" spans="1:44">
      <c r="A24" s="210"/>
      <c r="E24" s="210"/>
      <c r="M24" s="210"/>
      <c r="V24" s="210"/>
      <c r="AQ24" s="210"/>
    </row>
    <row r="25" spans="1:44">
      <c r="A25" s="210"/>
      <c r="B25" s="22" t="s">
        <v>125</v>
      </c>
      <c r="C25" s="22" t="s">
        <v>126</v>
      </c>
      <c r="E25" s="210"/>
      <c r="F25" s="23">
        <v>1</v>
      </c>
      <c r="M25" s="210"/>
      <c r="N25" s="22" t="s">
        <v>127</v>
      </c>
      <c r="O25" s="22" t="s">
        <v>682</v>
      </c>
      <c r="P25" s="22" t="s">
        <v>150</v>
      </c>
      <c r="Q25" s="22" t="s">
        <v>128</v>
      </c>
      <c r="R25" s="22" t="s">
        <v>129</v>
      </c>
      <c r="S25" s="22">
        <v>65802</v>
      </c>
      <c r="T25" s="22" t="s">
        <v>141</v>
      </c>
      <c r="V25" s="210"/>
      <c r="W25" s="22" t="s">
        <v>683</v>
      </c>
      <c r="X25" s="36" t="s">
        <v>130</v>
      </c>
      <c r="Y25" s="23">
        <v>1</v>
      </c>
      <c r="AB25" s="34" t="s">
        <v>131</v>
      </c>
      <c r="AC25" s="23"/>
      <c r="AD25" s="23">
        <v>1</v>
      </c>
      <c r="AE25" s="23">
        <v>7821</v>
      </c>
      <c r="AF25" s="34" t="s">
        <v>132</v>
      </c>
      <c r="AG25" s="23">
        <v>1</v>
      </c>
      <c r="AH25" s="72">
        <v>15000</v>
      </c>
      <c r="AQ25" s="210"/>
    </row>
    <row r="26" spans="1:44">
      <c r="A26" s="210"/>
      <c r="B26" s="22" t="s">
        <v>142</v>
      </c>
      <c r="C26" s="22" t="s">
        <v>143</v>
      </c>
      <c r="E26" s="210"/>
      <c r="F26" s="23">
        <v>1</v>
      </c>
      <c r="M26" s="210"/>
      <c r="N26" s="22" t="s">
        <v>133</v>
      </c>
      <c r="O26" s="22" t="s">
        <v>682</v>
      </c>
      <c r="P26" s="22" t="s">
        <v>150</v>
      </c>
      <c r="Q26" s="22" t="s">
        <v>128</v>
      </c>
      <c r="R26" s="22" t="s">
        <v>129</v>
      </c>
      <c r="S26" s="22">
        <v>65802</v>
      </c>
      <c r="T26" s="22" t="s">
        <v>141</v>
      </c>
      <c r="V26" s="210"/>
      <c r="W26" s="22" t="s">
        <v>683</v>
      </c>
      <c r="AQ26" s="210"/>
    </row>
    <row r="27" spans="1:44">
      <c r="A27" s="210"/>
      <c r="B27" s="22" t="s">
        <v>144</v>
      </c>
      <c r="C27" s="22" t="s">
        <v>145</v>
      </c>
      <c r="E27" s="210"/>
      <c r="F27" s="23">
        <v>1</v>
      </c>
      <c r="L27" s="23">
        <v>1</v>
      </c>
      <c r="M27" s="210"/>
      <c r="N27" s="22" t="s">
        <v>134</v>
      </c>
      <c r="O27" s="22" t="s">
        <v>682</v>
      </c>
      <c r="P27" s="22" t="s">
        <v>150</v>
      </c>
      <c r="Q27" s="22" t="s">
        <v>128</v>
      </c>
      <c r="R27" s="22" t="s">
        <v>129</v>
      </c>
      <c r="S27" s="22">
        <v>65802</v>
      </c>
      <c r="T27" s="22" t="s">
        <v>141</v>
      </c>
      <c r="V27" s="210"/>
      <c r="W27" s="22" t="s">
        <v>683</v>
      </c>
      <c r="AQ27" s="210"/>
    </row>
    <row r="28" spans="1:44">
      <c r="A28" s="210"/>
      <c r="B28" s="22" t="s">
        <v>148</v>
      </c>
      <c r="C28" s="22" t="s">
        <v>149</v>
      </c>
      <c r="E28" s="210"/>
      <c r="H28" s="23">
        <v>1</v>
      </c>
      <c r="M28" s="210"/>
      <c r="N28" s="22" t="s">
        <v>135</v>
      </c>
      <c r="O28" s="22" t="s">
        <v>682</v>
      </c>
      <c r="P28" s="22" t="s">
        <v>150</v>
      </c>
      <c r="Q28" s="22" t="s">
        <v>128</v>
      </c>
      <c r="R28" s="22" t="s">
        <v>129</v>
      </c>
      <c r="S28" s="22">
        <v>65802</v>
      </c>
      <c r="T28" s="22" t="s">
        <v>141</v>
      </c>
      <c r="V28" s="210"/>
      <c r="W28" s="22" t="s">
        <v>683</v>
      </c>
      <c r="AQ28" s="210"/>
    </row>
    <row r="29" spans="1:44">
      <c r="A29" s="210"/>
      <c r="B29" s="22" t="s">
        <v>146</v>
      </c>
      <c r="C29" s="22" t="s">
        <v>147</v>
      </c>
      <c r="E29" s="210"/>
      <c r="G29" s="23">
        <v>1</v>
      </c>
      <c r="M29" s="210"/>
      <c r="N29" s="22" t="s">
        <v>136</v>
      </c>
      <c r="O29" s="22" t="s">
        <v>682</v>
      </c>
      <c r="P29" s="22" t="s">
        <v>150</v>
      </c>
      <c r="Q29" s="22" t="s">
        <v>128</v>
      </c>
      <c r="R29" s="22" t="s">
        <v>129</v>
      </c>
      <c r="S29" s="22">
        <v>65802</v>
      </c>
      <c r="T29" s="22" t="s">
        <v>141</v>
      </c>
      <c r="V29" s="210"/>
      <c r="W29" s="22" t="s">
        <v>683</v>
      </c>
      <c r="AQ29" s="210"/>
    </row>
    <row r="30" spans="1:44">
      <c r="A30" s="210"/>
      <c r="B30" s="22" t="s">
        <v>3855</v>
      </c>
      <c r="C30" s="22" t="s">
        <v>147</v>
      </c>
      <c r="E30" s="210"/>
      <c r="M30" s="210"/>
      <c r="N30" s="22" t="s">
        <v>137</v>
      </c>
      <c r="O30" s="22" t="s">
        <v>682</v>
      </c>
      <c r="P30" s="22" t="s">
        <v>150</v>
      </c>
      <c r="Q30" s="22" t="s">
        <v>128</v>
      </c>
      <c r="R30" s="22" t="s">
        <v>129</v>
      </c>
      <c r="S30" s="22">
        <v>65802</v>
      </c>
      <c r="T30" s="22" t="s">
        <v>141</v>
      </c>
      <c r="V30" s="210"/>
      <c r="W30" s="22" t="s">
        <v>683</v>
      </c>
      <c r="AQ30" s="210"/>
    </row>
    <row r="31" spans="1:44">
      <c r="A31" s="210"/>
      <c r="B31" s="22" t="s">
        <v>139</v>
      </c>
      <c r="E31" s="210"/>
      <c r="M31" s="210"/>
      <c r="N31" s="22" t="s">
        <v>140</v>
      </c>
      <c r="O31" s="22" t="s">
        <v>682</v>
      </c>
      <c r="P31" s="22" t="s">
        <v>150</v>
      </c>
      <c r="Q31" s="22" t="s">
        <v>128</v>
      </c>
      <c r="R31" s="22" t="s">
        <v>129</v>
      </c>
      <c r="S31" s="22">
        <v>65802</v>
      </c>
      <c r="T31" s="22" t="s">
        <v>141</v>
      </c>
      <c r="V31" s="210"/>
      <c r="W31" s="22" t="s">
        <v>683</v>
      </c>
      <c r="X31" s="22" t="s">
        <v>138</v>
      </c>
      <c r="AQ31" s="210"/>
    </row>
    <row r="32" spans="1:44">
      <c r="A32" s="210"/>
      <c r="E32" s="210"/>
      <c r="M32" s="210"/>
      <c r="V32" s="210"/>
      <c r="AQ32" s="210"/>
    </row>
    <row r="33" spans="1:652">
      <c r="A33" s="211"/>
      <c r="E33" s="211"/>
      <c r="M33" s="211"/>
      <c r="V33" s="211"/>
      <c r="AQ33" s="211"/>
    </row>
    <row r="34" spans="1:652">
      <c r="A34" s="211"/>
      <c r="E34" s="211"/>
      <c r="M34" s="211"/>
      <c r="V34" s="211"/>
      <c r="AQ34" s="211"/>
    </row>
    <row r="35" spans="1:652" ht="19">
      <c r="A35" s="211"/>
      <c r="B35" s="86" t="s">
        <v>746</v>
      </c>
      <c r="E35" s="211"/>
      <c r="M35" s="211"/>
      <c r="V35" s="211"/>
      <c r="AQ35" s="211"/>
    </row>
    <row r="36" spans="1:652">
      <c r="A36" s="211"/>
      <c r="E36" s="211"/>
      <c r="M36" s="211"/>
      <c r="V36" s="211"/>
      <c r="AQ36" s="211"/>
    </row>
    <row r="37" spans="1:652">
      <c r="A37" s="211"/>
      <c r="E37" s="211"/>
      <c r="M37" s="211"/>
      <c r="V37" s="211"/>
      <c r="AQ37" s="211"/>
    </row>
    <row r="38" spans="1:652">
      <c r="A38" s="211"/>
      <c r="B38" s="22" t="s">
        <v>180</v>
      </c>
      <c r="C38" s="22" t="s">
        <v>181</v>
      </c>
      <c r="D38" s="22"/>
      <c r="E38" s="211"/>
      <c r="F38" s="54">
        <v>1</v>
      </c>
      <c r="M38" s="211"/>
      <c r="N38" s="22" t="s">
        <v>182</v>
      </c>
      <c r="O38" s="22" t="s">
        <v>183</v>
      </c>
      <c r="P38" s="22" t="s">
        <v>184</v>
      </c>
      <c r="Q38" s="22" t="s">
        <v>185</v>
      </c>
      <c r="R38" s="22" t="s">
        <v>186</v>
      </c>
      <c r="S38" s="22">
        <v>36117</v>
      </c>
      <c r="T38" s="22" t="s">
        <v>187</v>
      </c>
      <c r="V38" s="211"/>
      <c r="W38" s="36" t="s">
        <v>188</v>
      </c>
      <c r="X38" s="37" t="s">
        <v>189</v>
      </c>
      <c r="Y38" s="23">
        <v>1</v>
      </c>
      <c r="Z38" s="37"/>
      <c r="AB38" s="22" t="s">
        <v>190</v>
      </c>
      <c r="AD38" s="23">
        <v>1</v>
      </c>
      <c r="AE38" s="23">
        <v>1052</v>
      </c>
      <c r="AF38" s="37"/>
      <c r="AG38" s="23"/>
      <c r="AH38" s="23"/>
      <c r="AL38" s="23"/>
      <c r="AM38" s="23"/>
      <c r="AQ38" s="211"/>
    </row>
    <row r="39" spans="1:652" s="55" customFormat="1">
      <c r="A39" s="212"/>
      <c r="B39" s="55" t="s">
        <v>247</v>
      </c>
      <c r="C39" s="55" t="s">
        <v>248</v>
      </c>
      <c r="E39" s="212"/>
      <c r="F39" s="54">
        <v>1</v>
      </c>
      <c r="G39" s="54"/>
      <c r="H39" s="54"/>
      <c r="I39" s="54"/>
      <c r="J39" s="54"/>
      <c r="K39" s="54"/>
      <c r="L39" s="54"/>
      <c r="M39" s="212"/>
      <c r="N39" s="55" t="s">
        <v>182</v>
      </c>
      <c r="O39" s="22" t="s">
        <v>249</v>
      </c>
      <c r="P39" s="36" t="s">
        <v>250</v>
      </c>
      <c r="Q39" s="55" t="s">
        <v>251</v>
      </c>
      <c r="R39" s="55" t="s">
        <v>252</v>
      </c>
      <c r="S39" s="55">
        <v>99518</v>
      </c>
      <c r="T39" s="55" t="s">
        <v>253</v>
      </c>
      <c r="V39" s="212"/>
      <c r="W39" s="56" t="s">
        <v>151</v>
      </c>
      <c r="X39" s="56" t="s">
        <v>254</v>
      </c>
      <c r="Y39" s="54">
        <v>1</v>
      </c>
      <c r="Z39" s="54"/>
      <c r="AA39" s="54"/>
      <c r="AQ39" s="212"/>
    </row>
    <row r="40" spans="1:652">
      <c r="A40" s="211"/>
      <c r="B40" s="22" t="s">
        <v>255</v>
      </c>
      <c r="C40" s="22" t="s">
        <v>256</v>
      </c>
      <c r="D40" s="22"/>
      <c r="E40" s="211"/>
      <c r="F40" s="23">
        <v>1</v>
      </c>
      <c r="M40" s="211"/>
      <c r="N40" s="22" t="s">
        <v>257</v>
      </c>
      <c r="O40" s="22" t="s">
        <v>258</v>
      </c>
      <c r="P40" s="22" t="s">
        <v>259</v>
      </c>
      <c r="Q40" s="22" t="s">
        <v>260</v>
      </c>
      <c r="R40" s="22" t="s">
        <v>261</v>
      </c>
      <c r="S40" s="37">
        <v>25843</v>
      </c>
      <c r="T40" s="22" t="s">
        <v>262</v>
      </c>
      <c r="V40" s="211"/>
      <c r="W40" s="36" t="s">
        <v>152</v>
      </c>
      <c r="X40" s="36" t="s">
        <v>263</v>
      </c>
      <c r="Y40" s="23">
        <v>1</v>
      </c>
      <c r="Z40" s="23"/>
      <c r="AD40" s="23"/>
      <c r="AE40" s="23"/>
      <c r="AG40" s="23"/>
      <c r="AH40" s="23"/>
      <c r="AL40" s="23"/>
      <c r="AM40" s="23"/>
      <c r="AQ40" s="211"/>
    </row>
    <row r="41" spans="1:652">
      <c r="A41" s="213"/>
      <c r="B41" s="36" t="s">
        <v>264</v>
      </c>
      <c r="C41" s="22" t="s">
        <v>265</v>
      </c>
      <c r="D41" s="22"/>
      <c r="E41" s="213"/>
      <c r="F41" s="23">
        <v>1</v>
      </c>
      <c r="M41" s="213"/>
      <c r="N41" s="37" t="s">
        <v>182</v>
      </c>
      <c r="O41" s="22" t="s">
        <v>266</v>
      </c>
      <c r="P41" s="22" t="s">
        <v>267</v>
      </c>
      <c r="Q41" s="22" t="s">
        <v>268</v>
      </c>
      <c r="R41" s="22" t="s">
        <v>269</v>
      </c>
      <c r="S41" s="22">
        <v>85016</v>
      </c>
      <c r="T41" s="22" t="s">
        <v>270</v>
      </c>
      <c r="V41" s="213"/>
      <c r="W41" s="36" t="s">
        <v>271</v>
      </c>
      <c r="X41" s="58" t="s">
        <v>272</v>
      </c>
      <c r="Y41" s="23">
        <v>1</v>
      </c>
      <c r="Z41" s="36" t="s">
        <v>273</v>
      </c>
      <c r="AA41" s="23">
        <v>1</v>
      </c>
      <c r="AC41" s="23"/>
      <c r="AD41" s="23"/>
      <c r="AE41" s="23"/>
      <c r="AG41" s="23"/>
      <c r="AH41" s="23"/>
      <c r="AL41" s="23"/>
      <c r="AM41" s="23"/>
      <c r="AQ41" s="213"/>
      <c r="YB41" s="57"/>
    </row>
    <row r="42" spans="1:652" s="57" customFormat="1">
      <c r="A42" s="211"/>
      <c r="B42" s="22" t="s">
        <v>274</v>
      </c>
      <c r="C42" s="22" t="s">
        <v>275</v>
      </c>
      <c r="D42" s="22"/>
      <c r="E42" s="211"/>
      <c r="F42" s="23">
        <v>1</v>
      </c>
      <c r="G42" s="23"/>
      <c r="H42" s="23"/>
      <c r="I42" s="23"/>
      <c r="J42" s="23"/>
      <c r="K42" s="23"/>
      <c r="L42" s="23"/>
      <c r="M42" s="211"/>
      <c r="N42" s="37" t="s">
        <v>276</v>
      </c>
      <c r="O42" s="22" t="s">
        <v>277</v>
      </c>
      <c r="P42" s="22" t="s">
        <v>278</v>
      </c>
      <c r="Q42" s="22" t="s">
        <v>279</v>
      </c>
      <c r="R42" s="22" t="s">
        <v>280</v>
      </c>
      <c r="S42" s="37">
        <v>72209</v>
      </c>
      <c r="T42" s="22" t="s">
        <v>281</v>
      </c>
      <c r="U42" s="22"/>
      <c r="V42" s="211"/>
      <c r="W42" s="36" t="s">
        <v>282</v>
      </c>
      <c r="X42" s="59" t="s">
        <v>283</v>
      </c>
      <c r="Y42" s="23">
        <v>1</v>
      </c>
      <c r="Z42" s="22"/>
      <c r="AA42" s="23"/>
      <c r="AB42" s="22"/>
      <c r="AC42" s="23"/>
      <c r="AD42" s="23"/>
      <c r="AE42" s="23"/>
      <c r="AF42" s="22"/>
      <c r="AG42" s="23"/>
      <c r="AH42" s="23"/>
      <c r="AI42" s="22"/>
      <c r="AJ42" s="22"/>
      <c r="AK42" s="37"/>
      <c r="AL42" s="23"/>
      <c r="AM42" s="23"/>
      <c r="AN42" s="22"/>
      <c r="AO42" s="22"/>
      <c r="AP42" s="22"/>
      <c r="AQ42" s="211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2"/>
      <c r="TF42" s="22"/>
      <c r="TG42" s="22"/>
      <c r="TH42" s="22"/>
      <c r="TI42" s="22"/>
      <c r="TJ42" s="22"/>
      <c r="TK42" s="22"/>
      <c r="TL42" s="22"/>
      <c r="TM42" s="22"/>
      <c r="TN42" s="22"/>
      <c r="TO42" s="22"/>
      <c r="TP42" s="22"/>
      <c r="TQ42" s="22"/>
      <c r="TR42" s="22"/>
      <c r="TS42" s="22"/>
      <c r="TT42" s="22"/>
      <c r="TU42" s="22"/>
      <c r="TV42" s="22"/>
      <c r="TW42" s="22"/>
      <c r="TX42" s="22"/>
      <c r="TY42" s="22"/>
      <c r="TZ42" s="22"/>
      <c r="UA42" s="22"/>
      <c r="UB42" s="22"/>
      <c r="UC42" s="22"/>
      <c r="UD42" s="22"/>
      <c r="UE42" s="22"/>
      <c r="UF42" s="22"/>
      <c r="UG42" s="22"/>
      <c r="UH42" s="22"/>
      <c r="UI42" s="22"/>
      <c r="UJ42" s="22"/>
      <c r="UK42" s="22"/>
      <c r="UL42" s="22"/>
      <c r="UM42" s="22"/>
      <c r="UN42" s="22"/>
      <c r="UO42" s="22"/>
      <c r="YB42" s="22"/>
    </row>
    <row r="43" spans="1:652">
      <c r="A43" s="211"/>
      <c r="B43" s="22" t="s">
        <v>284</v>
      </c>
      <c r="C43" s="22" t="s">
        <v>285</v>
      </c>
      <c r="D43" s="22"/>
      <c r="E43" s="211"/>
      <c r="F43" s="23">
        <v>1</v>
      </c>
      <c r="M43" s="211"/>
      <c r="N43" s="37" t="s">
        <v>182</v>
      </c>
      <c r="O43" s="22" t="s">
        <v>286</v>
      </c>
      <c r="P43" s="22" t="s">
        <v>287</v>
      </c>
      <c r="Q43" s="22" t="s">
        <v>288</v>
      </c>
      <c r="R43" s="22" t="s">
        <v>289</v>
      </c>
      <c r="S43" s="22">
        <v>67101</v>
      </c>
      <c r="T43" s="22" t="s">
        <v>290</v>
      </c>
      <c r="V43" s="211"/>
      <c r="W43" s="36" t="s">
        <v>291</v>
      </c>
      <c r="X43" s="60" t="s">
        <v>292</v>
      </c>
      <c r="Y43" s="23">
        <v>1</v>
      </c>
      <c r="Z43" s="36" t="s">
        <v>293</v>
      </c>
      <c r="AA43" s="23">
        <v>1</v>
      </c>
      <c r="AD43" s="23"/>
      <c r="AE43" s="23"/>
      <c r="AF43" s="37"/>
      <c r="AG43" s="23"/>
      <c r="AH43" s="23"/>
      <c r="AK43" s="37"/>
      <c r="AL43" s="23"/>
      <c r="AM43" s="23"/>
      <c r="AQ43" s="211"/>
    </row>
    <row r="44" spans="1:652" ht="16" customHeight="1">
      <c r="A44" s="211"/>
      <c r="B44" s="77" t="s">
        <v>598</v>
      </c>
      <c r="C44" s="22" t="s">
        <v>754</v>
      </c>
      <c r="D44" s="22"/>
      <c r="E44" s="211"/>
      <c r="M44" s="211"/>
      <c r="N44" s="22" t="s">
        <v>182</v>
      </c>
      <c r="O44" s="22" t="s">
        <v>730</v>
      </c>
      <c r="P44" s="22" t="s">
        <v>733</v>
      </c>
      <c r="Q44" s="22" t="s">
        <v>732</v>
      </c>
      <c r="R44" s="22" t="s">
        <v>551</v>
      </c>
      <c r="S44" s="22">
        <v>33064</v>
      </c>
      <c r="T44" s="22" t="s">
        <v>731</v>
      </c>
      <c r="U44" s="75"/>
      <c r="V44" s="211"/>
      <c r="W44" s="36" t="s">
        <v>689</v>
      </c>
      <c r="X44" s="36" t="s">
        <v>153</v>
      </c>
      <c r="Y44" s="23">
        <v>1</v>
      </c>
      <c r="AA44" s="22"/>
      <c r="AQ44" s="211"/>
    </row>
    <row r="45" spans="1:652">
      <c r="A45" s="211"/>
      <c r="B45" s="22" t="s">
        <v>738</v>
      </c>
      <c r="C45" s="22" t="s">
        <v>744</v>
      </c>
      <c r="D45" s="22"/>
      <c r="E45" s="211"/>
      <c r="H45" s="23">
        <v>1</v>
      </c>
      <c r="M45" s="211"/>
      <c r="N45" s="55" t="s">
        <v>182</v>
      </c>
      <c r="O45" s="22" t="s">
        <v>693</v>
      </c>
      <c r="P45" s="22" t="s">
        <v>690</v>
      </c>
      <c r="Q45" s="22" t="s">
        <v>691</v>
      </c>
      <c r="R45" s="22" t="s">
        <v>67</v>
      </c>
      <c r="S45" s="22">
        <v>80221</v>
      </c>
      <c r="T45" s="22" t="s">
        <v>692</v>
      </c>
      <c r="V45" s="211"/>
      <c r="W45" s="36" t="s">
        <v>154</v>
      </c>
      <c r="X45" s="36" t="s">
        <v>155</v>
      </c>
      <c r="Y45" s="23">
        <v>1</v>
      </c>
      <c r="AA45" s="22"/>
      <c r="AQ45" s="211"/>
    </row>
    <row r="46" spans="1:652">
      <c r="A46" s="211"/>
      <c r="B46" s="22" t="s">
        <v>294</v>
      </c>
      <c r="C46" s="37" t="s">
        <v>295</v>
      </c>
      <c r="D46" s="37"/>
      <c r="E46" s="211"/>
      <c r="H46" s="23">
        <v>1</v>
      </c>
      <c r="M46" s="211"/>
      <c r="N46" s="59" t="s">
        <v>296</v>
      </c>
      <c r="O46" s="36" t="s">
        <v>297</v>
      </c>
      <c r="P46" s="22" t="s">
        <v>298</v>
      </c>
      <c r="Q46" s="22" t="s">
        <v>299</v>
      </c>
      <c r="R46" s="22" t="s">
        <v>300</v>
      </c>
      <c r="S46" s="37">
        <v>95829</v>
      </c>
      <c r="T46" s="22" t="s">
        <v>301</v>
      </c>
      <c r="V46" s="211"/>
      <c r="W46" s="36" t="s">
        <v>302</v>
      </c>
      <c r="X46" s="60" t="s">
        <v>303</v>
      </c>
      <c r="Y46" s="23">
        <v>1</v>
      </c>
      <c r="Z46" s="23"/>
      <c r="AC46" s="23"/>
      <c r="AD46" s="23"/>
      <c r="AE46" s="23"/>
      <c r="AF46" s="22" t="s">
        <v>304</v>
      </c>
      <c r="AG46" s="23">
        <v>1</v>
      </c>
      <c r="AH46" s="23">
        <v>2811</v>
      </c>
      <c r="AL46" s="23"/>
      <c r="AM46" s="23"/>
      <c r="AO46" s="23"/>
      <c r="AP46" s="23"/>
      <c r="AQ46" s="211"/>
    </row>
    <row r="47" spans="1:652">
      <c r="A47" s="211"/>
      <c r="D47" s="22"/>
      <c r="E47" s="211"/>
      <c r="H47" s="23">
        <v>1</v>
      </c>
      <c r="M47" s="211"/>
      <c r="N47" s="22" t="s">
        <v>192</v>
      </c>
      <c r="O47" s="65" t="s">
        <v>675</v>
      </c>
      <c r="P47" s="65" t="s">
        <v>676</v>
      </c>
      <c r="Q47" s="22" t="s">
        <v>677</v>
      </c>
      <c r="R47" s="22" t="s">
        <v>551</v>
      </c>
      <c r="S47" s="37">
        <v>32824</v>
      </c>
      <c r="T47" s="22" t="s">
        <v>678</v>
      </c>
      <c r="V47" s="211"/>
      <c r="W47" s="36" t="s">
        <v>679</v>
      </c>
      <c r="X47" s="60" t="s">
        <v>680</v>
      </c>
      <c r="Y47" s="23">
        <v>1</v>
      </c>
      <c r="Z47" s="23"/>
      <c r="AB47" s="37"/>
      <c r="AC47" s="23"/>
      <c r="AD47" s="23"/>
      <c r="AE47" s="23"/>
      <c r="AF47" s="37"/>
      <c r="AG47" s="23"/>
      <c r="AH47" s="23"/>
      <c r="AK47" s="37"/>
      <c r="AL47" s="23"/>
      <c r="AM47" s="23"/>
      <c r="AO47" s="23"/>
      <c r="AP47" s="23"/>
      <c r="AQ47" s="211"/>
    </row>
    <row r="48" spans="1:652">
      <c r="A48" s="211"/>
      <c r="B48" s="22" t="s">
        <v>384</v>
      </c>
      <c r="C48" s="22" t="s">
        <v>659</v>
      </c>
      <c r="D48" s="22"/>
      <c r="E48" s="211"/>
      <c r="F48" s="23">
        <v>1</v>
      </c>
      <c r="M48" s="211"/>
      <c r="N48" s="22" t="s">
        <v>192</v>
      </c>
      <c r="O48" s="22" t="s">
        <v>660</v>
      </c>
      <c r="P48" s="22" t="s">
        <v>661</v>
      </c>
      <c r="Q48" s="22" t="s">
        <v>662</v>
      </c>
      <c r="R48" s="22" t="s">
        <v>663</v>
      </c>
      <c r="S48" s="22">
        <v>31210</v>
      </c>
      <c r="T48" s="22" t="s">
        <v>664</v>
      </c>
      <c r="V48" s="211"/>
      <c r="W48" s="36" t="s">
        <v>665</v>
      </c>
      <c r="X48" s="60" t="s">
        <v>666</v>
      </c>
      <c r="Y48" s="23">
        <v>1</v>
      </c>
      <c r="AB48" s="37"/>
      <c r="AG48" s="23"/>
      <c r="AH48" s="23"/>
      <c r="AL48" s="23"/>
      <c r="AM48" s="23"/>
      <c r="AQ48" s="211"/>
    </row>
    <row r="49" spans="1:539">
      <c r="A49" s="211"/>
      <c r="B49" s="22" t="s">
        <v>321</v>
      </c>
      <c r="C49" s="22" t="s">
        <v>322</v>
      </c>
      <c r="D49" s="22"/>
      <c r="E49" s="211"/>
      <c r="F49" s="23">
        <v>1</v>
      </c>
      <c r="M49" s="211"/>
      <c r="N49" s="37" t="s">
        <v>276</v>
      </c>
      <c r="O49" s="22" t="s">
        <v>323</v>
      </c>
      <c r="P49" s="22" t="s">
        <v>324</v>
      </c>
      <c r="Q49" s="22" t="s">
        <v>325</v>
      </c>
      <c r="R49" s="22" t="s">
        <v>326</v>
      </c>
      <c r="S49" s="37">
        <v>96819</v>
      </c>
      <c r="T49" s="22" t="s">
        <v>327</v>
      </c>
      <c r="V49" s="211"/>
      <c r="W49" s="36" t="s">
        <v>156</v>
      </c>
      <c r="X49" s="36" t="s">
        <v>157</v>
      </c>
      <c r="Y49" s="23">
        <v>1</v>
      </c>
      <c r="Z49" s="23"/>
      <c r="AQ49" s="211"/>
    </row>
    <row r="50" spans="1:539" ht="16" customHeight="1">
      <c r="A50" s="211"/>
      <c r="B50" s="22" t="s">
        <v>328</v>
      </c>
      <c r="C50" s="22" t="s">
        <v>329</v>
      </c>
      <c r="D50" s="22"/>
      <c r="E50" s="211"/>
      <c r="F50" s="23">
        <v>1</v>
      </c>
      <c r="M50" s="211"/>
      <c r="N50" s="59" t="s">
        <v>192</v>
      </c>
      <c r="O50" s="22" t="s">
        <v>330</v>
      </c>
      <c r="P50" s="22" t="s">
        <v>331</v>
      </c>
      <c r="Q50" s="22" t="s">
        <v>332</v>
      </c>
      <c r="R50" s="22" t="s">
        <v>333</v>
      </c>
      <c r="S50" s="37">
        <v>62626</v>
      </c>
      <c r="T50" s="22" t="s">
        <v>334</v>
      </c>
      <c r="V50" s="211"/>
      <c r="W50" s="36" t="s">
        <v>335</v>
      </c>
      <c r="X50" s="36" t="s">
        <v>336</v>
      </c>
      <c r="Y50" s="23">
        <v>1</v>
      </c>
      <c r="Z50" s="23"/>
      <c r="AB50" s="22" t="s">
        <v>337</v>
      </c>
      <c r="AC50" s="23"/>
      <c r="AD50" s="23">
        <v>1</v>
      </c>
      <c r="AE50" s="23">
        <v>580</v>
      </c>
      <c r="AF50" s="22" t="s">
        <v>338</v>
      </c>
      <c r="AG50" s="23">
        <v>1</v>
      </c>
      <c r="AH50" s="23">
        <v>2724</v>
      </c>
      <c r="AJ50" s="23"/>
      <c r="AL50" s="23"/>
      <c r="AM50" s="23"/>
      <c r="AO50" s="23"/>
      <c r="AP50" s="23"/>
      <c r="AQ50" s="211"/>
    </row>
    <row r="51" spans="1:539">
      <c r="A51" s="211"/>
      <c r="B51" s="22" t="s">
        <v>339</v>
      </c>
      <c r="C51" s="37" t="s">
        <v>340</v>
      </c>
      <c r="D51" s="37"/>
      <c r="E51" s="211"/>
      <c r="F51" s="23">
        <v>1</v>
      </c>
      <c r="M51" s="211"/>
      <c r="N51" s="22" t="s">
        <v>182</v>
      </c>
      <c r="O51" s="22" t="s">
        <v>341</v>
      </c>
      <c r="P51" s="22" t="s">
        <v>342</v>
      </c>
      <c r="Q51" s="22" t="s">
        <v>343</v>
      </c>
      <c r="R51" s="22" t="s">
        <v>344</v>
      </c>
      <c r="S51" s="37">
        <v>46268</v>
      </c>
      <c r="T51" s="22" t="s">
        <v>345</v>
      </c>
      <c r="V51" s="211"/>
      <c r="W51" s="36" t="s">
        <v>158</v>
      </c>
      <c r="X51" s="37" t="s">
        <v>346</v>
      </c>
      <c r="Y51" s="23">
        <v>1</v>
      </c>
      <c r="AB51" s="37"/>
      <c r="AF51" s="37"/>
      <c r="AG51" s="23"/>
      <c r="AH51" s="23"/>
      <c r="AK51" s="37"/>
      <c r="AL51" s="23"/>
      <c r="AM51" s="23"/>
      <c r="AN51" s="37"/>
      <c r="AQ51" s="211"/>
    </row>
    <row r="52" spans="1:539">
      <c r="A52" s="211"/>
      <c r="B52" s="22" t="s">
        <v>347</v>
      </c>
      <c r="C52" s="37" t="s">
        <v>348</v>
      </c>
      <c r="D52" s="37"/>
      <c r="E52" s="211"/>
      <c r="F52" s="23">
        <v>1</v>
      </c>
      <c r="J52" s="54"/>
      <c r="K52" s="54"/>
      <c r="L52" s="54"/>
      <c r="M52" s="211"/>
      <c r="N52" s="55" t="s">
        <v>182</v>
      </c>
      <c r="O52" s="22" t="s">
        <v>349</v>
      </c>
      <c r="P52" s="22" t="s">
        <v>350</v>
      </c>
      <c r="Q52" s="22" t="s">
        <v>351</v>
      </c>
      <c r="R52" s="22" t="s">
        <v>352</v>
      </c>
      <c r="S52" s="22">
        <v>50322</v>
      </c>
      <c r="T52" s="36" t="s">
        <v>353</v>
      </c>
      <c r="U52" s="36"/>
      <c r="V52" s="211"/>
      <c r="W52" s="36" t="s">
        <v>354</v>
      </c>
      <c r="X52" s="59" t="s">
        <v>355</v>
      </c>
      <c r="Y52" s="23">
        <v>1</v>
      </c>
      <c r="Z52" s="59" t="s">
        <v>356</v>
      </c>
      <c r="AA52" s="23">
        <v>1</v>
      </c>
      <c r="AG52" s="23"/>
      <c r="AH52" s="23"/>
      <c r="AQ52" s="211"/>
    </row>
    <row r="53" spans="1:539">
      <c r="A53" s="214"/>
      <c r="B53" s="22" t="s">
        <v>357</v>
      </c>
      <c r="C53" s="22" t="s">
        <v>358</v>
      </c>
      <c r="D53" s="22"/>
      <c r="E53" s="214"/>
      <c r="F53" s="23">
        <v>1</v>
      </c>
      <c r="M53" s="214"/>
      <c r="N53" s="22" t="s">
        <v>182</v>
      </c>
      <c r="O53" s="22" t="s">
        <v>359</v>
      </c>
      <c r="P53" s="22" t="s">
        <v>360</v>
      </c>
      <c r="Q53" s="22" t="s">
        <v>361</v>
      </c>
      <c r="R53" s="22" t="s">
        <v>362</v>
      </c>
      <c r="S53" s="22">
        <v>40014</v>
      </c>
      <c r="T53" s="22" t="s">
        <v>363</v>
      </c>
      <c r="V53" s="214"/>
      <c r="W53" s="36" t="s">
        <v>364</v>
      </c>
      <c r="X53" s="36" t="s">
        <v>365</v>
      </c>
      <c r="Y53" s="23">
        <v>1</v>
      </c>
      <c r="Z53" s="23"/>
      <c r="AC53" s="23"/>
      <c r="AD53" s="23"/>
      <c r="AE53" s="23"/>
      <c r="AG53" s="23"/>
      <c r="AH53" s="23"/>
      <c r="AJ53" s="23"/>
      <c r="AQ53" s="214"/>
    </row>
    <row r="54" spans="1:539">
      <c r="A54" s="211"/>
      <c r="D54" s="22"/>
      <c r="E54" s="211"/>
      <c r="I54" s="23">
        <v>1</v>
      </c>
      <c r="M54" s="211"/>
      <c r="N54" s="22" t="s">
        <v>182</v>
      </c>
      <c r="O54" s="22" t="s">
        <v>694</v>
      </c>
      <c r="P54" s="22" t="s">
        <v>695</v>
      </c>
      <c r="Q54" s="22" t="s">
        <v>696</v>
      </c>
      <c r="R54" s="22" t="s">
        <v>419</v>
      </c>
      <c r="S54" s="22">
        <v>7657</v>
      </c>
      <c r="T54" s="22" t="s">
        <v>697</v>
      </c>
      <c r="V54" s="211"/>
      <c r="W54" s="36" t="s">
        <v>159</v>
      </c>
      <c r="X54" s="36" t="s">
        <v>160</v>
      </c>
      <c r="Y54" s="23">
        <v>1</v>
      </c>
      <c r="AQ54" s="211"/>
    </row>
    <row r="55" spans="1:539">
      <c r="A55" s="214"/>
      <c r="B55" s="22" t="s">
        <v>366</v>
      </c>
      <c r="C55" s="22" t="s">
        <v>367</v>
      </c>
      <c r="D55" s="22"/>
      <c r="E55" s="214"/>
      <c r="F55" s="23">
        <v>1</v>
      </c>
      <c r="M55" s="214"/>
      <c r="N55" s="22" t="s">
        <v>182</v>
      </c>
      <c r="O55" s="22" t="s">
        <v>368</v>
      </c>
      <c r="P55" s="22" t="s">
        <v>369</v>
      </c>
      <c r="Q55" s="22" t="s">
        <v>370</v>
      </c>
      <c r="R55" s="22" t="s">
        <v>371</v>
      </c>
      <c r="S55" s="22">
        <v>71303</v>
      </c>
      <c r="T55" s="22" t="s">
        <v>372</v>
      </c>
      <c r="V55" s="214"/>
      <c r="W55" s="36" t="s">
        <v>373</v>
      </c>
      <c r="X55" s="59" t="s">
        <v>374</v>
      </c>
      <c r="Y55" s="23">
        <v>1</v>
      </c>
      <c r="AD55" s="23"/>
      <c r="AE55" s="23"/>
      <c r="AF55" s="37"/>
      <c r="AG55" s="23"/>
      <c r="AH55" s="23"/>
      <c r="AJ55" s="23"/>
      <c r="AL55" s="23"/>
      <c r="AM55" s="23"/>
      <c r="AQ55" s="214"/>
    </row>
    <row r="56" spans="1:539">
      <c r="A56" s="214"/>
      <c r="B56" s="22" t="s">
        <v>375</v>
      </c>
      <c r="C56" s="22" t="s">
        <v>376</v>
      </c>
      <c r="D56" s="22"/>
      <c r="E56" s="214"/>
      <c r="J56" s="23">
        <v>1</v>
      </c>
      <c r="M56" s="214"/>
      <c r="N56" s="37" t="s">
        <v>182</v>
      </c>
      <c r="O56" s="22" t="s">
        <v>377</v>
      </c>
      <c r="P56" s="22" t="s">
        <v>378</v>
      </c>
      <c r="Q56" s="22" t="s">
        <v>379</v>
      </c>
      <c r="R56" s="22" t="s">
        <v>380</v>
      </c>
      <c r="S56" s="22">
        <v>48116</v>
      </c>
      <c r="T56" s="22" t="s">
        <v>381</v>
      </c>
      <c r="V56" s="214"/>
      <c r="W56" s="36" t="s">
        <v>382</v>
      </c>
      <c r="X56" s="59" t="s">
        <v>383</v>
      </c>
      <c r="Y56" s="23">
        <v>1</v>
      </c>
      <c r="AB56" s="37"/>
      <c r="AC56" s="23"/>
      <c r="AD56" s="23"/>
      <c r="AE56" s="23"/>
      <c r="AF56" s="37"/>
      <c r="AG56" s="23"/>
      <c r="AH56" s="23"/>
      <c r="AK56" s="37"/>
      <c r="AL56" s="23"/>
      <c r="AM56" s="23"/>
      <c r="AQ56" s="214"/>
    </row>
    <row r="57" spans="1:539">
      <c r="A57" s="211"/>
      <c r="B57" s="22" t="s">
        <v>739</v>
      </c>
      <c r="C57" s="22" t="s">
        <v>745</v>
      </c>
      <c r="D57" s="22"/>
      <c r="E57" s="211"/>
      <c r="H57" s="23">
        <v>1</v>
      </c>
      <c r="M57" s="211"/>
      <c r="N57" s="22" t="s">
        <v>182</v>
      </c>
      <c r="O57" s="22" t="s">
        <v>698</v>
      </c>
      <c r="P57" s="22" t="s">
        <v>700</v>
      </c>
      <c r="Q57" s="22" t="s">
        <v>699</v>
      </c>
      <c r="R57" s="22" t="s">
        <v>333</v>
      </c>
      <c r="S57" s="22">
        <v>60523</v>
      </c>
      <c r="T57" s="22" t="s">
        <v>701</v>
      </c>
      <c r="V57" s="211"/>
      <c r="W57" s="36" t="s">
        <v>749</v>
      </c>
      <c r="X57" s="22" t="s">
        <v>702</v>
      </c>
      <c r="Y57" s="23">
        <v>1</v>
      </c>
      <c r="AQ57" s="211"/>
    </row>
    <row r="58" spans="1:539">
      <c r="A58" s="214"/>
      <c r="B58" s="37" t="s">
        <v>384</v>
      </c>
      <c r="C58" s="22" t="s">
        <v>385</v>
      </c>
      <c r="D58" s="22"/>
      <c r="E58" s="214"/>
      <c r="F58" s="23">
        <v>1</v>
      </c>
      <c r="M58" s="214"/>
      <c r="N58" s="60" t="s">
        <v>192</v>
      </c>
      <c r="O58" s="22" t="s">
        <v>386</v>
      </c>
      <c r="P58" s="22" t="s">
        <v>387</v>
      </c>
      <c r="Q58" s="22" t="s">
        <v>388</v>
      </c>
      <c r="R58" s="22" t="s">
        <v>389</v>
      </c>
      <c r="S58" s="22">
        <v>55404</v>
      </c>
      <c r="T58" s="22" t="s">
        <v>390</v>
      </c>
      <c r="V58" s="214"/>
      <c r="W58" s="59" t="s">
        <v>391</v>
      </c>
      <c r="X58" s="37" t="s">
        <v>392</v>
      </c>
      <c r="Y58" s="23">
        <v>1</v>
      </c>
      <c r="Z58" s="59" t="s">
        <v>393</v>
      </c>
      <c r="AA58" s="23">
        <v>1</v>
      </c>
      <c r="AC58" s="23"/>
      <c r="AD58" s="23"/>
      <c r="AE58" s="23"/>
      <c r="AG58" s="23"/>
      <c r="AH58" s="23"/>
      <c r="AL58" s="23"/>
      <c r="AM58" s="23"/>
      <c r="AQ58" s="214"/>
    </row>
    <row r="59" spans="1:539">
      <c r="A59" s="211"/>
      <c r="B59" s="22" t="s">
        <v>394</v>
      </c>
      <c r="C59" s="37" t="s">
        <v>395</v>
      </c>
      <c r="D59" s="37"/>
      <c r="E59" s="211"/>
      <c r="F59" s="23">
        <v>1</v>
      </c>
      <c r="M59" s="211"/>
      <c r="N59" s="22" t="s">
        <v>276</v>
      </c>
      <c r="O59" s="22" t="s">
        <v>396</v>
      </c>
      <c r="P59" s="22" t="s">
        <v>397</v>
      </c>
      <c r="Q59" s="22" t="s">
        <v>398</v>
      </c>
      <c r="R59" s="22" t="s">
        <v>399</v>
      </c>
      <c r="S59" s="22">
        <v>39272</v>
      </c>
      <c r="T59" s="22" t="s">
        <v>400</v>
      </c>
      <c r="V59" s="211"/>
      <c r="W59" s="36" t="s">
        <v>401</v>
      </c>
      <c r="X59" s="59" t="s">
        <v>402</v>
      </c>
      <c r="Y59" s="23">
        <v>1</v>
      </c>
      <c r="AH59" s="23"/>
      <c r="AI59" s="23"/>
      <c r="AL59" s="37"/>
      <c r="AM59" s="23"/>
      <c r="AN59" s="23"/>
      <c r="AQ59" s="211"/>
    </row>
    <row r="60" spans="1:539">
      <c r="A60" s="212"/>
      <c r="B60" s="22" t="s">
        <v>84</v>
      </c>
      <c r="C60" s="37" t="s">
        <v>403</v>
      </c>
      <c r="D60" s="61"/>
      <c r="E60" s="212"/>
      <c r="F60" s="23">
        <v>1</v>
      </c>
      <c r="J60" s="54"/>
      <c r="K60" s="54"/>
      <c r="L60" s="54"/>
      <c r="M60" s="212"/>
      <c r="N60" s="55" t="s">
        <v>257</v>
      </c>
      <c r="O60" s="22" t="s">
        <v>404</v>
      </c>
      <c r="P60" s="22" t="s">
        <v>405</v>
      </c>
      <c r="Q60" s="22" t="s">
        <v>61</v>
      </c>
      <c r="R60" s="22" t="s">
        <v>62</v>
      </c>
      <c r="S60" s="22">
        <v>59102</v>
      </c>
      <c r="T60" s="22" t="s">
        <v>406</v>
      </c>
      <c r="U60" s="55"/>
      <c r="V60" s="212"/>
      <c r="W60" s="36" t="s">
        <v>161</v>
      </c>
      <c r="X60" s="22" t="s">
        <v>407</v>
      </c>
      <c r="Y60" s="23">
        <v>1</v>
      </c>
      <c r="Z60" s="23"/>
      <c r="AC60" s="23"/>
      <c r="AD60" s="23"/>
      <c r="AE60" s="23"/>
      <c r="AG60" s="23"/>
      <c r="AH60" s="23"/>
      <c r="AQ60" s="212"/>
    </row>
    <row r="61" spans="1:539">
      <c r="A61" s="211"/>
      <c r="B61" s="22" t="s">
        <v>394</v>
      </c>
      <c r="C61" s="22" t="s">
        <v>408</v>
      </c>
      <c r="D61" s="22"/>
      <c r="E61" s="211"/>
      <c r="F61" s="23">
        <v>1</v>
      </c>
      <c r="M61" s="211"/>
      <c r="N61" s="22" t="s">
        <v>182</v>
      </c>
      <c r="O61" s="22" t="s">
        <v>409</v>
      </c>
      <c r="P61" s="22" t="s">
        <v>410</v>
      </c>
      <c r="Q61" s="22" t="s">
        <v>411</v>
      </c>
      <c r="R61" s="22" t="s">
        <v>412</v>
      </c>
      <c r="S61" s="22">
        <v>68802</v>
      </c>
      <c r="T61" s="22" t="s">
        <v>413</v>
      </c>
      <c r="V61" s="211"/>
      <c r="W61" s="36" t="s">
        <v>162</v>
      </c>
      <c r="X61" s="36" t="s">
        <v>163</v>
      </c>
      <c r="Y61" s="23">
        <v>1</v>
      </c>
      <c r="Z61" s="23"/>
      <c r="AC61" s="23"/>
      <c r="AD61" s="23"/>
      <c r="AE61" s="23"/>
      <c r="AF61" s="37"/>
      <c r="AG61" s="23"/>
      <c r="AH61" s="23"/>
      <c r="AL61" s="23"/>
      <c r="AM61" s="23"/>
      <c r="AQ61" s="211"/>
    </row>
    <row r="62" spans="1:539" s="12" customFormat="1">
      <c r="A62" s="215"/>
      <c r="B62" s="64" t="s">
        <v>414</v>
      </c>
      <c r="C62" s="91" t="s">
        <v>415</v>
      </c>
      <c r="D62" s="91"/>
      <c r="E62" s="215"/>
      <c r="F62" s="63">
        <v>1</v>
      </c>
      <c r="G62" s="63"/>
      <c r="H62" s="63"/>
      <c r="I62" s="63"/>
      <c r="J62" s="63"/>
      <c r="K62" s="63"/>
      <c r="L62" s="63"/>
      <c r="M62" s="215"/>
      <c r="N62" s="76" t="s">
        <v>182</v>
      </c>
      <c r="O62" s="64" t="s">
        <v>416</v>
      </c>
      <c r="P62" s="64" t="s">
        <v>417</v>
      </c>
      <c r="Q62" s="64" t="s">
        <v>418</v>
      </c>
      <c r="R62" s="64" t="s">
        <v>419</v>
      </c>
      <c r="S62" s="91">
        <v>8016</v>
      </c>
      <c r="T62" s="64" t="s">
        <v>420</v>
      </c>
      <c r="U62" s="64"/>
      <c r="V62" s="215"/>
      <c r="W62" s="94" t="s">
        <v>421</v>
      </c>
      <c r="X62" s="91" t="s">
        <v>422</v>
      </c>
      <c r="Y62" s="63">
        <v>1</v>
      </c>
      <c r="Z62" s="76" t="s">
        <v>423</v>
      </c>
      <c r="AA62" s="63">
        <v>1</v>
      </c>
      <c r="AB62" s="91"/>
      <c r="AC62" s="64"/>
      <c r="AD62" s="63"/>
      <c r="AE62" s="63"/>
      <c r="AF62" s="91"/>
      <c r="AG62" s="63"/>
      <c r="AH62" s="63"/>
      <c r="AI62" s="63"/>
      <c r="AJ62" s="64"/>
      <c r="AK62" s="91"/>
      <c r="AL62" s="63"/>
      <c r="AM62" s="63"/>
      <c r="AN62" s="63"/>
      <c r="AO62" s="64"/>
      <c r="AP62" s="64"/>
      <c r="AQ62" s="215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  <c r="QI62" s="64"/>
      <c r="QJ62" s="64"/>
      <c r="QK62" s="64"/>
      <c r="QL62" s="64"/>
      <c r="QM62" s="64"/>
      <c r="QN62" s="64"/>
      <c r="QO62" s="64"/>
      <c r="QP62" s="64"/>
      <c r="QQ62" s="64"/>
      <c r="QR62" s="64"/>
      <c r="QS62" s="64"/>
      <c r="QT62" s="64"/>
      <c r="QU62" s="64"/>
      <c r="QV62" s="64"/>
      <c r="QW62" s="64"/>
      <c r="QX62" s="64"/>
      <c r="QY62" s="64"/>
      <c r="QZ62" s="64"/>
      <c r="RA62" s="64"/>
      <c r="RB62" s="64"/>
      <c r="RC62" s="64"/>
      <c r="RD62" s="64"/>
      <c r="RE62" s="64"/>
      <c r="RF62" s="64"/>
      <c r="RG62" s="64"/>
      <c r="RH62" s="64"/>
      <c r="RI62" s="64"/>
      <c r="RJ62" s="64"/>
      <c r="RK62" s="64"/>
      <c r="RL62" s="64"/>
      <c r="RM62" s="64"/>
      <c r="RN62" s="64"/>
      <c r="RO62" s="64"/>
      <c r="RP62" s="64"/>
      <c r="RQ62" s="64"/>
      <c r="RR62" s="64"/>
      <c r="RS62" s="64"/>
      <c r="RT62" s="64"/>
      <c r="RU62" s="64"/>
      <c r="RV62" s="64"/>
      <c r="RW62" s="64"/>
      <c r="RX62" s="64"/>
      <c r="RY62" s="64"/>
      <c r="RZ62" s="64"/>
      <c r="SA62" s="64"/>
      <c r="SB62" s="64"/>
      <c r="SC62" s="64"/>
      <c r="SD62" s="64"/>
      <c r="SE62" s="64"/>
      <c r="SF62" s="64"/>
      <c r="SG62" s="64"/>
      <c r="SH62" s="64"/>
      <c r="SI62" s="64"/>
      <c r="SJ62" s="64"/>
      <c r="SK62" s="64"/>
      <c r="SL62" s="64"/>
      <c r="SM62" s="64"/>
      <c r="SN62" s="64"/>
      <c r="SO62" s="64"/>
      <c r="SP62" s="64"/>
      <c r="SQ62" s="64"/>
      <c r="SR62" s="64"/>
      <c r="SS62" s="64"/>
      <c r="ST62" s="64"/>
      <c r="SU62" s="64"/>
      <c r="SV62" s="64"/>
      <c r="SW62" s="64"/>
      <c r="SX62" s="64"/>
      <c r="SY62" s="64"/>
      <c r="SZ62" s="64"/>
      <c r="TA62" s="64"/>
      <c r="TB62" s="64"/>
      <c r="TC62" s="64"/>
      <c r="TD62" s="64"/>
      <c r="TE62" s="64"/>
      <c r="TF62" s="64"/>
      <c r="TG62" s="64"/>
      <c r="TH62" s="64"/>
      <c r="TI62" s="64"/>
      <c r="TJ62" s="64"/>
      <c r="TK62" s="64"/>
      <c r="TL62" s="64"/>
      <c r="TM62" s="64"/>
      <c r="TN62" s="64"/>
      <c r="TO62" s="64"/>
      <c r="TP62" s="64"/>
      <c r="TQ62" s="64"/>
      <c r="TR62" s="64"/>
      <c r="TS62" s="64"/>
    </row>
    <row r="63" spans="1:539">
      <c r="A63" s="211"/>
      <c r="B63" s="22" t="s">
        <v>424</v>
      </c>
      <c r="C63" s="22" t="s">
        <v>425</v>
      </c>
      <c r="D63" s="22"/>
      <c r="E63" s="211"/>
      <c r="F63" s="23">
        <v>1</v>
      </c>
      <c r="M63" s="211"/>
      <c r="N63" s="22" t="s">
        <v>426</v>
      </c>
      <c r="O63" s="22" t="s">
        <v>427</v>
      </c>
      <c r="P63" s="22" t="s">
        <v>428</v>
      </c>
      <c r="Q63" s="22" t="s">
        <v>429</v>
      </c>
      <c r="R63" s="22" t="s">
        <v>430</v>
      </c>
      <c r="S63" s="22">
        <v>87120</v>
      </c>
      <c r="T63" s="22" t="s">
        <v>431</v>
      </c>
      <c r="V63" s="211"/>
      <c r="W63" s="36" t="s">
        <v>164</v>
      </c>
      <c r="X63" s="60" t="s">
        <v>165</v>
      </c>
      <c r="Y63" s="23">
        <v>1</v>
      </c>
      <c r="AG63" s="23"/>
      <c r="AH63" s="23"/>
      <c r="AL63" s="23"/>
      <c r="AM63" s="23"/>
      <c r="AQ63" s="211"/>
    </row>
    <row r="64" spans="1:539">
      <c r="A64" s="211"/>
      <c r="B64" s="37" t="s">
        <v>432</v>
      </c>
      <c r="C64" s="37" t="s">
        <v>433</v>
      </c>
      <c r="D64" s="37"/>
      <c r="E64" s="211"/>
      <c r="F64" s="23">
        <v>1</v>
      </c>
      <c r="M64" s="211"/>
      <c r="N64" s="59" t="s">
        <v>257</v>
      </c>
      <c r="O64" s="36" t="s">
        <v>434</v>
      </c>
      <c r="P64" s="37" t="s">
        <v>435</v>
      </c>
      <c r="Q64" s="22" t="s">
        <v>436</v>
      </c>
      <c r="R64" s="22" t="s">
        <v>437</v>
      </c>
      <c r="S64" s="37">
        <v>13090</v>
      </c>
      <c r="T64" s="22" t="s">
        <v>438</v>
      </c>
      <c r="V64" s="211"/>
      <c r="W64" s="36" t="s">
        <v>439</v>
      </c>
      <c r="X64" s="59" t="s">
        <v>440</v>
      </c>
      <c r="Y64" s="23">
        <v>1</v>
      </c>
      <c r="AB64" s="37"/>
      <c r="AC64" s="23"/>
      <c r="AD64" s="23"/>
      <c r="AE64" s="23"/>
      <c r="AG64" s="23"/>
      <c r="AH64" s="23"/>
      <c r="AK64" s="37"/>
      <c r="AL64" s="23"/>
      <c r="AM64" s="23"/>
      <c r="AQ64" s="211"/>
    </row>
    <row r="65" spans="1:43">
      <c r="A65" s="211"/>
      <c r="B65" s="12" t="s">
        <v>441</v>
      </c>
      <c r="C65" s="37" t="s">
        <v>442</v>
      </c>
      <c r="D65" s="37"/>
      <c r="E65" s="211"/>
      <c r="F65" s="23">
        <v>1</v>
      </c>
      <c r="M65" s="211"/>
      <c r="N65" s="92" t="s">
        <v>192</v>
      </c>
      <c r="O65" s="22" t="s">
        <v>443</v>
      </c>
      <c r="P65" s="22" t="s">
        <v>444</v>
      </c>
      <c r="Q65" s="22" t="s">
        <v>445</v>
      </c>
      <c r="R65" s="22" t="s">
        <v>446</v>
      </c>
      <c r="S65" s="22">
        <v>27576</v>
      </c>
      <c r="T65" s="22" t="s">
        <v>447</v>
      </c>
      <c r="V65" s="211"/>
      <c r="W65" s="36" t="s">
        <v>448</v>
      </c>
      <c r="X65" s="37" t="s">
        <v>449</v>
      </c>
      <c r="Y65" s="23">
        <v>1</v>
      </c>
      <c r="AB65" s="22" t="s">
        <v>450</v>
      </c>
      <c r="AC65" s="23"/>
      <c r="AD65" s="23">
        <v>1</v>
      </c>
      <c r="AE65" s="23">
        <v>1484</v>
      </c>
      <c r="AF65" s="37"/>
      <c r="AG65" s="23"/>
      <c r="AH65" s="23"/>
      <c r="AK65" s="37"/>
      <c r="AL65" s="23"/>
      <c r="AM65" s="23"/>
      <c r="AQ65" s="211"/>
    </row>
    <row r="66" spans="1:43">
      <c r="A66" s="211"/>
      <c r="B66" s="22" t="s">
        <v>451</v>
      </c>
      <c r="C66" s="22" t="s">
        <v>452</v>
      </c>
      <c r="D66" s="22"/>
      <c r="E66" s="211"/>
      <c r="F66" s="23">
        <v>1</v>
      </c>
      <c r="M66" s="211"/>
      <c r="N66" s="22" t="s">
        <v>182</v>
      </c>
      <c r="O66" s="22" t="s">
        <v>453</v>
      </c>
      <c r="P66" s="22" t="s">
        <v>454</v>
      </c>
      <c r="Q66" s="22" t="s">
        <v>455</v>
      </c>
      <c r="R66" s="22" t="s">
        <v>456</v>
      </c>
      <c r="S66" s="37">
        <v>58503</v>
      </c>
      <c r="T66" s="22" t="s">
        <v>457</v>
      </c>
      <c r="V66" s="211"/>
      <c r="W66" s="36" t="s">
        <v>458</v>
      </c>
      <c r="X66" s="36" t="s">
        <v>459</v>
      </c>
      <c r="Y66" s="23">
        <v>1</v>
      </c>
      <c r="Z66" s="23"/>
      <c r="AQ66" s="211"/>
    </row>
    <row r="67" spans="1:43">
      <c r="A67" s="212"/>
      <c r="B67" s="22" t="s">
        <v>460</v>
      </c>
      <c r="C67" s="22" t="s">
        <v>461</v>
      </c>
      <c r="D67" s="55"/>
      <c r="E67" s="212"/>
      <c r="F67" s="23">
        <v>1</v>
      </c>
      <c r="M67" s="212"/>
      <c r="N67" s="36" t="s">
        <v>182</v>
      </c>
      <c r="O67" s="22" t="s">
        <v>462</v>
      </c>
      <c r="P67" s="22" t="s">
        <v>463</v>
      </c>
      <c r="Q67" s="22" t="s">
        <v>464</v>
      </c>
      <c r="R67" s="22" t="s">
        <v>56</v>
      </c>
      <c r="S67" s="37">
        <v>75168</v>
      </c>
      <c r="T67" s="22" t="s">
        <v>465</v>
      </c>
      <c r="V67" s="212"/>
      <c r="W67" s="36" t="s">
        <v>166</v>
      </c>
      <c r="X67" s="60" t="s">
        <v>167</v>
      </c>
      <c r="Y67" s="23">
        <v>1</v>
      </c>
      <c r="AC67" s="23"/>
      <c r="AD67" s="23"/>
      <c r="AE67" s="23"/>
      <c r="AG67" s="23"/>
      <c r="AH67" s="23"/>
      <c r="AJ67" s="23"/>
      <c r="AL67" s="23"/>
      <c r="AM67" s="23"/>
      <c r="AQ67" s="212"/>
    </row>
    <row r="68" spans="1:43">
      <c r="A68" s="212"/>
      <c r="B68" s="22" t="s">
        <v>483</v>
      </c>
      <c r="C68" s="37" t="s">
        <v>484</v>
      </c>
      <c r="D68" s="61"/>
      <c r="E68" s="212"/>
      <c r="F68" s="23">
        <v>1</v>
      </c>
      <c r="J68" s="54"/>
      <c r="K68" s="54"/>
      <c r="L68" s="54"/>
      <c r="M68" s="212"/>
      <c r="N68" s="62" t="s">
        <v>192</v>
      </c>
      <c r="O68" s="22" t="s">
        <v>485</v>
      </c>
      <c r="P68" s="22" t="s">
        <v>298</v>
      </c>
      <c r="Q68" s="22" t="s">
        <v>299</v>
      </c>
      <c r="R68" s="22" t="s">
        <v>300</v>
      </c>
      <c r="S68" s="37">
        <v>95829</v>
      </c>
      <c r="T68" s="22" t="s">
        <v>486</v>
      </c>
      <c r="U68" s="55"/>
      <c r="V68" s="212"/>
      <c r="W68" s="36" t="s">
        <v>487</v>
      </c>
      <c r="Z68" s="23"/>
      <c r="AC68" s="23"/>
      <c r="AD68" s="23"/>
      <c r="AE68" s="23"/>
      <c r="AG68" s="23"/>
      <c r="AH68" s="23"/>
      <c r="AL68" s="23"/>
      <c r="AM68" s="23"/>
      <c r="AO68" s="23"/>
      <c r="AP68" s="23"/>
      <c r="AQ68" s="212"/>
    </row>
    <row r="69" spans="1:43">
      <c r="A69" s="211"/>
      <c r="B69" s="59" t="s">
        <v>488</v>
      </c>
      <c r="C69" s="37" t="s">
        <v>489</v>
      </c>
      <c r="D69" s="37"/>
      <c r="E69" s="211"/>
      <c r="F69" s="23">
        <v>1</v>
      </c>
      <c r="M69" s="211"/>
      <c r="N69" s="22" t="s">
        <v>276</v>
      </c>
      <c r="O69" s="22" t="s">
        <v>490</v>
      </c>
      <c r="P69" s="22" t="s">
        <v>491</v>
      </c>
      <c r="Q69" s="22" t="s">
        <v>492</v>
      </c>
      <c r="R69" s="22" t="s">
        <v>129</v>
      </c>
      <c r="S69" s="22">
        <v>65202</v>
      </c>
      <c r="T69" s="22" t="s">
        <v>493</v>
      </c>
      <c r="V69" s="211"/>
      <c r="W69" s="36" t="s">
        <v>494</v>
      </c>
      <c r="X69" s="37" t="s">
        <v>495</v>
      </c>
      <c r="Y69" s="23">
        <v>1</v>
      </c>
      <c r="Z69" s="23"/>
      <c r="AC69" s="23"/>
      <c r="AD69" s="23"/>
      <c r="AE69" s="23"/>
      <c r="AG69" s="23"/>
      <c r="AH69" s="23"/>
      <c r="AQ69" s="211"/>
    </row>
    <row r="70" spans="1:43">
      <c r="A70" s="211"/>
      <c r="B70" s="22" t="s">
        <v>496</v>
      </c>
      <c r="C70" s="22" t="s">
        <v>497</v>
      </c>
      <c r="D70" s="22"/>
      <c r="E70" s="211"/>
      <c r="F70" s="23">
        <v>1</v>
      </c>
      <c r="M70" s="211"/>
      <c r="N70" s="22" t="s">
        <v>182</v>
      </c>
      <c r="O70" s="36" t="s">
        <v>498</v>
      </c>
      <c r="P70" s="22" t="s">
        <v>499</v>
      </c>
      <c r="Q70" s="22" t="s">
        <v>500</v>
      </c>
      <c r="R70" s="22" t="s">
        <v>501</v>
      </c>
      <c r="S70" s="22">
        <v>4103</v>
      </c>
      <c r="T70" s="22" t="s">
        <v>502</v>
      </c>
      <c r="V70" s="211"/>
      <c r="W70" s="36" t="s">
        <v>503</v>
      </c>
      <c r="X70" s="60" t="s">
        <v>504</v>
      </c>
      <c r="Y70" s="23">
        <v>1</v>
      </c>
      <c r="AQ70" s="211"/>
    </row>
    <row r="71" spans="1:43">
      <c r="A71" s="211"/>
      <c r="D71" s="22"/>
      <c r="E71" s="211"/>
      <c r="H71" s="23">
        <v>1</v>
      </c>
      <c r="J71" s="54"/>
      <c r="K71" s="54"/>
      <c r="M71" s="211"/>
      <c r="N71" s="22" t="s">
        <v>182</v>
      </c>
      <c r="O71" s="55" t="s">
        <v>703</v>
      </c>
      <c r="P71" s="55" t="s">
        <v>704</v>
      </c>
      <c r="Q71" s="22" t="s">
        <v>705</v>
      </c>
      <c r="R71" s="22" t="s">
        <v>510</v>
      </c>
      <c r="S71" s="22">
        <v>99336</v>
      </c>
      <c r="T71" s="22" t="s">
        <v>706</v>
      </c>
      <c r="V71" s="211"/>
      <c r="W71" s="36" t="s">
        <v>168</v>
      </c>
      <c r="X71" s="36" t="s">
        <v>169</v>
      </c>
      <c r="Y71" s="23">
        <v>1</v>
      </c>
      <c r="AQ71" s="211"/>
    </row>
    <row r="72" spans="1:43">
      <c r="A72" s="212"/>
      <c r="B72" s="36" t="s">
        <v>505</v>
      </c>
      <c r="C72" s="36" t="s">
        <v>442</v>
      </c>
      <c r="D72" s="56"/>
      <c r="E72" s="212"/>
      <c r="F72" s="23">
        <v>1</v>
      </c>
      <c r="H72" s="54"/>
      <c r="K72" s="54"/>
      <c r="L72" s="54"/>
      <c r="M72" s="212"/>
      <c r="N72" s="56" t="s">
        <v>506</v>
      </c>
      <c r="O72" s="22" t="s">
        <v>507</v>
      </c>
      <c r="P72" s="22" t="s">
        <v>508</v>
      </c>
      <c r="Q72" s="22" t="s">
        <v>509</v>
      </c>
      <c r="R72" s="22" t="s">
        <v>510</v>
      </c>
      <c r="S72" s="22">
        <v>98065</v>
      </c>
      <c r="T72" s="22" t="s">
        <v>511</v>
      </c>
      <c r="U72" s="55"/>
      <c r="V72" s="212"/>
      <c r="W72" s="36" t="s">
        <v>170</v>
      </c>
      <c r="X72" s="59" t="s">
        <v>171</v>
      </c>
      <c r="Y72" s="23">
        <v>1</v>
      </c>
      <c r="AB72" s="37" t="s">
        <v>512</v>
      </c>
      <c r="AC72" s="23"/>
      <c r="AD72" s="23">
        <v>1</v>
      </c>
      <c r="AE72" s="23">
        <v>859</v>
      </c>
      <c r="AF72" s="37" t="s">
        <v>513</v>
      </c>
      <c r="AG72" s="23">
        <v>1</v>
      </c>
      <c r="AH72" s="23">
        <v>3049</v>
      </c>
      <c r="AK72" s="37"/>
      <c r="AL72" s="23"/>
      <c r="AM72" s="23"/>
      <c r="AQ72" s="212"/>
    </row>
    <row r="73" spans="1:43">
      <c r="A73" s="211"/>
      <c r="B73" s="22" t="s">
        <v>514</v>
      </c>
      <c r="C73" s="22" t="s">
        <v>515</v>
      </c>
      <c r="D73" s="22"/>
      <c r="E73" s="211"/>
      <c r="F73" s="23">
        <v>1</v>
      </c>
      <c r="M73" s="211"/>
      <c r="N73" s="37" t="s">
        <v>192</v>
      </c>
      <c r="O73" s="22" t="s">
        <v>516</v>
      </c>
      <c r="P73" s="22" t="s">
        <v>517</v>
      </c>
      <c r="Q73" s="22" t="s">
        <v>518</v>
      </c>
      <c r="R73" s="22" t="s">
        <v>519</v>
      </c>
      <c r="S73" s="22">
        <v>43240</v>
      </c>
      <c r="T73" s="22" t="s">
        <v>520</v>
      </c>
      <c r="V73" s="211"/>
      <c r="W73" s="36" t="s">
        <v>172</v>
      </c>
      <c r="X73" s="22" t="s">
        <v>521</v>
      </c>
      <c r="Y73" s="23">
        <v>1</v>
      </c>
      <c r="Z73" s="23"/>
      <c r="AB73" s="37"/>
      <c r="AC73" s="23"/>
      <c r="AD73" s="23"/>
      <c r="AE73" s="23"/>
      <c r="AG73" s="23"/>
      <c r="AH73" s="23"/>
      <c r="AJ73" s="23"/>
      <c r="AQ73" s="211"/>
    </row>
    <row r="74" spans="1:43">
      <c r="A74" s="211"/>
      <c r="B74" s="22" t="s">
        <v>522</v>
      </c>
      <c r="C74" s="22" t="s">
        <v>523</v>
      </c>
      <c r="D74" s="22"/>
      <c r="E74" s="211"/>
      <c r="F74" s="23">
        <v>1</v>
      </c>
      <c r="M74" s="211"/>
      <c r="N74" s="37" t="s">
        <v>276</v>
      </c>
      <c r="O74" s="22" t="s">
        <v>524</v>
      </c>
      <c r="P74" s="22" t="s">
        <v>525</v>
      </c>
      <c r="Q74" s="22" t="s">
        <v>526</v>
      </c>
      <c r="R74" s="22" t="s">
        <v>527</v>
      </c>
      <c r="S74" s="22">
        <v>73113</v>
      </c>
      <c r="T74" s="22" t="s">
        <v>528</v>
      </c>
      <c r="V74" s="211"/>
      <c r="W74" s="59" t="s">
        <v>529</v>
      </c>
      <c r="X74" s="59" t="s">
        <v>530</v>
      </c>
      <c r="Y74" s="23">
        <v>1</v>
      </c>
      <c r="Z74" s="23"/>
      <c r="AB74" s="37"/>
      <c r="AC74" s="23"/>
      <c r="AD74" s="23"/>
      <c r="AE74" s="23"/>
      <c r="AF74" s="37"/>
      <c r="AG74" s="23"/>
      <c r="AH74" s="23"/>
      <c r="AI74" s="37"/>
      <c r="AK74" s="37"/>
      <c r="AL74" s="23"/>
      <c r="AM74" s="23"/>
      <c r="AQ74" s="211"/>
    </row>
    <row r="75" spans="1:43">
      <c r="A75" s="211"/>
      <c r="B75" s="22" t="s">
        <v>531</v>
      </c>
      <c r="C75" s="37" t="s">
        <v>532</v>
      </c>
      <c r="D75" s="37"/>
      <c r="E75" s="211"/>
      <c r="F75" s="23">
        <v>1</v>
      </c>
      <c r="M75" s="211"/>
      <c r="N75" s="22" t="s">
        <v>296</v>
      </c>
      <c r="O75" s="22" t="s">
        <v>533</v>
      </c>
      <c r="P75" s="22" t="s">
        <v>534</v>
      </c>
      <c r="Q75" s="22" t="s">
        <v>535</v>
      </c>
      <c r="R75" s="22" t="s">
        <v>51</v>
      </c>
      <c r="S75" s="22">
        <v>97303</v>
      </c>
      <c r="T75" s="22" t="s">
        <v>536</v>
      </c>
      <c r="V75" s="211"/>
      <c r="W75" s="36" t="s">
        <v>537</v>
      </c>
      <c r="X75" s="59" t="s">
        <v>538</v>
      </c>
      <c r="Y75" s="23">
        <v>1</v>
      </c>
      <c r="AB75" s="37"/>
      <c r="AF75" s="37"/>
      <c r="AG75" s="23"/>
      <c r="AH75" s="23"/>
      <c r="AK75" s="37"/>
      <c r="AQ75" s="211"/>
    </row>
    <row r="76" spans="1:43">
      <c r="A76" s="211"/>
      <c r="B76" s="22" t="s">
        <v>284</v>
      </c>
      <c r="C76" s="22" t="s">
        <v>547</v>
      </c>
      <c r="D76" s="22"/>
      <c r="E76" s="211"/>
      <c r="F76" s="23">
        <v>1</v>
      </c>
      <c r="M76" s="211"/>
      <c r="N76" s="22" t="s">
        <v>182</v>
      </c>
      <c r="O76" s="22" t="s">
        <v>548</v>
      </c>
      <c r="P76" s="22" t="s">
        <v>549</v>
      </c>
      <c r="Q76" s="22" t="s">
        <v>550</v>
      </c>
      <c r="R76" s="22" t="s">
        <v>551</v>
      </c>
      <c r="S76" s="37">
        <v>33802</v>
      </c>
      <c r="T76" s="22" t="s">
        <v>552</v>
      </c>
      <c r="V76" s="211"/>
      <c r="W76" s="36" t="s">
        <v>173</v>
      </c>
      <c r="X76" s="60" t="s">
        <v>174</v>
      </c>
      <c r="Y76" s="23">
        <v>1</v>
      </c>
      <c r="Z76" s="23"/>
      <c r="AB76" s="37" t="s">
        <v>553</v>
      </c>
      <c r="AC76" s="23"/>
      <c r="AD76" s="23">
        <v>1</v>
      </c>
      <c r="AE76" s="23">
        <v>294</v>
      </c>
      <c r="AF76" s="37" t="s">
        <v>554</v>
      </c>
      <c r="AG76" s="23">
        <v>1</v>
      </c>
      <c r="AH76" s="23">
        <v>2852</v>
      </c>
      <c r="AK76" s="37"/>
      <c r="AL76" s="23"/>
      <c r="AM76" s="23"/>
      <c r="AO76" s="23"/>
      <c r="AP76" s="23"/>
      <c r="AQ76" s="211"/>
    </row>
    <row r="77" spans="1:43">
      <c r="A77" s="211"/>
      <c r="B77" s="22" t="s">
        <v>414</v>
      </c>
      <c r="C77" s="22" t="s">
        <v>539</v>
      </c>
      <c r="D77" s="22"/>
      <c r="E77" s="211"/>
      <c r="F77" s="23">
        <v>1</v>
      </c>
      <c r="M77" s="211"/>
      <c r="N77" s="22" t="s">
        <v>182</v>
      </c>
      <c r="O77" s="36" t="s">
        <v>540</v>
      </c>
      <c r="P77" s="22" t="s">
        <v>541</v>
      </c>
      <c r="Q77" s="22" t="s">
        <v>542</v>
      </c>
      <c r="R77" s="22" t="s">
        <v>543</v>
      </c>
      <c r="S77" s="37">
        <v>17055</v>
      </c>
      <c r="T77" s="22" t="s">
        <v>544</v>
      </c>
      <c r="V77" s="211"/>
      <c r="W77" s="36" t="s">
        <v>545</v>
      </c>
      <c r="X77" s="60" t="s">
        <v>546</v>
      </c>
      <c r="Y77" s="23">
        <v>1</v>
      </c>
      <c r="AC77" s="23"/>
      <c r="AD77" s="23"/>
      <c r="AE77" s="23"/>
      <c r="AG77" s="23"/>
      <c r="AH77" s="23"/>
      <c r="AJ77" s="23"/>
      <c r="AL77" s="23"/>
      <c r="AM77" s="23"/>
      <c r="AQ77" s="211"/>
    </row>
    <row r="78" spans="1:43">
      <c r="A78" s="211"/>
      <c r="B78" s="22" t="s">
        <v>522</v>
      </c>
      <c r="C78" s="37" t="s">
        <v>555</v>
      </c>
      <c r="D78" s="37"/>
      <c r="E78" s="211"/>
      <c r="F78" s="23">
        <v>1</v>
      </c>
      <c r="M78" s="211"/>
      <c r="N78" s="60" t="s">
        <v>182</v>
      </c>
      <c r="O78" s="22" t="s">
        <v>556</v>
      </c>
      <c r="P78" s="22" t="s">
        <v>557</v>
      </c>
      <c r="Q78" s="22" t="s">
        <v>558</v>
      </c>
      <c r="R78" s="22" t="s">
        <v>559</v>
      </c>
      <c r="S78" s="37">
        <v>20155</v>
      </c>
      <c r="T78" s="22" t="s">
        <v>560</v>
      </c>
      <c r="V78" s="211"/>
      <c r="W78" s="36" t="s">
        <v>561</v>
      </c>
      <c r="X78" s="37" t="s">
        <v>755</v>
      </c>
      <c r="Y78" s="23">
        <v>1</v>
      </c>
      <c r="Z78" s="59" t="s">
        <v>562</v>
      </c>
      <c r="AA78" s="23">
        <v>1</v>
      </c>
      <c r="AG78" s="23"/>
      <c r="AH78" s="23"/>
      <c r="AK78" s="37"/>
      <c r="AO78" s="23"/>
      <c r="AP78" s="23"/>
      <c r="AQ78" s="211"/>
    </row>
    <row r="79" spans="1:43">
      <c r="A79" s="214"/>
      <c r="D79" s="22"/>
      <c r="E79" s="214"/>
      <c r="H79" s="23">
        <v>1</v>
      </c>
      <c r="J79" s="54"/>
      <c r="K79" s="54"/>
      <c r="L79" s="54"/>
      <c r="M79" s="214"/>
      <c r="N79" s="56" t="s">
        <v>192</v>
      </c>
      <c r="O79" s="36" t="s">
        <v>563</v>
      </c>
      <c r="P79" s="22" t="s">
        <v>564</v>
      </c>
      <c r="Q79" s="22" t="s">
        <v>565</v>
      </c>
      <c r="R79" s="22" t="s">
        <v>566</v>
      </c>
      <c r="S79" s="22">
        <v>957</v>
      </c>
      <c r="T79" s="22" t="s">
        <v>567</v>
      </c>
      <c r="V79" s="214"/>
      <c r="X79" s="36" t="s">
        <v>568</v>
      </c>
      <c r="Y79" s="23">
        <v>1</v>
      </c>
      <c r="AG79" s="23"/>
      <c r="AH79" s="23"/>
      <c r="AQ79" s="214"/>
    </row>
    <row r="80" spans="1:43">
      <c r="A80" s="211"/>
      <c r="B80" s="22" t="s">
        <v>569</v>
      </c>
      <c r="C80" s="22" t="s">
        <v>570</v>
      </c>
      <c r="D80" s="22"/>
      <c r="E80" s="211"/>
      <c r="F80" s="23">
        <v>1</v>
      </c>
      <c r="M80" s="211"/>
      <c r="N80" s="37" t="s">
        <v>182</v>
      </c>
      <c r="O80" s="22" t="s">
        <v>571</v>
      </c>
      <c r="P80" s="22" t="s">
        <v>572</v>
      </c>
      <c r="Q80" s="22" t="s">
        <v>573</v>
      </c>
      <c r="R80" s="22" t="s">
        <v>67</v>
      </c>
      <c r="S80" s="22">
        <v>80918</v>
      </c>
      <c r="T80" s="22" t="s">
        <v>574</v>
      </c>
      <c r="V80" s="211"/>
      <c r="W80" s="36" t="s">
        <v>575</v>
      </c>
      <c r="X80" s="60" t="s">
        <v>576</v>
      </c>
      <c r="Y80" s="23">
        <v>1</v>
      </c>
      <c r="AD80" s="23"/>
      <c r="AE80" s="23"/>
      <c r="AG80" s="23"/>
      <c r="AH80" s="23"/>
      <c r="AL80" s="23"/>
      <c r="AM80" s="23"/>
      <c r="AQ80" s="211"/>
    </row>
    <row r="81" spans="1:652">
      <c r="A81" s="211"/>
      <c r="D81" s="22"/>
      <c r="E81" s="211"/>
      <c r="K81" s="23">
        <v>1</v>
      </c>
      <c r="M81" s="211"/>
      <c r="N81" s="36" t="s">
        <v>192</v>
      </c>
      <c r="O81" s="22" t="s">
        <v>577</v>
      </c>
      <c r="P81" s="22" t="s">
        <v>578</v>
      </c>
      <c r="Q81" s="22" t="s">
        <v>579</v>
      </c>
      <c r="R81" s="22" t="s">
        <v>510</v>
      </c>
      <c r="S81" s="22">
        <v>98148</v>
      </c>
      <c r="T81" s="22" t="s">
        <v>580</v>
      </c>
      <c r="V81" s="211"/>
      <c r="AB81" s="37"/>
      <c r="AC81" s="23"/>
      <c r="AD81" s="23"/>
      <c r="AE81" s="23"/>
      <c r="AF81" s="37"/>
      <c r="AG81" s="23"/>
      <c r="AH81" s="23"/>
      <c r="AK81" s="37"/>
      <c r="AL81" s="23"/>
      <c r="AM81" s="23"/>
      <c r="AQ81" s="211"/>
    </row>
    <row r="82" spans="1:652">
      <c r="A82" s="212"/>
      <c r="B82" s="36" t="s">
        <v>305</v>
      </c>
      <c r="C82" s="37" t="s">
        <v>306</v>
      </c>
      <c r="D82" s="61"/>
      <c r="E82" s="212"/>
      <c r="F82" s="23">
        <v>1</v>
      </c>
      <c r="J82" s="54"/>
      <c r="K82" s="54"/>
      <c r="L82" s="54"/>
      <c r="M82" s="212"/>
      <c r="N82" s="62" t="s">
        <v>182</v>
      </c>
      <c r="O82" s="22" t="s">
        <v>307</v>
      </c>
      <c r="P82" s="22" t="s">
        <v>308</v>
      </c>
      <c r="Q82" s="22" t="s">
        <v>309</v>
      </c>
      <c r="R82" s="22" t="s">
        <v>300</v>
      </c>
      <c r="S82" s="37">
        <v>92614</v>
      </c>
      <c r="T82" s="22" t="s">
        <v>310</v>
      </c>
      <c r="U82" s="55"/>
      <c r="V82" s="212"/>
      <c r="W82" s="36" t="s">
        <v>175</v>
      </c>
      <c r="X82" s="60" t="s">
        <v>311</v>
      </c>
      <c r="Y82" s="23">
        <v>1</v>
      </c>
      <c r="Z82" s="23"/>
      <c r="AC82" s="23"/>
      <c r="AD82" s="23"/>
      <c r="AE82" s="23"/>
      <c r="AG82" s="23"/>
      <c r="AH82" s="23"/>
      <c r="AL82" s="23"/>
      <c r="AM82" s="23"/>
      <c r="AO82" s="23"/>
      <c r="AP82" s="23"/>
      <c r="AQ82" s="212"/>
    </row>
    <row r="83" spans="1:652">
      <c r="A83" s="211"/>
      <c r="B83" s="22" t="s">
        <v>394</v>
      </c>
      <c r="C83" s="22" t="s">
        <v>581</v>
      </c>
      <c r="D83" s="22"/>
      <c r="E83" s="211"/>
      <c r="F83" s="23">
        <v>1</v>
      </c>
      <c r="M83" s="211"/>
      <c r="N83" s="22" t="s">
        <v>582</v>
      </c>
      <c r="O83" s="22" t="s">
        <v>583</v>
      </c>
      <c r="P83" s="22" t="s">
        <v>584</v>
      </c>
      <c r="Q83" s="22" t="s">
        <v>585</v>
      </c>
      <c r="R83" s="22" t="s">
        <v>586</v>
      </c>
      <c r="S83" s="37">
        <v>29169</v>
      </c>
      <c r="T83" s="22" t="s">
        <v>587</v>
      </c>
      <c r="V83" s="211"/>
      <c r="W83" s="36" t="s">
        <v>588</v>
      </c>
      <c r="X83" s="36" t="s">
        <v>589</v>
      </c>
      <c r="Y83" s="23">
        <v>1</v>
      </c>
      <c r="Z83" s="23"/>
      <c r="AC83" s="23"/>
      <c r="AD83" s="23"/>
      <c r="AE83" s="23"/>
      <c r="AG83" s="23"/>
      <c r="AH83" s="23"/>
      <c r="AQ83" s="211"/>
    </row>
    <row r="84" spans="1:652">
      <c r="A84" s="216"/>
      <c r="B84" s="22" t="s">
        <v>740</v>
      </c>
      <c r="C84" s="22" t="s">
        <v>741</v>
      </c>
      <c r="D84" s="22"/>
      <c r="E84" s="216"/>
      <c r="H84" s="23">
        <v>1</v>
      </c>
      <c r="M84" s="216"/>
      <c r="N84" s="22" t="s">
        <v>714</v>
      </c>
      <c r="O84" s="22" t="s">
        <v>710</v>
      </c>
      <c r="P84" s="22" t="s">
        <v>712</v>
      </c>
      <c r="Q84" s="22" t="s">
        <v>711</v>
      </c>
      <c r="R84" s="22" t="s">
        <v>280</v>
      </c>
      <c r="S84" s="22">
        <v>72762</v>
      </c>
      <c r="T84" s="22" t="s">
        <v>713</v>
      </c>
      <c r="V84" s="216"/>
      <c r="W84" s="36" t="s">
        <v>747</v>
      </c>
      <c r="X84" s="36" t="s">
        <v>753</v>
      </c>
      <c r="Y84" s="23">
        <v>1</v>
      </c>
      <c r="AQ84" s="216"/>
    </row>
    <row r="85" spans="1:652" s="65" customFormat="1">
      <c r="A85" s="211"/>
      <c r="B85" s="22" t="s">
        <v>264</v>
      </c>
      <c r="C85" s="37" t="s">
        <v>590</v>
      </c>
      <c r="D85" s="37"/>
      <c r="E85" s="211"/>
      <c r="F85" s="23">
        <v>1</v>
      </c>
      <c r="G85" s="23"/>
      <c r="H85" s="23"/>
      <c r="I85" s="23"/>
      <c r="J85" s="23"/>
      <c r="K85" s="23"/>
      <c r="L85" s="23"/>
      <c r="M85" s="211"/>
      <c r="N85" s="37" t="s">
        <v>276</v>
      </c>
      <c r="O85" s="22" t="s">
        <v>591</v>
      </c>
      <c r="P85" s="12" t="s">
        <v>592</v>
      </c>
      <c r="Q85" s="22" t="s">
        <v>593</v>
      </c>
      <c r="R85" s="22" t="s">
        <v>594</v>
      </c>
      <c r="S85" s="37">
        <v>57106</v>
      </c>
      <c r="T85" s="22" t="s">
        <v>595</v>
      </c>
      <c r="U85" s="22"/>
      <c r="V85" s="211"/>
      <c r="W85" s="36" t="s">
        <v>596</v>
      </c>
      <c r="X85" s="22" t="s">
        <v>597</v>
      </c>
      <c r="Y85" s="23">
        <v>1</v>
      </c>
      <c r="Z85" s="23"/>
      <c r="AA85" s="23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11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  <c r="IZ85" s="22"/>
      <c r="JA85" s="22"/>
      <c r="JB85" s="22"/>
      <c r="JC85" s="22"/>
      <c r="JD85" s="22"/>
      <c r="JE85" s="22"/>
      <c r="JF85" s="22"/>
      <c r="JG85" s="22"/>
      <c r="JH85" s="22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2"/>
      <c r="LK85" s="22"/>
      <c r="LL85" s="22"/>
      <c r="LM85" s="22"/>
      <c r="LN85" s="22"/>
      <c r="LO85" s="22"/>
      <c r="LP85" s="22"/>
      <c r="LQ85" s="22"/>
      <c r="LR85" s="22"/>
      <c r="LS85" s="22"/>
      <c r="LT85" s="22"/>
      <c r="LU85" s="22"/>
      <c r="LV85" s="22"/>
      <c r="LW85" s="22"/>
      <c r="LX85" s="22"/>
      <c r="LY85" s="22"/>
      <c r="LZ85" s="22"/>
      <c r="MA85" s="22"/>
      <c r="MB85" s="22"/>
      <c r="MC85" s="22"/>
      <c r="MD85" s="22"/>
      <c r="ME85" s="22"/>
      <c r="MF85" s="22"/>
      <c r="MG85" s="22"/>
      <c r="MH85" s="22"/>
      <c r="MI85" s="22"/>
      <c r="MJ85" s="22"/>
      <c r="MK85" s="22"/>
      <c r="ML85" s="22"/>
      <c r="MM85" s="22"/>
      <c r="MN85" s="22"/>
      <c r="MO85" s="22"/>
      <c r="MP85" s="22"/>
      <c r="MQ85" s="22"/>
      <c r="MR85" s="22"/>
      <c r="MS85" s="22"/>
      <c r="MT85" s="22"/>
      <c r="MU85" s="22"/>
      <c r="MV85" s="22"/>
      <c r="MW85" s="22"/>
      <c r="MX85" s="22"/>
      <c r="MY85" s="22"/>
      <c r="MZ85" s="22"/>
      <c r="NA85" s="22"/>
      <c r="NB85" s="22"/>
      <c r="NC85" s="22"/>
      <c r="ND85" s="22"/>
      <c r="NE85" s="22"/>
      <c r="NF85" s="22"/>
      <c r="NG85" s="22"/>
      <c r="NH85" s="22"/>
      <c r="NI85" s="22"/>
      <c r="NJ85" s="22"/>
      <c r="NK85" s="22"/>
      <c r="NL85" s="22"/>
      <c r="NM85" s="22"/>
      <c r="NN85" s="22"/>
      <c r="NO85" s="22"/>
      <c r="NP85" s="22"/>
      <c r="NQ85" s="22"/>
      <c r="NR85" s="22"/>
      <c r="NS85" s="22"/>
      <c r="NT85" s="22"/>
      <c r="NU85" s="22"/>
      <c r="NV85" s="22"/>
      <c r="NW85" s="22"/>
      <c r="NX85" s="22"/>
      <c r="NY85" s="22"/>
      <c r="NZ85" s="22"/>
      <c r="OA85" s="22"/>
      <c r="OB85" s="22"/>
      <c r="OC85" s="22"/>
      <c r="OD85" s="22"/>
      <c r="OE85" s="22"/>
      <c r="OF85" s="22"/>
      <c r="OG85" s="22"/>
      <c r="OH85" s="22"/>
      <c r="OI85" s="22"/>
      <c r="OJ85" s="22"/>
      <c r="OK85" s="22"/>
      <c r="OL85" s="22"/>
      <c r="OM85" s="22"/>
      <c r="ON85" s="22"/>
      <c r="OO85" s="22"/>
      <c r="OP85" s="22"/>
      <c r="OQ85" s="22"/>
      <c r="OR85" s="22"/>
      <c r="OS85" s="22"/>
      <c r="OT85" s="22"/>
      <c r="OU85" s="22"/>
      <c r="OV85" s="22"/>
      <c r="OW85" s="22"/>
      <c r="OX85" s="22"/>
      <c r="OY85" s="22"/>
      <c r="OZ85" s="22"/>
      <c r="PA85" s="22"/>
      <c r="PB85" s="22"/>
      <c r="PC85" s="22"/>
      <c r="PD85" s="22"/>
      <c r="PE85" s="22"/>
      <c r="PF85" s="22"/>
      <c r="PG85" s="22"/>
      <c r="PH85" s="22"/>
      <c r="PI85" s="22"/>
      <c r="PJ85" s="22"/>
      <c r="PK85" s="22"/>
      <c r="PL85" s="22"/>
      <c r="PM85" s="22"/>
      <c r="PN85" s="22"/>
      <c r="PO85" s="22"/>
      <c r="PP85" s="22"/>
      <c r="PQ85" s="22"/>
      <c r="PR85" s="22"/>
      <c r="PS85" s="22"/>
      <c r="PT85" s="22"/>
      <c r="PU85" s="22"/>
      <c r="PV85" s="22"/>
      <c r="PW85" s="22"/>
      <c r="PX85" s="22"/>
      <c r="PY85" s="22"/>
      <c r="PZ85" s="22"/>
      <c r="QA85" s="22"/>
      <c r="QB85" s="22"/>
      <c r="QC85" s="22"/>
      <c r="QD85" s="22"/>
      <c r="QE85" s="22"/>
      <c r="QF85" s="22"/>
      <c r="QG85" s="22"/>
      <c r="QH85" s="22"/>
      <c r="QI85" s="22"/>
      <c r="QJ85" s="22"/>
      <c r="QK85" s="22"/>
      <c r="QL85" s="22"/>
      <c r="QM85" s="22"/>
      <c r="QN85" s="22"/>
      <c r="QO85" s="22"/>
      <c r="QP85" s="22"/>
      <c r="QQ85" s="22"/>
      <c r="QR85" s="22"/>
      <c r="QS85" s="22"/>
      <c r="QT85" s="22"/>
      <c r="QU85" s="22"/>
      <c r="QV85" s="22"/>
      <c r="QW85" s="22"/>
      <c r="QX85" s="22"/>
      <c r="QY85" s="22"/>
      <c r="QZ85" s="22"/>
      <c r="RA85" s="22"/>
      <c r="RB85" s="22"/>
      <c r="RC85" s="22"/>
      <c r="RD85" s="22"/>
      <c r="RE85" s="22"/>
      <c r="RF85" s="22"/>
      <c r="RG85" s="22"/>
      <c r="RH85" s="22"/>
      <c r="RI85" s="22"/>
      <c r="RJ85" s="22"/>
      <c r="RK85" s="22"/>
      <c r="RL85" s="22"/>
      <c r="RM85" s="22"/>
      <c r="RN85" s="22"/>
      <c r="RO85" s="22"/>
      <c r="RP85" s="22"/>
      <c r="RQ85" s="22"/>
      <c r="RR85" s="22"/>
      <c r="RS85" s="22"/>
      <c r="RT85" s="22"/>
      <c r="RU85" s="22"/>
      <c r="RV85" s="22"/>
      <c r="RW85" s="22"/>
      <c r="RX85" s="22"/>
      <c r="RY85" s="22"/>
      <c r="RZ85" s="22"/>
      <c r="SA85" s="22"/>
      <c r="SB85" s="22"/>
      <c r="SC85" s="22"/>
      <c r="SD85" s="22"/>
      <c r="SE85" s="22"/>
      <c r="SF85" s="22"/>
      <c r="SG85" s="22"/>
      <c r="SH85" s="22"/>
      <c r="SI85" s="22"/>
      <c r="SJ85" s="22"/>
      <c r="SK85" s="22"/>
      <c r="SL85" s="22"/>
      <c r="SM85" s="22"/>
      <c r="SN85" s="22"/>
      <c r="SO85" s="22"/>
      <c r="SP85" s="22"/>
      <c r="SQ85" s="22"/>
      <c r="SR85" s="22"/>
      <c r="SS85" s="22"/>
      <c r="ST85" s="22"/>
      <c r="SU85" s="22"/>
      <c r="SV85" s="22"/>
      <c r="SW85" s="22"/>
      <c r="SX85" s="22"/>
      <c r="SY85" s="22"/>
      <c r="SZ85" s="22"/>
      <c r="TA85" s="22"/>
      <c r="TB85" s="22"/>
      <c r="TC85" s="22"/>
      <c r="TD85" s="22"/>
      <c r="TE85" s="22"/>
      <c r="TF85" s="22"/>
      <c r="TG85" s="22"/>
      <c r="TH85" s="22"/>
      <c r="TI85" s="22"/>
      <c r="TJ85" s="22"/>
      <c r="TK85" s="22"/>
      <c r="TL85" s="22"/>
      <c r="TM85" s="22"/>
      <c r="TN85" s="22"/>
      <c r="TO85" s="22"/>
      <c r="TP85" s="22"/>
      <c r="TQ85" s="22"/>
      <c r="TR85" s="22"/>
      <c r="TS85" s="22"/>
      <c r="TT85" s="22"/>
      <c r="TU85" s="22"/>
      <c r="TV85" s="22"/>
      <c r="TW85" s="22"/>
      <c r="TX85" s="22"/>
      <c r="TY85" s="22"/>
      <c r="TZ85" s="22"/>
      <c r="UA85" s="22"/>
      <c r="UB85" s="22"/>
      <c r="UC85" s="22"/>
      <c r="UD85" s="22"/>
      <c r="UE85" s="22"/>
      <c r="UF85" s="22"/>
      <c r="UG85" s="22"/>
      <c r="UH85" s="22"/>
      <c r="UI85" s="22"/>
      <c r="UJ85" s="22"/>
      <c r="UK85" s="22"/>
      <c r="UL85" s="22"/>
      <c r="UM85" s="22"/>
      <c r="UN85" s="22"/>
      <c r="UO85" s="22"/>
      <c r="UP85" s="22"/>
      <c r="UQ85" s="22"/>
      <c r="UR85" s="22"/>
      <c r="US85" s="22"/>
      <c r="UT85" s="22"/>
      <c r="UU85" s="22"/>
      <c r="UV85" s="22"/>
      <c r="UW85" s="22"/>
      <c r="UX85" s="22"/>
      <c r="UY85" s="22"/>
      <c r="UZ85" s="22"/>
      <c r="VA85" s="22"/>
      <c r="VB85" s="22"/>
      <c r="VC85" s="22"/>
      <c r="VD85" s="22"/>
      <c r="VE85" s="22"/>
      <c r="VF85" s="22"/>
      <c r="VG85" s="22"/>
      <c r="VH85" s="22"/>
      <c r="VI85" s="22"/>
      <c r="VJ85" s="22"/>
      <c r="VK85" s="22"/>
      <c r="VL85" s="22"/>
      <c r="VM85" s="22"/>
      <c r="VN85" s="22"/>
      <c r="VO85" s="22"/>
      <c r="VP85" s="22"/>
      <c r="VQ85" s="22"/>
      <c r="VR85" s="22"/>
      <c r="VS85" s="22"/>
      <c r="VT85" s="22"/>
      <c r="VU85" s="22"/>
      <c r="VV85" s="22"/>
      <c r="VW85" s="22"/>
      <c r="VX85" s="22"/>
      <c r="VY85" s="22"/>
      <c r="VZ85" s="22"/>
      <c r="WA85" s="22"/>
      <c r="WB85" s="22"/>
      <c r="WC85" s="22"/>
      <c r="WD85" s="22"/>
      <c r="WE85" s="22"/>
      <c r="WF85" s="22"/>
      <c r="WG85" s="22"/>
      <c r="WH85" s="22"/>
      <c r="WI85" s="22"/>
      <c r="WJ85" s="22"/>
      <c r="WK85" s="22"/>
      <c r="WL85" s="22"/>
      <c r="WM85" s="22"/>
      <c r="WN85" s="22"/>
      <c r="WO85" s="22"/>
      <c r="WP85" s="22"/>
      <c r="WQ85" s="22"/>
      <c r="WR85" s="22"/>
      <c r="WS85" s="22"/>
      <c r="WT85" s="22"/>
      <c r="WU85" s="22"/>
      <c r="WV85" s="22"/>
      <c r="WW85" s="22"/>
      <c r="WX85" s="22"/>
      <c r="WY85" s="22"/>
      <c r="WZ85" s="22"/>
      <c r="XA85" s="22"/>
      <c r="XB85" s="22"/>
      <c r="XC85" s="22"/>
      <c r="XD85" s="22"/>
      <c r="XE85" s="22"/>
      <c r="XF85" s="22"/>
      <c r="XG85" s="22"/>
      <c r="XH85" s="22"/>
      <c r="XI85" s="22"/>
      <c r="XJ85" s="22"/>
      <c r="XK85" s="22"/>
      <c r="XL85" s="22"/>
      <c r="XM85" s="22"/>
      <c r="XN85" s="22"/>
      <c r="XO85" s="22"/>
      <c r="XP85" s="22"/>
      <c r="XQ85" s="22"/>
      <c r="XR85" s="22"/>
      <c r="XS85" s="22"/>
      <c r="XT85" s="22"/>
      <c r="XU85" s="22"/>
      <c r="XV85" s="22"/>
      <c r="XW85" s="22"/>
      <c r="XX85" s="22"/>
      <c r="XY85" s="22"/>
      <c r="XZ85" s="22"/>
      <c r="YA85" s="22"/>
      <c r="YB85" s="22"/>
    </row>
    <row r="86" spans="1:652">
      <c r="A86" s="216"/>
      <c r="D86" s="22"/>
      <c r="E86" s="216"/>
      <c r="I86" s="23">
        <v>1</v>
      </c>
      <c r="M86" s="216"/>
      <c r="N86" s="22" t="s">
        <v>182</v>
      </c>
      <c r="O86" s="22" t="s">
        <v>707</v>
      </c>
      <c r="Q86" s="22" t="s">
        <v>709</v>
      </c>
      <c r="R86" s="22" t="s">
        <v>551</v>
      </c>
      <c r="S86" s="22">
        <v>32733</v>
      </c>
      <c r="T86" s="22" t="s">
        <v>708</v>
      </c>
      <c r="V86" s="216"/>
      <c r="W86" s="36" t="s">
        <v>748</v>
      </c>
      <c r="X86" s="36" t="s">
        <v>752</v>
      </c>
      <c r="Y86" s="23">
        <v>1</v>
      </c>
      <c r="AQ86" s="216"/>
    </row>
    <row r="87" spans="1:652">
      <c r="A87" s="211"/>
      <c r="B87" s="22" t="s">
        <v>466</v>
      </c>
      <c r="C87" s="22" t="s">
        <v>467</v>
      </c>
      <c r="D87" s="22"/>
      <c r="E87" s="211"/>
      <c r="F87" s="23">
        <v>1</v>
      </c>
      <c r="M87" s="211"/>
      <c r="N87" s="36" t="s">
        <v>276</v>
      </c>
      <c r="O87" s="22" t="s">
        <v>468</v>
      </c>
      <c r="P87" s="22" t="s">
        <v>469</v>
      </c>
      <c r="Q87" s="22" t="s">
        <v>470</v>
      </c>
      <c r="R87" s="22" t="s">
        <v>56</v>
      </c>
      <c r="S87" s="37">
        <v>77044</v>
      </c>
      <c r="T87" s="22" t="s">
        <v>471</v>
      </c>
      <c r="V87" s="211"/>
      <c r="W87" s="36" t="s">
        <v>472</v>
      </c>
      <c r="X87" s="60" t="s">
        <v>473</v>
      </c>
      <c r="Y87" s="23">
        <v>1</v>
      </c>
      <c r="AC87" s="23"/>
      <c r="AD87" s="23"/>
      <c r="AE87" s="23"/>
      <c r="AG87" s="23"/>
      <c r="AH87" s="23"/>
      <c r="AJ87" s="23"/>
      <c r="AL87" s="23"/>
      <c r="AM87" s="23"/>
      <c r="AQ87" s="211"/>
      <c r="YB87" s="65"/>
    </row>
    <row r="88" spans="1:652">
      <c r="A88" s="211"/>
      <c r="B88" s="22" t="s">
        <v>598</v>
      </c>
      <c r="C88" s="22" t="s">
        <v>599</v>
      </c>
      <c r="D88" s="22"/>
      <c r="E88" s="211"/>
      <c r="F88" s="66">
        <v>1</v>
      </c>
      <c r="G88" s="66"/>
      <c r="H88" s="66"/>
      <c r="I88" s="66"/>
      <c r="J88" s="66"/>
      <c r="K88" s="66"/>
      <c r="L88" s="66"/>
      <c r="M88" s="211"/>
      <c r="N88" s="22" t="s">
        <v>257</v>
      </c>
      <c r="O88" s="22" t="s">
        <v>600</v>
      </c>
      <c r="P88" s="22" t="s">
        <v>601</v>
      </c>
      <c r="Q88" s="22" t="s">
        <v>602</v>
      </c>
      <c r="R88" s="22" t="s">
        <v>603</v>
      </c>
      <c r="S88" s="37">
        <v>83651</v>
      </c>
      <c r="T88" s="22" t="s">
        <v>604</v>
      </c>
      <c r="V88" s="211"/>
      <c r="W88" s="36" t="s">
        <v>605</v>
      </c>
      <c r="X88" s="66"/>
      <c r="Y88" s="66"/>
      <c r="Z88" s="57"/>
      <c r="AA88" s="66"/>
      <c r="AB88" s="57"/>
      <c r="AC88" s="66"/>
      <c r="AD88" s="66"/>
      <c r="AE88" s="66"/>
      <c r="AF88" s="57"/>
      <c r="AG88" s="66"/>
      <c r="AH88" s="66"/>
      <c r="AI88" s="57"/>
      <c r="AJ88" s="66"/>
      <c r="AK88" s="57"/>
      <c r="AL88" s="66"/>
      <c r="AM88" s="66"/>
      <c r="AN88" s="66"/>
      <c r="AO88" s="65"/>
      <c r="AP88" s="66"/>
      <c r="AQ88" s="211"/>
    </row>
    <row r="89" spans="1:652">
      <c r="A89" s="211"/>
      <c r="B89" s="22" t="s">
        <v>717</v>
      </c>
      <c r="C89" s="22" t="s">
        <v>718</v>
      </c>
      <c r="D89" s="22"/>
      <c r="E89" s="211"/>
      <c r="H89" s="23">
        <v>1</v>
      </c>
      <c r="M89" s="211"/>
      <c r="N89" s="22" t="s">
        <v>182</v>
      </c>
      <c r="O89" s="22" t="s">
        <v>715</v>
      </c>
      <c r="P89" s="22" t="s">
        <v>721</v>
      </c>
      <c r="Q89" s="22" t="s">
        <v>720</v>
      </c>
      <c r="R89" s="22" t="s">
        <v>586</v>
      </c>
      <c r="S89" s="22">
        <v>29607</v>
      </c>
      <c r="T89" s="22" t="s">
        <v>716</v>
      </c>
      <c r="U89" s="22" t="s">
        <v>722</v>
      </c>
      <c r="V89" s="211"/>
      <c r="W89" s="36" t="s">
        <v>176</v>
      </c>
      <c r="X89" s="36" t="s">
        <v>719</v>
      </c>
      <c r="Y89" s="23">
        <v>1</v>
      </c>
      <c r="AQ89" s="211"/>
    </row>
    <row r="90" spans="1:652">
      <c r="A90" s="211"/>
      <c r="B90" s="37" t="s">
        <v>606</v>
      </c>
      <c r="C90" s="37" t="s">
        <v>607</v>
      </c>
      <c r="D90" s="37"/>
      <c r="E90" s="211"/>
      <c r="F90" s="23">
        <v>1</v>
      </c>
      <c r="M90" s="211"/>
      <c r="N90" s="22" t="s">
        <v>192</v>
      </c>
      <c r="O90" s="22" t="s">
        <v>608</v>
      </c>
      <c r="P90" s="22" t="s">
        <v>609</v>
      </c>
      <c r="Q90" s="22" t="s">
        <v>128</v>
      </c>
      <c r="R90" s="22" t="s">
        <v>129</v>
      </c>
      <c r="S90" s="22">
        <v>65807</v>
      </c>
      <c r="T90" s="22" t="s">
        <v>610</v>
      </c>
      <c r="V90" s="211"/>
      <c r="W90" s="36" t="s">
        <v>611</v>
      </c>
      <c r="X90" s="59" t="s">
        <v>612</v>
      </c>
      <c r="Y90" s="23">
        <v>1</v>
      </c>
      <c r="Z90" s="23"/>
      <c r="AC90" s="23"/>
      <c r="AD90" s="23"/>
      <c r="AE90" s="23"/>
      <c r="AG90" s="23"/>
      <c r="AH90" s="23"/>
      <c r="AQ90" s="211"/>
    </row>
    <row r="91" spans="1:652">
      <c r="A91" s="211"/>
      <c r="B91" s="22" t="s">
        <v>613</v>
      </c>
      <c r="C91" s="22" t="s">
        <v>614</v>
      </c>
      <c r="D91" s="22"/>
      <c r="E91" s="211"/>
      <c r="F91" s="23">
        <v>1</v>
      </c>
      <c r="M91" s="211"/>
      <c r="N91" s="22" t="s">
        <v>257</v>
      </c>
      <c r="O91" s="22" t="s">
        <v>615</v>
      </c>
      <c r="P91" s="22" t="s">
        <v>616</v>
      </c>
      <c r="Q91" s="22" t="s">
        <v>617</v>
      </c>
      <c r="R91" s="22" t="s">
        <v>618</v>
      </c>
      <c r="S91" s="22">
        <v>1507</v>
      </c>
      <c r="T91" s="22" t="s">
        <v>619</v>
      </c>
      <c r="V91" s="211"/>
      <c r="W91" s="59" t="s">
        <v>620</v>
      </c>
      <c r="X91" s="59" t="s">
        <v>621</v>
      </c>
      <c r="Y91" s="23">
        <v>1</v>
      </c>
      <c r="Z91" s="23"/>
      <c r="AD91" s="23"/>
      <c r="AE91" s="23"/>
      <c r="AG91" s="23"/>
      <c r="AH91" s="23"/>
      <c r="AQ91" s="211"/>
    </row>
    <row r="92" spans="1:652">
      <c r="A92" s="211"/>
      <c r="B92" s="22" t="s">
        <v>312</v>
      </c>
      <c r="C92" s="37" t="s">
        <v>313</v>
      </c>
      <c r="D92" s="37"/>
      <c r="E92" s="211"/>
      <c r="H92" s="23">
        <v>1</v>
      </c>
      <c r="M92" s="211"/>
      <c r="N92" s="37" t="s">
        <v>314</v>
      </c>
      <c r="O92" s="22" t="s">
        <v>315</v>
      </c>
      <c r="P92" s="22" t="s">
        <v>316</v>
      </c>
      <c r="Q92" s="22" t="s">
        <v>317</v>
      </c>
      <c r="R92" s="22" t="s">
        <v>300</v>
      </c>
      <c r="S92" s="37">
        <v>91746</v>
      </c>
      <c r="T92" s="22" t="s">
        <v>318</v>
      </c>
      <c r="V92" s="211"/>
      <c r="W92" s="36" t="s">
        <v>319</v>
      </c>
      <c r="X92" s="60" t="s">
        <v>320</v>
      </c>
      <c r="Y92" s="23">
        <v>1</v>
      </c>
      <c r="Z92" s="23"/>
      <c r="AC92" s="23"/>
      <c r="AD92" s="23"/>
      <c r="AE92" s="23"/>
      <c r="AG92" s="23"/>
      <c r="AH92" s="23"/>
      <c r="AL92" s="23"/>
      <c r="AM92" s="23"/>
      <c r="AO92" s="23"/>
      <c r="AP92" s="23"/>
      <c r="AQ92" s="211"/>
    </row>
    <row r="93" spans="1:652">
      <c r="A93" s="211"/>
      <c r="B93" s="22" t="s">
        <v>622</v>
      </c>
      <c r="C93" s="22" t="s">
        <v>623</v>
      </c>
      <c r="D93" s="22"/>
      <c r="E93" s="211"/>
      <c r="H93" s="23">
        <v>1</v>
      </c>
      <c r="M93" s="211"/>
      <c r="N93" s="37" t="s">
        <v>182</v>
      </c>
      <c r="O93" s="22" t="s">
        <v>624</v>
      </c>
      <c r="P93" s="22" t="s">
        <v>625</v>
      </c>
      <c r="Q93" s="22" t="s">
        <v>268</v>
      </c>
      <c r="R93" s="22" t="s">
        <v>269</v>
      </c>
      <c r="S93" s="22">
        <v>85016</v>
      </c>
      <c r="T93" s="22" t="s">
        <v>626</v>
      </c>
      <c r="V93" s="211"/>
      <c r="W93" s="36" t="s">
        <v>627</v>
      </c>
      <c r="X93" s="37"/>
      <c r="AC93" s="23"/>
      <c r="AD93" s="23"/>
      <c r="AE93" s="23"/>
      <c r="AG93" s="23"/>
      <c r="AH93" s="23"/>
      <c r="AL93" s="23"/>
      <c r="AM93" s="23"/>
      <c r="AQ93" s="211"/>
    </row>
    <row r="94" spans="1:652">
      <c r="A94" s="211"/>
      <c r="B94" s="22" t="s">
        <v>742</v>
      </c>
      <c r="C94" s="22" t="s">
        <v>743</v>
      </c>
      <c r="D94" s="22"/>
      <c r="E94" s="211"/>
      <c r="H94" s="23">
        <v>1</v>
      </c>
      <c r="M94" s="211"/>
      <c r="N94" s="22" t="s">
        <v>714</v>
      </c>
      <c r="O94" s="22" t="s">
        <v>723</v>
      </c>
      <c r="P94" s="22" t="s">
        <v>725</v>
      </c>
      <c r="Q94" s="22" t="s">
        <v>724</v>
      </c>
      <c r="R94" s="22" t="s">
        <v>419</v>
      </c>
      <c r="S94" s="22">
        <v>7675</v>
      </c>
      <c r="T94" s="22" t="s">
        <v>726</v>
      </c>
      <c r="V94" s="211"/>
      <c r="W94" s="36" t="s">
        <v>750</v>
      </c>
      <c r="X94" s="36" t="s">
        <v>734</v>
      </c>
      <c r="Y94" s="23">
        <v>1</v>
      </c>
      <c r="Z94" s="34" t="s">
        <v>735</v>
      </c>
      <c r="AA94" s="23">
        <v>1</v>
      </c>
      <c r="AQ94" s="211"/>
    </row>
    <row r="95" spans="1:652">
      <c r="A95" s="211"/>
      <c r="B95" s="22" t="s">
        <v>284</v>
      </c>
      <c r="C95" s="22" t="s">
        <v>628</v>
      </c>
      <c r="D95" s="22"/>
      <c r="E95" s="211"/>
      <c r="F95" s="23">
        <v>1</v>
      </c>
      <c r="M95" s="211"/>
      <c r="N95" s="36" t="s">
        <v>182</v>
      </c>
      <c r="O95" s="22" t="s">
        <v>629</v>
      </c>
      <c r="P95" s="22" t="s">
        <v>630</v>
      </c>
      <c r="Q95" s="22" t="s">
        <v>631</v>
      </c>
      <c r="R95" s="22" t="s">
        <v>632</v>
      </c>
      <c r="S95" s="37">
        <v>37075</v>
      </c>
      <c r="T95" s="22" t="s">
        <v>633</v>
      </c>
      <c r="V95" s="211"/>
      <c r="W95" s="36" t="s">
        <v>751</v>
      </c>
      <c r="X95" s="36" t="s">
        <v>634</v>
      </c>
      <c r="Y95" s="23">
        <v>1</v>
      </c>
      <c r="Z95" s="23"/>
      <c r="AC95" s="23"/>
      <c r="AD95" s="23"/>
      <c r="AE95" s="23"/>
      <c r="AG95" s="23"/>
      <c r="AH95" s="23"/>
      <c r="AL95" s="23"/>
      <c r="AM95" s="23"/>
      <c r="AQ95" s="211"/>
    </row>
    <row r="96" spans="1:652">
      <c r="A96" s="211"/>
      <c r="B96" s="22" t="s">
        <v>737</v>
      </c>
      <c r="C96" s="22" t="s">
        <v>736</v>
      </c>
      <c r="D96" s="22"/>
      <c r="E96" s="211"/>
      <c r="H96" s="23">
        <v>1</v>
      </c>
      <c r="M96" s="211"/>
      <c r="N96" s="22" t="s">
        <v>182</v>
      </c>
      <c r="O96" s="22" t="s">
        <v>687</v>
      </c>
      <c r="P96" s="22" t="s">
        <v>686</v>
      </c>
      <c r="Q96" s="22" t="s">
        <v>685</v>
      </c>
      <c r="R96" s="22" t="s">
        <v>56</v>
      </c>
      <c r="S96" s="22">
        <v>78501</v>
      </c>
      <c r="T96" s="22" t="s">
        <v>688</v>
      </c>
      <c r="V96" s="211"/>
      <c r="W96" s="36" t="s">
        <v>177</v>
      </c>
      <c r="X96" s="36" t="s">
        <v>681</v>
      </c>
      <c r="Y96" s="23">
        <v>1</v>
      </c>
      <c r="AQ96" s="211"/>
    </row>
    <row r="97" spans="1:651">
      <c r="A97" s="211"/>
      <c r="D97" s="22"/>
      <c r="E97" s="211"/>
      <c r="H97" s="23">
        <v>1</v>
      </c>
      <c r="M97" s="211"/>
      <c r="N97" s="22" t="s">
        <v>182</v>
      </c>
      <c r="O97" s="22" t="s">
        <v>727</v>
      </c>
      <c r="P97" s="22" t="s">
        <v>728</v>
      </c>
      <c r="Q97" s="22" t="s">
        <v>470</v>
      </c>
      <c r="R97" s="22" t="s">
        <v>56</v>
      </c>
      <c r="S97" s="22">
        <v>77015</v>
      </c>
      <c r="T97" s="22" t="s">
        <v>729</v>
      </c>
      <c r="V97" s="211"/>
      <c r="W97" s="36" t="s">
        <v>178</v>
      </c>
      <c r="X97" s="36" t="s">
        <v>179</v>
      </c>
      <c r="Y97" s="23">
        <v>1</v>
      </c>
      <c r="AQ97" s="211"/>
    </row>
    <row r="98" spans="1:651">
      <c r="A98" s="211"/>
      <c r="B98" s="22" t="s">
        <v>667</v>
      </c>
      <c r="C98" s="22" t="s">
        <v>668</v>
      </c>
      <c r="D98" s="22"/>
      <c r="E98" s="211"/>
      <c r="J98" s="23">
        <v>1</v>
      </c>
      <c r="M98" s="211"/>
      <c r="N98" s="22" t="s">
        <v>276</v>
      </c>
      <c r="O98" s="22" t="s">
        <v>669</v>
      </c>
      <c r="P98" s="22" t="s">
        <v>670</v>
      </c>
      <c r="Q98" s="22" t="s">
        <v>671</v>
      </c>
      <c r="R98" s="22" t="s">
        <v>551</v>
      </c>
      <c r="S98" s="37">
        <v>32446</v>
      </c>
      <c r="T98" s="22" t="s">
        <v>672</v>
      </c>
      <c r="V98" s="211"/>
      <c r="W98" s="36" t="s">
        <v>673</v>
      </c>
      <c r="X98" s="22" t="s">
        <v>674</v>
      </c>
      <c r="Y98" s="23">
        <v>1</v>
      </c>
      <c r="Z98" s="23"/>
      <c r="AB98" s="37"/>
      <c r="AC98" s="23"/>
      <c r="AD98" s="23"/>
      <c r="AE98" s="23"/>
      <c r="AF98" s="37"/>
      <c r="AG98" s="23"/>
      <c r="AH98" s="23"/>
      <c r="AK98" s="37"/>
      <c r="AL98" s="23"/>
      <c r="AM98" s="23"/>
      <c r="AO98" s="23"/>
      <c r="AP98" s="23"/>
      <c r="AQ98" s="211"/>
      <c r="TE98" s="65"/>
      <c r="TF98" s="65"/>
      <c r="TG98" s="65"/>
      <c r="TH98" s="65"/>
      <c r="TI98" s="65"/>
      <c r="TJ98" s="65"/>
      <c r="TK98" s="65"/>
      <c r="TL98" s="65"/>
      <c r="TM98" s="65"/>
      <c r="TN98" s="65"/>
      <c r="TO98" s="65"/>
      <c r="TP98" s="65"/>
      <c r="TQ98" s="65"/>
      <c r="TR98" s="65"/>
      <c r="TS98" s="65"/>
      <c r="TT98" s="65"/>
      <c r="TU98" s="65"/>
      <c r="TV98" s="65"/>
      <c r="TW98" s="65"/>
      <c r="TX98" s="65"/>
      <c r="TY98" s="65"/>
      <c r="TZ98" s="65"/>
      <c r="UA98" s="65"/>
      <c r="UB98" s="65"/>
      <c r="UC98" s="65"/>
      <c r="UD98" s="65"/>
      <c r="UE98" s="65"/>
      <c r="UF98" s="65"/>
      <c r="UG98" s="65"/>
      <c r="UH98" s="65"/>
      <c r="UI98" s="65"/>
      <c r="UJ98" s="65"/>
      <c r="UK98" s="65"/>
      <c r="UL98" s="65"/>
      <c r="UM98" s="65"/>
      <c r="UN98" s="65"/>
      <c r="UO98" s="65"/>
      <c r="UP98" s="65"/>
      <c r="UQ98" s="65"/>
      <c r="UR98" s="65"/>
      <c r="US98" s="65"/>
      <c r="UT98" s="65"/>
      <c r="UU98" s="65"/>
      <c r="UV98" s="65"/>
      <c r="UW98" s="65"/>
      <c r="UX98" s="65"/>
      <c r="UY98" s="65"/>
      <c r="UZ98" s="65"/>
      <c r="VA98" s="65"/>
      <c r="VB98" s="65"/>
      <c r="VC98" s="65"/>
      <c r="VD98" s="65"/>
      <c r="VE98" s="65"/>
      <c r="VF98" s="65"/>
      <c r="VG98" s="65"/>
      <c r="VH98" s="65"/>
      <c r="VI98" s="65"/>
      <c r="VJ98" s="65"/>
      <c r="VK98" s="65"/>
      <c r="VL98" s="65"/>
      <c r="VM98" s="65"/>
      <c r="VN98" s="65"/>
      <c r="VO98" s="65"/>
      <c r="VP98" s="65"/>
      <c r="VQ98" s="65"/>
      <c r="VR98" s="65"/>
      <c r="VS98" s="65"/>
      <c r="VT98" s="65"/>
      <c r="VU98" s="65"/>
      <c r="VV98" s="65"/>
      <c r="VW98" s="65"/>
      <c r="VX98" s="65"/>
      <c r="VY98" s="65"/>
      <c r="VZ98" s="65"/>
      <c r="WA98" s="65"/>
      <c r="WB98" s="65"/>
      <c r="WC98" s="65"/>
      <c r="WD98" s="65"/>
      <c r="WE98" s="65"/>
      <c r="WF98" s="65"/>
      <c r="WG98" s="65"/>
      <c r="WH98" s="65"/>
      <c r="WI98" s="65"/>
      <c r="WJ98" s="65"/>
      <c r="WK98" s="65"/>
      <c r="WL98" s="65"/>
      <c r="WM98" s="65"/>
      <c r="WN98" s="65"/>
      <c r="WO98" s="65"/>
      <c r="WP98" s="65"/>
      <c r="WQ98" s="65"/>
      <c r="WR98" s="65"/>
      <c r="WS98" s="65"/>
      <c r="WT98" s="65"/>
      <c r="WU98" s="65"/>
      <c r="WV98" s="65"/>
      <c r="WW98" s="65"/>
      <c r="WX98" s="65"/>
      <c r="WY98" s="65"/>
      <c r="WZ98" s="65"/>
      <c r="XA98" s="65"/>
      <c r="XB98" s="65"/>
      <c r="XC98" s="65"/>
      <c r="XD98" s="65"/>
      <c r="XE98" s="65"/>
      <c r="XF98" s="65"/>
      <c r="XG98" s="65"/>
      <c r="XH98" s="65"/>
      <c r="XI98" s="65"/>
      <c r="XJ98" s="65"/>
      <c r="XK98" s="65"/>
      <c r="XL98" s="65"/>
      <c r="XM98" s="65"/>
      <c r="XN98" s="65"/>
      <c r="XO98" s="65"/>
      <c r="XP98" s="65"/>
      <c r="XQ98" s="65"/>
      <c r="XR98" s="65"/>
      <c r="XS98" s="65"/>
      <c r="XT98" s="65"/>
      <c r="XU98" s="65"/>
      <c r="XV98" s="65"/>
      <c r="XW98" s="65"/>
      <c r="XX98" s="65"/>
      <c r="XY98" s="65"/>
      <c r="XZ98" s="65"/>
      <c r="YA98" s="65"/>
    </row>
    <row r="99" spans="1:651">
      <c r="A99" s="211"/>
      <c r="B99" s="22" t="s">
        <v>635</v>
      </c>
      <c r="C99" s="22" t="s">
        <v>636</v>
      </c>
      <c r="D99" s="22"/>
      <c r="E99" s="211"/>
      <c r="H99" s="23">
        <v>1</v>
      </c>
      <c r="M99" s="211"/>
      <c r="N99" s="22" t="s">
        <v>476</v>
      </c>
      <c r="O99" s="22" t="s">
        <v>637</v>
      </c>
      <c r="P99" s="22" t="s">
        <v>638</v>
      </c>
      <c r="Q99" s="22" t="s">
        <v>479</v>
      </c>
      <c r="R99" s="22" t="s">
        <v>56</v>
      </c>
      <c r="S99" s="37">
        <v>79415</v>
      </c>
      <c r="T99" s="22" t="s">
        <v>639</v>
      </c>
      <c r="V99" s="211"/>
      <c r="W99" s="36" t="s">
        <v>640</v>
      </c>
      <c r="X99" s="60" t="s">
        <v>641</v>
      </c>
      <c r="Y99" s="23">
        <v>1</v>
      </c>
      <c r="AC99" s="23"/>
      <c r="AD99" s="23"/>
      <c r="AE99" s="23"/>
      <c r="AG99" s="23"/>
      <c r="AH99" s="23"/>
      <c r="AJ99" s="23"/>
      <c r="AL99" s="23"/>
      <c r="AM99" s="23"/>
      <c r="AQ99" s="211"/>
    </row>
    <row r="100" spans="1:651">
      <c r="A100" s="216"/>
      <c r="B100" s="22" t="s">
        <v>474</v>
      </c>
      <c r="C100" s="22" t="s">
        <v>475</v>
      </c>
      <c r="D100" s="22"/>
      <c r="E100" s="216"/>
      <c r="F100" s="23">
        <v>1</v>
      </c>
      <c r="M100" s="216"/>
      <c r="N100" s="22" t="s">
        <v>476</v>
      </c>
      <c r="O100" s="22" t="s">
        <v>477</v>
      </c>
      <c r="P100" s="22" t="s">
        <v>478</v>
      </c>
      <c r="Q100" s="22" t="s">
        <v>479</v>
      </c>
      <c r="R100" s="22" t="s">
        <v>56</v>
      </c>
      <c r="S100" s="37">
        <v>79424</v>
      </c>
      <c r="T100" s="22" t="s">
        <v>480</v>
      </c>
      <c r="V100" s="216"/>
      <c r="W100" s="36" t="s">
        <v>481</v>
      </c>
      <c r="X100" s="36" t="s">
        <v>482</v>
      </c>
      <c r="Y100" s="23">
        <v>1</v>
      </c>
      <c r="AC100" s="23"/>
      <c r="AD100" s="23"/>
      <c r="AE100" s="23"/>
      <c r="AG100" s="23"/>
      <c r="AH100" s="23"/>
      <c r="AJ100" s="23"/>
      <c r="AL100" s="23"/>
      <c r="AM100" s="23"/>
      <c r="AQ100" s="216"/>
    </row>
    <row r="101" spans="1:651">
      <c r="A101" s="211"/>
      <c r="B101" s="36" t="s">
        <v>514</v>
      </c>
      <c r="C101" s="22" t="s">
        <v>642</v>
      </c>
      <c r="D101" s="22"/>
      <c r="E101" s="211"/>
      <c r="F101" s="23">
        <v>1</v>
      </c>
      <c r="M101" s="211"/>
      <c r="N101" s="37" t="s">
        <v>276</v>
      </c>
      <c r="O101" s="22" t="s">
        <v>643</v>
      </c>
      <c r="P101" s="22" t="s">
        <v>644</v>
      </c>
      <c r="Q101" s="22" t="s">
        <v>645</v>
      </c>
      <c r="R101" s="22" t="s">
        <v>646</v>
      </c>
      <c r="S101" s="37">
        <v>54981</v>
      </c>
      <c r="T101" s="22" t="s">
        <v>647</v>
      </c>
      <c r="V101" s="211"/>
      <c r="W101" s="93" t="s">
        <v>648</v>
      </c>
      <c r="X101" s="59" t="s">
        <v>649</v>
      </c>
      <c r="Y101" s="23">
        <v>1</v>
      </c>
      <c r="AD101" s="23"/>
      <c r="AE101" s="23"/>
      <c r="AF101" s="37"/>
      <c r="AG101" s="23"/>
      <c r="AH101" s="23"/>
      <c r="AL101" s="23"/>
      <c r="AM101" s="23"/>
      <c r="AQ101" s="211"/>
    </row>
    <row r="102" spans="1:651">
      <c r="A102" s="211"/>
      <c r="B102" s="22" t="s">
        <v>650</v>
      </c>
      <c r="C102" s="22" t="s">
        <v>651</v>
      </c>
      <c r="D102" s="22"/>
      <c r="E102" s="211"/>
      <c r="F102" s="23">
        <v>1</v>
      </c>
      <c r="M102" s="211"/>
      <c r="N102" s="60" t="s">
        <v>182</v>
      </c>
      <c r="O102" s="22" t="s">
        <v>652</v>
      </c>
      <c r="P102" s="22" t="s">
        <v>653</v>
      </c>
      <c r="Q102" s="22" t="s">
        <v>654</v>
      </c>
      <c r="R102" s="22" t="s">
        <v>655</v>
      </c>
      <c r="S102" s="37">
        <v>82601</v>
      </c>
      <c r="T102" s="22" t="s">
        <v>656</v>
      </c>
      <c r="V102" s="211"/>
      <c r="W102" s="36" t="s">
        <v>657</v>
      </c>
      <c r="X102" s="36" t="s">
        <v>658</v>
      </c>
      <c r="Y102" s="23">
        <v>1</v>
      </c>
      <c r="AQ102" s="211"/>
    </row>
    <row r="107" spans="1:651" s="88" customFormat="1" ht="19">
      <c r="A107" s="87"/>
      <c r="B107" s="87" t="s">
        <v>684</v>
      </c>
      <c r="C107" s="87"/>
      <c r="D107" s="87"/>
      <c r="E107" s="87"/>
      <c r="F107" s="87">
        <f t="shared" ref="F107:L107" si="0">SUM(F24:F102)</f>
        <v>48</v>
      </c>
      <c r="G107" s="87">
        <f t="shared" si="0"/>
        <v>1</v>
      </c>
      <c r="H107" s="87">
        <f t="shared" si="0"/>
        <v>15</v>
      </c>
      <c r="I107" s="87">
        <f t="shared" si="0"/>
        <v>2</v>
      </c>
      <c r="J107" s="87">
        <f t="shared" si="0"/>
        <v>2</v>
      </c>
      <c r="K107" s="87">
        <f t="shared" si="0"/>
        <v>1</v>
      </c>
      <c r="L107" s="87">
        <f t="shared" si="0"/>
        <v>1</v>
      </c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>
        <f>SUM(Y24:Y102)</f>
        <v>62</v>
      </c>
      <c r="Z107" s="87"/>
      <c r="AA107" s="87">
        <f>SUM(AA24:AA102)</f>
        <v>7</v>
      </c>
      <c r="AB107" s="87"/>
      <c r="AC107" s="87">
        <f>SUM(AC24:AC102)</f>
        <v>0</v>
      </c>
      <c r="AD107" s="87">
        <f>SUM(AD24:AD102)</f>
        <v>6</v>
      </c>
      <c r="AE107" s="87">
        <f>SUM(AE24:AE102)</f>
        <v>12090</v>
      </c>
      <c r="AF107" s="87"/>
      <c r="AG107" s="87">
        <f>SUM(AG24:AG102)</f>
        <v>5</v>
      </c>
      <c r="AH107" s="87">
        <f>SUM(AH24:AH102)</f>
        <v>26436</v>
      </c>
      <c r="AI107" s="87"/>
      <c r="AJ107" s="87">
        <f>SUM(AJ24:AJ102)</f>
        <v>0</v>
      </c>
      <c r="AK107" s="87"/>
      <c r="AL107" s="87">
        <f>SUM(AL24:AL102)</f>
        <v>0</v>
      </c>
      <c r="AM107" s="87">
        <f>SUM(AM24:AM102)</f>
        <v>0</v>
      </c>
      <c r="AN107" s="87"/>
      <c r="AO107" s="87">
        <f>SUM(AO24:AO102)</f>
        <v>0</v>
      </c>
      <c r="AP107" s="87">
        <f>SUM(AP24:AP102)</f>
        <v>0</v>
      </c>
      <c r="AQ107" s="87"/>
    </row>
    <row r="110" spans="1:651" s="40" customFormat="1">
      <c r="A110" s="39"/>
      <c r="E110" s="39"/>
      <c r="F110" s="43" t="s">
        <v>192</v>
      </c>
      <c r="G110" s="39"/>
      <c r="H110" s="39"/>
      <c r="I110" s="39"/>
      <c r="J110" s="39"/>
      <c r="K110" s="39"/>
      <c r="L110" s="39"/>
      <c r="M110" s="39"/>
      <c r="N110" s="43" t="s">
        <v>915</v>
      </c>
      <c r="S110" s="43"/>
      <c r="T110" s="39"/>
      <c r="U110" s="39"/>
      <c r="V110" s="39"/>
      <c r="X110" s="43"/>
      <c r="Y110" s="39"/>
      <c r="Z110" s="43"/>
      <c r="AA110" s="39"/>
      <c r="AB110" s="43"/>
      <c r="AC110" s="39"/>
      <c r="AD110" s="39"/>
      <c r="AE110" s="39"/>
      <c r="AF110" s="43"/>
      <c r="AG110" s="39"/>
      <c r="AH110" s="39"/>
      <c r="AI110" s="43"/>
      <c r="AJ110" s="39"/>
      <c r="AK110" s="43"/>
      <c r="AL110" s="39"/>
      <c r="AM110" s="39"/>
      <c r="AQ110" s="39"/>
    </row>
    <row r="111" spans="1:651" s="40" customFormat="1">
      <c r="A111" s="39"/>
      <c r="B111" s="40" t="s">
        <v>18</v>
      </c>
      <c r="C111" s="40" t="s">
        <v>19</v>
      </c>
      <c r="E111" s="39"/>
      <c r="F111" s="40" t="s">
        <v>20</v>
      </c>
      <c r="M111" s="39"/>
      <c r="N111" s="43"/>
      <c r="O111" s="43"/>
      <c r="S111" s="43"/>
      <c r="T111" s="39"/>
      <c r="U111" s="39"/>
      <c r="V111" s="39"/>
      <c r="X111" s="43"/>
      <c r="Y111" s="39"/>
      <c r="Z111" s="43"/>
      <c r="AA111" s="39"/>
      <c r="AB111" s="43"/>
      <c r="AC111" s="39" t="s">
        <v>21</v>
      </c>
      <c r="AD111" s="39"/>
      <c r="AE111" s="39"/>
      <c r="AF111" s="43"/>
      <c r="AG111" s="39"/>
      <c r="AH111" s="39"/>
      <c r="AI111" s="43"/>
      <c r="AJ111" s="39"/>
      <c r="AK111" s="43"/>
      <c r="AL111" s="39"/>
      <c r="AM111" s="39"/>
      <c r="AN111" s="39" t="s">
        <v>24</v>
      </c>
      <c r="AO111" s="39"/>
      <c r="AQ111" s="39"/>
    </row>
    <row r="112" spans="1:651" s="50" customFormat="1" ht="17" thickBot="1">
      <c r="A112" s="48"/>
      <c r="B112" s="50" t="s">
        <v>25</v>
      </c>
      <c r="C112" s="50" t="s">
        <v>25</v>
      </c>
      <c r="E112" s="48"/>
      <c r="F112" s="50" t="s">
        <v>26</v>
      </c>
      <c r="G112" s="50" t="s">
        <v>27</v>
      </c>
      <c r="H112" s="50" t="s">
        <v>28</v>
      </c>
      <c r="I112" s="50" t="s">
        <v>29</v>
      </c>
      <c r="J112" s="48" t="s">
        <v>14</v>
      </c>
      <c r="K112" s="50" t="s">
        <v>24</v>
      </c>
      <c r="L112" s="50" t="s">
        <v>30</v>
      </c>
      <c r="M112" s="48"/>
      <c r="N112" s="52" t="s">
        <v>31</v>
      </c>
      <c r="O112" s="52" t="s">
        <v>245</v>
      </c>
      <c r="P112" s="50" t="s">
        <v>32</v>
      </c>
      <c r="Q112" s="50" t="s">
        <v>33</v>
      </c>
      <c r="R112" s="50" t="s">
        <v>34</v>
      </c>
      <c r="S112" s="52" t="s">
        <v>35</v>
      </c>
      <c r="T112" s="52" t="s">
        <v>36</v>
      </c>
      <c r="U112" s="52"/>
      <c r="V112" s="48"/>
      <c r="W112" s="50" t="s">
        <v>37</v>
      </c>
      <c r="X112" s="52" t="s">
        <v>38</v>
      </c>
      <c r="Y112" s="48" t="s">
        <v>39</v>
      </c>
      <c r="Z112" s="52" t="s">
        <v>40</v>
      </c>
      <c r="AA112" s="48" t="s">
        <v>39</v>
      </c>
      <c r="AB112" s="52" t="s">
        <v>21</v>
      </c>
      <c r="AC112" s="48" t="s">
        <v>41</v>
      </c>
      <c r="AD112" s="48" t="s">
        <v>39</v>
      </c>
      <c r="AE112" s="48" t="s">
        <v>246</v>
      </c>
      <c r="AF112" s="52" t="s">
        <v>22</v>
      </c>
      <c r="AG112" s="48" t="s">
        <v>39</v>
      </c>
      <c r="AH112" s="48" t="s">
        <v>43</v>
      </c>
      <c r="AI112" s="52" t="s">
        <v>44</v>
      </c>
      <c r="AJ112" s="48" t="s">
        <v>39</v>
      </c>
      <c r="AK112" s="52" t="s">
        <v>23</v>
      </c>
      <c r="AL112" s="48" t="s">
        <v>39</v>
      </c>
      <c r="AM112" s="48" t="s">
        <v>42</v>
      </c>
      <c r="AN112" s="48" t="s">
        <v>45</v>
      </c>
      <c r="AO112" s="50" t="s">
        <v>39</v>
      </c>
      <c r="AP112" s="48" t="s">
        <v>42</v>
      </c>
      <c r="AQ112" s="48"/>
    </row>
    <row r="113" spans="1:43" s="7" customFormat="1">
      <c r="A113" s="214"/>
      <c r="B113" s="35" t="s">
        <v>756</v>
      </c>
      <c r="C113" s="7" t="s">
        <v>757</v>
      </c>
      <c r="E113" s="214"/>
      <c r="F113" s="9"/>
      <c r="G113" s="9">
        <v>1</v>
      </c>
      <c r="H113" s="9"/>
      <c r="I113" s="9"/>
      <c r="J113" s="9"/>
      <c r="K113" s="9"/>
      <c r="L113" s="9"/>
      <c r="M113" s="214"/>
      <c r="N113" s="7" t="s">
        <v>49</v>
      </c>
      <c r="O113" s="7" t="s">
        <v>758</v>
      </c>
      <c r="V113" s="214"/>
      <c r="W113" s="22" t="s">
        <v>759</v>
      </c>
      <c r="X113" s="36" t="s">
        <v>760</v>
      </c>
      <c r="Y113" s="9">
        <v>1</v>
      </c>
      <c r="Z113" s="9"/>
      <c r="AA113" s="9"/>
      <c r="AB113" s="9"/>
      <c r="AQ113" s="214"/>
    </row>
    <row r="114" spans="1:43" s="7" customFormat="1">
      <c r="A114" s="214"/>
      <c r="B114" s="35" t="s">
        <v>761</v>
      </c>
      <c r="C114" s="7" t="s">
        <v>762</v>
      </c>
      <c r="E114" s="214"/>
      <c r="F114" s="9"/>
      <c r="G114" s="9"/>
      <c r="H114" s="9"/>
      <c r="I114" s="9"/>
      <c r="J114" s="9"/>
      <c r="K114" s="9">
        <v>1</v>
      </c>
      <c r="L114" s="9"/>
      <c r="M114" s="214"/>
      <c r="N114" s="7" t="s">
        <v>763</v>
      </c>
      <c r="O114" s="7" t="s">
        <v>764</v>
      </c>
      <c r="V114" s="214"/>
      <c r="W114" s="22" t="s">
        <v>765</v>
      </c>
      <c r="X114" s="36" t="s">
        <v>766</v>
      </c>
      <c r="Y114" s="9">
        <v>1</v>
      </c>
      <c r="Z114" s="9"/>
      <c r="AA114" s="9"/>
      <c r="AB114" s="9"/>
      <c r="AQ114" s="214"/>
    </row>
    <row r="115" spans="1:43" s="7" customFormat="1">
      <c r="A115" s="214"/>
      <c r="B115" s="35" t="s">
        <v>767</v>
      </c>
      <c r="C115" s="7" t="s">
        <v>768</v>
      </c>
      <c r="E115" s="214"/>
      <c r="F115" s="9"/>
      <c r="G115" s="9">
        <v>1</v>
      </c>
      <c r="H115" s="9"/>
      <c r="I115" s="9"/>
      <c r="J115" s="9"/>
      <c r="K115" s="9"/>
      <c r="L115" s="9"/>
      <c r="M115" s="214"/>
      <c r="N115" s="7" t="s">
        <v>763</v>
      </c>
      <c r="O115" s="7" t="s">
        <v>769</v>
      </c>
      <c r="P115" s="22" t="s">
        <v>770</v>
      </c>
      <c r="Q115" s="22" t="s">
        <v>771</v>
      </c>
      <c r="R115" s="7" t="s">
        <v>646</v>
      </c>
      <c r="S115" s="7">
        <v>53216</v>
      </c>
      <c r="T115" s="22" t="s">
        <v>772</v>
      </c>
      <c r="V115" s="214"/>
      <c r="W115" s="22" t="s">
        <v>773</v>
      </c>
      <c r="X115" s="36" t="s">
        <v>774</v>
      </c>
      <c r="Y115" s="9">
        <v>1</v>
      </c>
      <c r="Z115" s="9"/>
      <c r="AA115" s="9"/>
      <c r="AB115" s="9"/>
      <c r="AQ115" s="214"/>
    </row>
    <row r="116" spans="1:43" s="7" customFormat="1">
      <c r="A116" s="214"/>
      <c r="B116" s="22" t="s">
        <v>514</v>
      </c>
      <c r="C116" s="22" t="s">
        <v>775</v>
      </c>
      <c r="D116" s="22"/>
      <c r="E116" s="214"/>
      <c r="F116" s="23"/>
      <c r="G116" s="23"/>
      <c r="H116" s="23"/>
      <c r="I116" s="23"/>
      <c r="J116" s="23"/>
      <c r="K116" s="23">
        <v>1</v>
      </c>
      <c r="L116" s="23"/>
      <c r="M116" s="214"/>
      <c r="N116" s="22" t="s">
        <v>763</v>
      </c>
      <c r="O116" s="36" t="s">
        <v>776</v>
      </c>
      <c r="P116" s="22"/>
      <c r="Q116" s="22"/>
      <c r="R116" s="22"/>
      <c r="S116" s="22"/>
      <c r="T116" s="22"/>
      <c r="U116" s="22"/>
      <c r="V116" s="214"/>
      <c r="W116" s="22"/>
      <c r="X116" s="36" t="s">
        <v>777</v>
      </c>
      <c r="Y116" s="23">
        <v>1</v>
      </c>
      <c r="Z116" s="23"/>
      <c r="AA116" s="23"/>
      <c r="AB116" s="23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14"/>
    </row>
    <row r="117" spans="1:43" s="7" customFormat="1">
      <c r="A117" s="214"/>
      <c r="B117" s="22" t="s">
        <v>778</v>
      </c>
      <c r="C117" s="7" t="s">
        <v>779</v>
      </c>
      <c r="E117" s="214"/>
      <c r="F117" s="9"/>
      <c r="G117" s="9"/>
      <c r="H117" s="9"/>
      <c r="I117" s="9">
        <v>1</v>
      </c>
      <c r="J117" s="9"/>
      <c r="K117" s="9"/>
      <c r="L117" s="9"/>
      <c r="M117" s="214"/>
      <c r="N117" s="7" t="s">
        <v>780</v>
      </c>
      <c r="O117" s="36" t="s">
        <v>781</v>
      </c>
      <c r="V117" s="214"/>
      <c r="W117" s="22"/>
      <c r="X117" s="36" t="s">
        <v>782</v>
      </c>
      <c r="Y117" s="9">
        <v>1</v>
      </c>
      <c r="Z117" s="9"/>
      <c r="AA117" s="9"/>
      <c r="AB117" s="9"/>
      <c r="AQ117" s="214"/>
    </row>
    <row r="118" spans="1:43" s="7" customFormat="1">
      <c r="A118" s="214"/>
      <c r="B118" s="22" t="s">
        <v>783</v>
      </c>
      <c r="C118" s="7" t="s">
        <v>784</v>
      </c>
      <c r="E118" s="214"/>
      <c r="F118" s="9"/>
      <c r="G118" s="9"/>
      <c r="H118" s="9"/>
      <c r="I118" s="9"/>
      <c r="J118" s="9"/>
      <c r="K118" s="9">
        <v>1</v>
      </c>
      <c r="L118" s="9"/>
      <c r="M118" s="214"/>
      <c r="N118" s="7" t="s">
        <v>785</v>
      </c>
      <c r="O118" s="36" t="s">
        <v>786</v>
      </c>
      <c r="V118" s="214"/>
      <c r="W118" s="22" t="s">
        <v>787</v>
      </c>
      <c r="X118" s="36" t="s">
        <v>788</v>
      </c>
      <c r="Y118" s="9">
        <v>1</v>
      </c>
      <c r="Z118" s="9"/>
      <c r="AA118" s="9"/>
      <c r="AB118" s="9"/>
      <c r="AQ118" s="214"/>
    </row>
    <row r="119" spans="1:43" s="7" customFormat="1">
      <c r="A119" s="214"/>
      <c r="B119" s="22" t="s">
        <v>789</v>
      </c>
      <c r="C119" s="7" t="s">
        <v>790</v>
      </c>
      <c r="E119" s="214"/>
      <c r="F119" s="9"/>
      <c r="G119" s="9">
        <v>1</v>
      </c>
      <c r="H119" s="9"/>
      <c r="I119" s="9"/>
      <c r="J119" s="9"/>
      <c r="K119" s="9"/>
      <c r="L119" s="9"/>
      <c r="M119" s="214"/>
      <c r="N119" s="7" t="s">
        <v>763</v>
      </c>
      <c r="O119" s="36" t="s">
        <v>791</v>
      </c>
      <c r="V119" s="214"/>
      <c r="W119" s="22"/>
      <c r="X119" s="36" t="s">
        <v>792</v>
      </c>
      <c r="Y119" s="9">
        <v>1</v>
      </c>
      <c r="Z119" s="9"/>
      <c r="AA119" s="9"/>
      <c r="AB119" s="9"/>
      <c r="AQ119" s="214"/>
    </row>
    <row r="120" spans="1:43" s="7" customFormat="1">
      <c r="A120" s="214"/>
      <c r="B120" s="22" t="s">
        <v>793</v>
      </c>
      <c r="C120" s="7" t="s">
        <v>794</v>
      </c>
      <c r="E120" s="214"/>
      <c r="F120" s="9"/>
      <c r="G120" s="9"/>
      <c r="H120" s="9"/>
      <c r="I120" s="9"/>
      <c r="J120" s="9"/>
      <c r="K120" s="9">
        <v>1</v>
      </c>
      <c r="L120" s="9"/>
      <c r="M120" s="214"/>
      <c r="N120" s="7" t="s">
        <v>763</v>
      </c>
      <c r="O120" s="36" t="s">
        <v>795</v>
      </c>
      <c r="V120" s="214"/>
      <c r="W120" s="22"/>
      <c r="X120" s="36" t="s">
        <v>796</v>
      </c>
      <c r="Y120" s="9">
        <v>1</v>
      </c>
      <c r="Z120" s="9"/>
      <c r="AA120" s="9"/>
      <c r="AB120" s="9"/>
      <c r="AQ120" s="214"/>
    </row>
    <row r="121" spans="1:43" s="7" customFormat="1">
      <c r="A121" s="214"/>
      <c r="B121" s="22" t="s">
        <v>797</v>
      </c>
      <c r="C121" s="7" t="s">
        <v>798</v>
      </c>
      <c r="E121" s="214"/>
      <c r="F121" s="9"/>
      <c r="G121" s="9"/>
      <c r="H121" s="9"/>
      <c r="I121" s="9">
        <v>1</v>
      </c>
      <c r="J121" s="9"/>
      <c r="K121" s="9"/>
      <c r="L121" s="9"/>
      <c r="M121" s="214"/>
      <c r="N121" s="7" t="s">
        <v>763</v>
      </c>
      <c r="O121" s="36" t="s">
        <v>799</v>
      </c>
      <c r="V121" s="214"/>
      <c r="W121" s="36" t="s">
        <v>800</v>
      </c>
      <c r="X121" s="36" t="s">
        <v>801</v>
      </c>
      <c r="Y121" s="9">
        <v>1</v>
      </c>
      <c r="Z121" s="9"/>
      <c r="AA121" s="9"/>
      <c r="AB121" s="9"/>
      <c r="AQ121" s="214"/>
    </row>
    <row r="122" spans="1:43" s="7" customFormat="1">
      <c r="A122" s="214"/>
      <c r="B122" s="22" t="s">
        <v>802</v>
      </c>
      <c r="C122" s="7" t="s">
        <v>803</v>
      </c>
      <c r="E122" s="214"/>
      <c r="F122" s="9"/>
      <c r="G122" s="9">
        <v>1</v>
      </c>
      <c r="H122" s="9"/>
      <c r="I122" s="9"/>
      <c r="J122" s="9"/>
      <c r="K122" s="9"/>
      <c r="L122" s="9"/>
      <c r="M122" s="214"/>
      <c r="N122" s="7" t="s">
        <v>763</v>
      </c>
      <c r="O122" s="36" t="s">
        <v>804</v>
      </c>
      <c r="V122" s="214"/>
      <c r="W122" s="22"/>
      <c r="X122" s="36" t="s">
        <v>805</v>
      </c>
      <c r="Y122" s="9">
        <v>1</v>
      </c>
      <c r="Z122" s="9"/>
      <c r="AA122" s="9"/>
      <c r="AB122" s="9"/>
      <c r="AQ122" s="214"/>
    </row>
    <row r="123" spans="1:43">
      <c r="A123" s="214"/>
      <c r="B123" s="22" t="s">
        <v>806</v>
      </c>
      <c r="C123" s="7" t="s">
        <v>807</v>
      </c>
      <c r="D123" s="7"/>
      <c r="E123" s="214"/>
      <c r="F123" s="9"/>
      <c r="G123" s="9"/>
      <c r="H123" s="9"/>
      <c r="I123" s="9"/>
      <c r="J123" s="9"/>
      <c r="K123" s="9">
        <v>1</v>
      </c>
      <c r="L123" s="9"/>
      <c r="M123" s="214"/>
      <c r="N123" s="7" t="s">
        <v>763</v>
      </c>
      <c r="O123" s="36" t="s">
        <v>808</v>
      </c>
      <c r="P123" s="7"/>
      <c r="Q123" s="7"/>
      <c r="R123" s="7"/>
      <c r="S123" s="7"/>
      <c r="T123" s="7"/>
      <c r="U123" s="7"/>
      <c r="V123" s="214"/>
      <c r="X123" s="36" t="s">
        <v>809</v>
      </c>
      <c r="Y123" s="9">
        <v>1</v>
      </c>
      <c r="Z123" s="9"/>
      <c r="AA123" s="9"/>
      <c r="AB123" s="9"/>
      <c r="AC123" s="7"/>
      <c r="AD123" s="7"/>
      <c r="AE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214"/>
    </row>
    <row r="124" spans="1:43">
      <c r="A124" s="214"/>
      <c r="B124" s="22" t="s">
        <v>810</v>
      </c>
      <c r="C124" s="7" t="s">
        <v>811</v>
      </c>
      <c r="D124" s="7"/>
      <c r="E124" s="214"/>
      <c r="F124" s="9"/>
      <c r="G124" s="9"/>
      <c r="H124" s="9"/>
      <c r="I124" s="9">
        <v>1</v>
      </c>
      <c r="J124" s="9"/>
      <c r="K124" s="9"/>
      <c r="L124" s="9"/>
      <c r="M124" s="214"/>
      <c r="N124" s="7" t="s">
        <v>49</v>
      </c>
      <c r="O124" s="36" t="s">
        <v>812</v>
      </c>
      <c r="P124" s="7"/>
      <c r="Q124" s="7"/>
      <c r="R124" s="7"/>
      <c r="S124" s="7"/>
      <c r="T124" s="7"/>
      <c r="U124" s="7"/>
      <c r="V124" s="214"/>
      <c r="X124" s="36" t="s">
        <v>813</v>
      </c>
      <c r="Y124" s="9">
        <v>1</v>
      </c>
      <c r="Z124" s="9"/>
      <c r="AA124" s="9"/>
      <c r="AB124" s="9"/>
      <c r="AC124" s="7"/>
      <c r="AD124" s="7"/>
      <c r="AE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214"/>
    </row>
    <row r="125" spans="1:43">
      <c r="A125" s="214"/>
      <c r="B125" s="22" t="s">
        <v>814</v>
      </c>
      <c r="C125" s="7" t="s">
        <v>815</v>
      </c>
      <c r="D125" s="7"/>
      <c r="E125" s="214"/>
      <c r="F125" s="9"/>
      <c r="G125" s="9"/>
      <c r="H125" s="9"/>
      <c r="I125" s="9"/>
      <c r="J125" s="9"/>
      <c r="K125" s="9">
        <v>1</v>
      </c>
      <c r="L125" s="9"/>
      <c r="M125" s="214"/>
      <c r="N125" s="7" t="s">
        <v>763</v>
      </c>
      <c r="O125" s="36" t="s">
        <v>816</v>
      </c>
      <c r="P125" s="7"/>
      <c r="Q125" s="7"/>
      <c r="R125" s="7"/>
      <c r="S125" s="7"/>
      <c r="T125" s="7"/>
      <c r="U125" s="7"/>
      <c r="V125" s="214"/>
      <c r="W125" s="36" t="s">
        <v>817</v>
      </c>
      <c r="X125" s="36" t="s">
        <v>818</v>
      </c>
      <c r="Y125" s="9">
        <v>1</v>
      </c>
      <c r="Z125" s="9"/>
      <c r="AA125" s="9"/>
      <c r="AB125" s="9"/>
      <c r="AC125" s="7"/>
      <c r="AD125" s="7"/>
      <c r="AE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214"/>
    </row>
    <row r="126" spans="1:43">
      <c r="A126" s="214"/>
      <c r="B126" s="35" t="s">
        <v>819</v>
      </c>
      <c r="C126" s="7" t="s">
        <v>820</v>
      </c>
      <c r="D126" s="7"/>
      <c r="E126" s="214"/>
      <c r="F126" s="9"/>
      <c r="G126" s="9"/>
      <c r="H126" s="9"/>
      <c r="I126" s="9">
        <v>1</v>
      </c>
      <c r="J126" s="9"/>
      <c r="K126" s="9"/>
      <c r="L126" s="9"/>
      <c r="M126" s="214"/>
      <c r="N126" s="7" t="s">
        <v>763</v>
      </c>
      <c r="O126" s="36" t="s">
        <v>821</v>
      </c>
      <c r="P126" s="7"/>
      <c r="Q126" s="7"/>
      <c r="R126" s="7"/>
      <c r="S126" s="7"/>
      <c r="T126" s="7"/>
      <c r="U126" s="7"/>
      <c r="V126" s="214"/>
      <c r="X126" s="36" t="s">
        <v>822</v>
      </c>
      <c r="Y126" s="9">
        <v>1</v>
      </c>
      <c r="Z126" s="9"/>
      <c r="AA126" s="9"/>
      <c r="AB126" s="9"/>
      <c r="AC126" s="7"/>
      <c r="AD126" s="7"/>
      <c r="AE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214"/>
    </row>
    <row r="127" spans="1:43">
      <c r="A127" s="214"/>
      <c r="B127" s="35" t="s">
        <v>414</v>
      </c>
      <c r="C127" s="7" t="s">
        <v>823</v>
      </c>
      <c r="D127" s="7"/>
      <c r="E127" s="214"/>
      <c r="F127" s="9"/>
      <c r="G127" s="9"/>
      <c r="H127" s="9"/>
      <c r="I127" s="9">
        <v>1</v>
      </c>
      <c r="J127" s="9"/>
      <c r="K127" s="9"/>
      <c r="L127" s="9"/>
      <c r="M127" s="214"/>
      <c r="N127" s="7" t="s">
        <v>763</v>
      </c>
      <c r="O127" s="36" t="s">
        <v>824</v>
      </c>
      <c r="P127" s="7"/>
      <c r="Q127" s="7"/>
      <c r="R127" s="7"/>
      <c r="S127" s="7"/>
      <c r="T127" s="7"/>
      <c r="U127" s="7"/>
      <c r="V127" s="214"/>
      <c r="X127" s="36" t="s">
        <v>825</v>
      </c>
      <c r="Y127" s="9">
        <v>1</v>
      </c>
      <c r="Z127" s="9"/>
      <c r="AA127" s="9"/>
      <c r="AB127" s="9"/>
      <c r="AC127" s="7"/>
      <c r="AD127" s="7"/>
      <c r="AE127" s="7"/>
      <c r="AF127" s="36" t="s">
        <v>826</v>
      </c>
      <c r="AG127" s="9">
        <v>1</v>
      </c>
      <c r="AH127" s="7"/>
      <c r="AI127" s="7"/>
      <c r="AJ127" s="7"/>
      <c r="AK127" s="7"/>
      <c r="AL127" s="7"/>
      <c r="AM127" s="7"/>
      <c r="AN127" s="7"/>
      <c r="AO127" s="7"/>
      <c r="AP127" s="7"/>
      <c r="AQ127" s="214"/>
    </row>
    <row r="128" spans="1:43">
      <c r="A128" s="214"/>
      <c r="B128" s="35" t="s">
        <v>424</v>
      </c>
      <c r="C128" s="7" t="s">
        <v>827</v>
      </c>
      <c r="D128" s="7"/>
      <c r="E128" s="214"/>
      <c r="F128" s="9">
        <v>1</v>
      </c>
      <c r="G128" s="9"/>
      <c r="H128" s="9"/>
      <c r="I128" s="9"/>
      <c r="J128" s="9"/>
      <c r="K128" s="9"/>
      <c r="L128" s="9"/>
      <c r="M128" s="214"/>
      <c r="N128" s="7" t="s">
        <v>763</v>
      </c>
      <c r="O128" s="36" t="s">
        <v>828</v>
      </c>
      <c r="P128" s="7"/>
      <c r="Q128" s="7"/>
      <c r="R128" s="7"/>
      <c r="S128" s="7"/>
      <c r="T128" s="7"/>
      <c r="U128" s="7"/>
      <c r="V128" s="214"/>
      <c r="W128" s="22" t="s">
        <v>829</v>
      </c>
      <c r="Y128" s="9"/>
      <c r="Z128" s="9"/>
      <c r="AA128" s="9"/>
      <c r="AB128" s="9"/>
      <c r="AC128" s="7"/>
      <c r="AD128" s="7"/>
      <c r="AE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214"/>
    </row>
    <row r="129" spans="1:43">
      <c r="A129" s="214"/>
      <c r="B129" s="35" t="s">
        <v>830</v>
      </c>
      <c r="C129" s="7" t="s">
        <v>831</v>
      </c>
      <c r="D129" s="7"/>
      <c r="E129" s="214"/>
      <c r="F129" s="9"/>
      <c r="G129" s="9"/>
      <c r="H129" s="9"/>
      <c r="I129" s="9">
        <v>1</v>
      </c>
      <c r="J129" s="9"/>
      <c r="K129" s="9"/>
      <c r="L129" s="9"/>
      <c r="M129" s="214"/>
      <c r="N129" s="7" t="s">
        <v>763</v>
      </c>
      <c r="O129" s="36" t="s">
        <v>832</v>
      </c>
      <c r="P129" s="7"/>
      <c r="Q129" s="7"/>
      <c r="R129" s="7"/>
      <c r="S129" s="7"/>
      <c r="T129" s="7"/>
      <c r="U129" s="7"/>
      <c r="V129" s="214"/>
      <c r="X129" s="36" t="s">
        <v>833</v>
      </c>
      <c r="Y129" s="9">
        <v>1</v>
      </c>
      <c r="Z129" s="9"/>
      <c r="AA129" s="9"/>
      <c r="AB129" s="9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214"/>
    </row>
    <row r="130" spans="1:43">
      <c r="A130" s="214"/>
      <c r="B130" s="35" t="s">
        <v>834</v>
      </c>
      <c r="C130" s="7" t="s">
        <v>835</v>
      </c>
      <c r="D130" s="7"/>
      <c r="E130" s="214"/>
      <c r="F130" s="9"/>
      <c r="G130" s="9"/>
      <c r="H130" s="9"/>
      <c r="I130" s="9">
        <v>1</v>
      </c>
      <c r="J130" s="9"/>
      <c r="K130" s="9"/>
      <c r="L130" s="9"/>
      <c r="M130" s="214"/>
      <c r="N130" s="7" t="s">
        <v>763</v>
      </c>
      <c r="O130" s="36" t="s">
        <v>836</v>
      </c>
      <c r="P130" s="7"/>
      <c r="Q130" s="7"/>
      <c r="R130" s="7"/>
      <c r="S130" s="7"/>
      <c r="T130" s="7"/>
      <c r="U130" s="7"/>
      <c r="V130" s="214"/>
      <c r="X130" s="36" t="s">
        <v>837</v>
      </c>
      <c r="Y130" s="9">
        <v>1</v>
      </c>
      <c r="Z130" s="9"/>
      <c r="AA130" s="9"/>
      <c r="AB130" s="9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214"/>
    </row>
    <row r="131" spans="1:43" s="7" customFormat="1">
      <c r="A131" s="214"/>
      <c r="B131" s="35" t="s">
        <v>838</v>
      </c>
      <c r="C131" s="7" t="s">
        <v>839</v>
      </c>
      <c r="E131" s="214"/>
      <c r="F131" s="9"/>
      <c r="G131" s="9"/>
      <c r="H131" s="9"/>
      <c r="I131" s="9"/>
      <c r="J131" s="9"/>
      <c r="K131" s="9">
        <v>1</v>
      </c>
      <c r="L131" s="9"/>
      <c r="M131" s="214"/>
      <c r="N131" s="7" t="s">
        <v>840</v>
      </c>
      <c r="O131" s="36" t="s">
        <v>841</v>
      </c>
      <c r="V131" s="214"/>
      <c r="W131" s="22"/>
      <c r="X131" s="36" t="s">
        <v>842</v>
      </c>
      <c r="Y131" s="9">
        <v>1</v>
      </c>
      <c r="Z131" s="9"/>
      <c r="AA131" s="9"/>
      <c r="AB131" s="9"/>
      <c r="AQ131" s="214"/>
    </row>
    <row r="132" spans="1:43" s="7" customFormat="1">
      <c r="A132" s="214"/>
      <c r="B132" s="35" t="s">
        <v>843</v>
      </c>
      <c r="C132" s="7" t="s">
        <v>844</v>
      </c>
      <c r="E132" s="214"/>
      <c r="F132" s="9"/>
      <c r="G132" s="9">
        <v>1</v>
      </c>
      <c r="H132" s="9"/>
      <c r="I132" s="9"/>
      <c r="J132" s="9"/>
      <c r="K132" s="9"/>
      <c r="L132" s="9"/>
      <c r="M132" s="214"/>
      <c r="N132" s="7" t="s">
        <v>763</v>
      </c>
      <c r="O132" s="36" t="s">
        <v>845</v>
      </c>
      <c r="V132" s="214"/>
      <c r="W132" s="36" t="s">
        <v>846</v>
      </c>
      <c r="X132" s="22"/>
      <c r="Y132" s="9"/>
      <c r="Z132" s="9"/>
      <c r="AA132" s="9"/>
      <c r="AB132" s="9"/>
      <c r="AQ132" s="214"/>
    </row>
    <row r="133" spans="1:43" s="7" customFormat="1">
      <c r="A133" s="214"/>
      <c r="B133" s="35" t="s">
        <v>847</v>
      </c>
      <c r="C133" s="7" t="s">
        <v>848</v>
      </c>
      <c r="E133" s="214"/>
      <c r="F133" s="9"/>
      <c r="G133" s="9"/>
      <c r="H133" s="9"/>
      <c r="I133" s="9"/>
      <c r="J133" s="9"/>
      <c r="K133" s="9">
        <v>1</v>
      </c>
      <c r="L133" s="9"/>
      <c r="M133" s="214"/>
      <c r="N133" s="7" t="s">
        <v>763</v>
      </c>
      <c r="O133" s="36" t="s">
        <v>849</v>
      </c>
      <c r="V133" s="214"/>
      <c r="W133" s="22"/>
      <c r="X133" s="36" t="s">
        <v>850</v>
      </c>
      <c r="Y133" s="9">
        <v>1</v>
      </c>
      <c r="Z133" s="9"/>
      <c r="AA133" s="9"/>
      <c r="AB133" s="9"/>
      <c r="AQ133" s="214"/>
    </row>
    <row r="134" spans="1:43" s="7" customFormat="1">
      <c r="A134" s="214"/>
      <c r="B134" s="35" t="s">
        <v>851</v>
      </c>
      <c r="C134" s="7" t="s">
        <v>357</v>
      </c>
      <c r="E134" s="214"/>
      <c r="F134" s="9"/>
      <c r="G134" s="9"/>
      <c r="H134" s="9"/>
      <c r="I134" s="9">
        <v>1</v>
      </c>
      <c r="J134" s="9"/>
      <c r="K134" s="9"/>
      <c r="L134" s="9"/>
      <c r="M134" s="214"/>
      <c r="N134" s="7" t="s">
        <v>763</v>
      </c>
      <c r="O134" s="36" t="s">
        <v>852</v>
      </c>
      <c r="V134" s="214"/>
      <c r="W134" s="22"/>
      <c r="X134" s="36" t="s">
        <v>853</v>
      </c>
      <c r="Y134" s="9">
        <v>1</v>
      </c>
      <c r="Z134" s="9"/>
      <c r="AA134" s="9"/>
      <c r="AB134" s="9"/>
      <c r="AQ134" s="214"/>
    </row>
    <row r="135" spans="1:43" s="7" customFormat="1">
      <c r="A135" s="214"/>
      <c r="B135" s="35" t="s">
        <v>854</v>
      </c>
      <c r="C135" s="7" t="s">
        <v>855</v>
      </c>
      <c r="E135" s="214"/>
      <c r="F135" s="9"/>
      <c r="G135" s="9"/>
      <c r="H135" s="9"/>
      <c r="I135" s="9">
        <v>1</v>
      </c>
      <c r="J135" s="9"/>
      <c r="K135" s="9"/>
      <c r="L135" s="9"/>
      <c r="M135" s="214"/>
      <c r="N135" s="7" t="s">
        <v>763</v>
      </c>
      <c r="O135" s="36" t="s">
        <v>856</v>
      </c>
      <c r="V135" s="214"/>
      <c r="W135" s="22"/>
      <c r="X135" s="36" t="s">
        <v>857</v>
      </c>
      <c r="Y135" s="9">
        <v>1</v>
      </c>
      <c r="Z135" s="9"/>
      <c r="AA135" s="9"/>
      <c r="AB135" s="9"/>
      <c r="AQ135" s="214"/>
    </row>
    <row r="136" spans="1:43" s="7" customFormat="1">
      <c r="A136" s="214"/>
      <c r="B136" s="35" t="s">
        <v>858</v>
      </c>
      <c r="C136" s="7" t="s">
        <v>859</v>
      </c>
      <c r="E136" s="214"/>
      <c r="F136" s="9"/>
      <c r="G136" s="9"/>
      <c r="H136" s="9"/>
      <c r="I136" s="9">
        <v>1</v>
      </c>
      <c r="J136" s="9"/>
      <c r="K136" s="9"/>
      <c r="L136" s="9"/>
      <c r="M136" s="214"/>
      <c r="N136" s="7" t="s">
        <v>763</v>
      </c>
      <c r="O136" s="36" t="s">
        <v>860</v>
      </c>
      <c r="V136" s="214"/>
      <c r="W136" s="22"/>
      <c r="X136" s="36" t="s">
        <v>861</v>
      </c>
      <c r="Y136" s="9">
        <v>1</v>
      </c>
      <c r="Z136" s="9"/>
      <c r="AA136" s="9"/>
      <c r="AB136" s="9"/>
      <c r="AQ136" s="214"/>
    </row>
    <row r="139" spans="1:43" ht="19">
      <c r="A139" s="87"/>
      <c r="B139" s="87" t="s">
        <v>684</v>
      </c>
      <c r="C139" s="87"/>
      <c r="D139" s="87"/>
      <c r="E139" s="87"/>
      <c r="F139" s="87">
        <f t="shared" ref="F139:L139" si="1">SUM(F113:F136)</f>
        <v>1</v>
      </c>
      <c r="G139" s="87">
        <f t="shared" si="1"/>
        <v>5</v>
      </c>
      <c r="H139" s="87">
        <f t="shared" si="1"/>
        <v>0</v>
      </c>
      <c r="I139" s="87">
        <f t="shared" si="1"/>
        <v>10</v>
      </c>
      <c r="J139" s="87">
        <f t="shared" si="1"/>
        <v>0</v>
      </c>
      <c r="K139" s="87">
        <f t="shared" si="1"/>
        <v>8</v>
      </c>
      <c r="L139" s="87">
        <f t="shared" si="1"/>
        <v>0</v>
      </c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>
        <f>SUM(Y113:Y136)</f>
        <v>22</v>
      </c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</row>
    <row r="142" spans="1:43" s="40" customFormat="1">
      <c r="A142" s="39"/>
      <c r="E142" s="39"/>
      <c r="F142" s="43"/>
      <c r="G142" s="39"/>
      <c r="H142" s="39"/>
      <c r="I142" s="39"/>
      <c r="J142" s="39"/>
      <c r="K142" s="39"/>
      <c r="L142" s="39"/>
      <c r="M142" s="39"/>
      <c r="N142" s="43" t="s">
        <v>936</v>
      </c>
      <c r="S142" s="43"/>
      <c r="T142" s="39"/>
      <c r="U142" s="39"/>
      <c r="V142" s="39"/>
      <c r="X142" s="43"/>
      <c r="Y142" s="39"/>
      <c r="Z142" s="43"/>
      <c r="AA142" s="39"/>
      <c r="AB142" s="43"/>
      <c r="AC142" s="39"/>
      <c r="AD142" s="39"/>
      <c r="AE142" s="39"/>
      <c r="AF142" s="43"/>
      <c r="AG142" s="39"/>
      <c r="AH142" s="39"/>
      <c r="AI142" s="43"/>
      <c r="AJ142" s="39"/>
      <c r="AK142" s="43"/>
      <c r="AL142" s="39"/>
      <c r="AM142" s="39"/>
      <c r="AQ142" s="39"/>
    </row>
    <row r="143" spans="1:43" s="40" customFormat="1">
      <c r="A143" s="39"/>
      <c r="B143" s="40" t="s">
        <v>18</v>
      </c>
      <c r="C143" s="40" t="s">
        <v>19</v>
      </c>
      <c r="E143" s="39"/>
      <c r="F143" s="40" t="s">
        <v>20</v>
      </c>
      <c r="M143" s="39"/>
      <c r="N143" s="43"/>
      <c r="O143" s="43"/>
      <c r="S143" s="43"/>
      <c r="T143" s="39"/>
      <c r="U143" s="39"/>
      <c r="V143" s="39"/>
      <c r="X143" s="43"/>
      <c r="Y143" s="39"/>
      <c r="Z143" s="43"/>
      <c r="AA143" s="39"/>
      <c r="AB143" s="43"/>
      <c r="AC143" s="39" t="s">
        <v>21</v>
      </c>
      <c r="AD143" s="39"/>
      <c r="AE143" s="39"/>
      <c r="AF143" s="43"/>
      <c r="AG143" s="39"/>
      <c r="AH143" s="39"/>
      <c r="AI143" s="43"/>
      <c r="AJ143" s="39"/>
      <c r="AK143" s="43"/>
      <c r="AL143" s="39"/>
      <c r="AM143" s="39"/>
      <c r="AN143" s="39" t="s">
        <v>24</v>
      </c>
      <c r="AO143" s="39"/>
      <c r="AQ143" s="39"/>
    </row>
    <row r="144" spans="1:43" s="50" customFormat="1" ht="17" thickBot="1">
      <c r="A144" s="48"/>
      <c r="B144" s="50" t="s">
        <v>25</v>
      </c>
      <c r="C144" s="50" t="s">
        <v>25</v>
      </c>
      <c r="E144" s="48"/>
      <c r="F144" s="50" t="s">
        <v>26</v>
      </c>
      <c r="G144" s="50" t="s">
        <v>27</v>
      </c>
      <c r="H144" s="50" t="s">
        <v>28</v>
      </c>
      <c r="I144" s="50" t="s">
        <v>29</v>
      </c>
      <c r="J144" s="48" t="s">
        <v>14</v>
      </c>
      <c r="K144" s="50" t="s">
        <v>24</v>
      </c>
      <c r="L144" s="50" t="s">
        <v>30</v>
      </c>
      <c r="M144" s="48"/>
      <c r="N144" s="52" t="s">
        <v>31</v>
      </c>
      <c r="O144" s="52" t="s">
        <v>954</v>
      </c>
      <c r="P144" s="50" t="s">
        <v>32</v>
      </c>
      <c r="Q144" s="50" t="s">
        <v>33</v>
      </c>
      <c r="R144" s="50" t="s">
        <v>34</v>
      </c>
      <c r="S144" s="52" t="s">
        <v>35</v>
      </c>
      <c r="T144" s="52" t="s">
        <v>36</v>
      </c>
      <c r="U144" s="52"/>
      <c r="V144" s="48"/>
      <c r="W144" s="50" t="s">
        <v>37</v>
      </c>
      <c r="X144" s="52" t="s">
        <v>38</v>
      </c>
      <c r="Y144" s="48" t="s">
        <v>39</v>
      </c>
      <c r="Z144" s="52" t="s">
        <v>40</v>
      </c>
      <c r="AA144" s="48" t="s">
        <v>39</v>
      </c>
      <c r="AB144" s="52" t="s">
        <v>21</v>
      </c>
      <c r="AC144" s="48" t="s">
        <v>41</v>
      </c>
      <c r="AD144" s="48" t="s">
        <v>39</v>
      </c>
      <c r="AE144" s="48" t="s">
        <v>246</v>
      </c>
      <c r="AF144" s="52" t="s">
        <v>22</v>
      </c>
      <c r="AG144" s="48" t="s">
        <v>39</v>
      </c>
      <c r="AH144" s="48" t="s">
        <v>43</v>
      </c>
      <c r="AI144" s="52" t="s">
        <v>44</v>
      </c>
      <c r="AJ144" s="48" t="s">
        <v>39</v>
      </c>
      <c r="AK144" s="52" t="s">
        <v>23</v>
      </c>
      <c r="AL144" s="48" t="s">
        <v>39</v>
      </c>
      <c r="AM144" s="48" t="s">
        <v>42</v>
      </c>
      <c r="AN144" s="48" t="s">
        <v>45</v>
      </c>
      <c r="AO144" s="50" t="s">
        <v>39</v>
      </c>
      <c r="AP144" s="48" t="s">
        <v>42</v>
      </c>
      <c r="AQ144" s="48"/>
    </row>
    <row r="145" spans="1:43">
      <c r="A145" s="214"/>
      <c r="E145" s="214"/>
      <c r="M145" s="214"/>
      <c r="N145" s="22" t="s">
        <v>49</v>
      </c>
      <c r="O145" s="22" t="s">
        <v>944</v>
      </c>
      <c r="P145" s="22" t="s">
        <v>902</v>
      </c>
      <c r="Q145" s="22" t="s">
        <v>128</v>
      </c>
      <c r="R145" s="22" t="s">
        <v>129</v>
      </c>
      <c r="S145" s="22" t="s">
        <v>875</v>
      </c>
      <c r="T145" s="22" t="s">
        <v>901</v>
      </c>
      <c r="V145" s="214"/>
      <c r="W145" s="36" t="s">
        <v>920</v>
      </c>
      <c r="AQ145" s="214"/>
    </row>
    <row r="146" spans="1:43">
      <c r="A146" s="214"/>
      <c r="E146" s="214"/>
      <c r="M146" s="214"/>
      <c r="N146" s="22" t="s">
        <v>49</v>
      </c>
      <c r="O146" s="22" t="s">
        <v>945</v>
      </c>
      <c r="P146" s="22" t="s">
        <v>903</v>
      </c>
      <c r="Q146" s="22" t="s">
        <v>565</v>
      </c>
      <c r="R146" s="22" t="s">
        <v>566</v>
      </c>
      <c r="S146" s="22">
        <v>960</v>
      </c>
      <c r="T146" s="22" t="s">
        <v>885</v>
      </c>
      <c r="V146" s="214"/>
      <c r="W146" s="36" t="s">
        <v>921</v>
      </c>
      <c r="AQ146" s="214"/>
    </row>
    <row r="147" spans="1:43">
      <c r="A147" s="214"/>
      <c r="E147" s="214"/>
      <c r="M147" s="214"/>
      <c r="N147" s="22" t="s">
        <v>49</v>
      </c>
      <c r="O147" s="22" t="s">
        <v>946</v>
      </c>
      <c r="P147" s="22" t="s">
        <v>904</v>
      </c>
      <c r="Q147" s="22" t="s">
        <v>878</v>
      </c>
      <c r="R147" s="22" t="s">
        <v>56</v>
      </c>
      <c r="S147" s="22">
        <v>78254</v>
      </c>
      <c r="T147" s="22" t="s">
        <v>886</v>
      </c>
      <c r="V147" s="214"/>
      <c r="W147" s="36" t="s">
        <v>922</v>
      </c>
      <c r="AQ147" s="214"/>
    </row>
    <row r="148" spans="1:43">
      <c r="A148" s="214"/>
      <c r="E148" s="214"/>
      <c r="M148" s="214"/>
      <c r="N148" s="22" t="s">
        <v>49</v>
      </c>
      <c r="O148" s="22" t="s">
        <v>947</v>
      </c>
      <c r="P148" s="22" t="s">
        <v>916</v>
      </c>
      <c r="Q148" s="22" t="s">
        <v>128</v>
      </c>
      <c r="R148" s="22" t="s">
        <v>129</v>
      </c>
      <c r="S148" s="22">
        <v>65802</v>
      </c>
      <c r="T148" s="22" t="s">
        <v>887</v>
      </c>
      <c r="V148" s="214"/>
      <c r="W148" s="36" t="s">
        <v>923</v>
      </c>
      <c r="AQ148" s="214"/>
    </row>
    <row r="149" spans="1:43">
      <c r="A149" s="214"/>
      <c r="E149" s="214"/>
      <c r="M149" s="214"/>
      <c r="N149" s="22" t="s">
        <v>49</v>
      </c>
      <c r="O149" s="36" t="s">
        <v>937</v>
      </c>
      <c r="P149" s="22" t="s">
        <v>917</v>
      </c>
      <c r="Q149" s="22" t="s">
        <v>128</v>
      </c>
      <c r="R149" s="22" t="s">
        <v>129</v>
      </c>
      <c r="S149" s="22">
        <v>65804</v>
      </c>
      <c r="T149" s="22" t="s">
        <v>888</v>
      </c>
      <c r="V149" s="214"/>
      <c r="W149" s="36" t="s">
        <v>924</v>
      </c>
      <c r="AQ149" s="214"/>
    </row>
    <row r="150" spans="1:43">
      <c r="A150" s="214"/>
      <c r="E150" s="214"/>
      <c r="M150" s="214"/>
      <c r="N150" s="22" t="s">
        <v>49</v>
      </c>
      <c r="O150" s="22" t="s">
        <v>948</v>
      </c>
      <c r="P150" s="22" t="s">
        <v>905</v>
      </c>
      <c r="Q150" s="22" t="s">
        <v>879</v>
      </c>
      <c r="R150" s="22" t="s">
        <v>437</v>
      </c>
      <c r="S150" s="22" t="s">
        <v>876</v>
      </c>
      <c r="T150" s="22" t="s">
        <v>889</v>
      </c>
      <c r="V150" s="214"/>
      <c r="AQ150" s="214"/>
    </row>
    <row r="151" spans="1:43">
      <c r="A151" s="214"/>
      <c r="E151" s="214"/>
      <c r="M151" s="214"/>
      <c r="N151" s="22" t="s">
        <v>49</v>
      </c>
      <c r="O151" s="36" t="s">
        <v>938</v>
      </c>
      <c r="P151" s="22" t="s">
        <v>918</v>
      </c>
      <c r="Q151" s="22" t="s">
        <v>317</v>
      </c>
      <c r="R151" s="22" t="s">
        <v>300</v>
      </c>
      <c r="S151" s="22">
        <v>91746</v>
      </c>
      <c r="T151" s="22" t="s">
        <v>890</v>
      </c>
      <c r="V151" s="214"/>
      <c r="W151" s="36" t="s">
        <v>925</v>
      </c>
      <c r="AQ151" s="214"/>
    </row>
    <row r="152" spans="1:43">
      <c r="A152" s="214"/>
      <c r="E152" s="214"/>
      <c r="M152" s="214"/>
      <c r="N152" s="22" t="s">
        <v>49</v>
      </c>
      <c r="O152" s="22" t="s">
        <v>949</v>
      </c>
      <c r="P152" s="22" t="s">
        <v>906</v>
      </c>
      <c r="Q152" s="22" t="s">
        <v>880</v>
      </c>
      <c r="R152" s="22" t="s">
        <v>446</v>
      </c>
      <c r="S152" s="22">
        <v>28386</v>
      </c>
      <c r="T152" s="22" t="s">
        <v>891</v>
      </c>
      <c r="V152" s="214"/>
      <c r="W152" s="36" t="s">
        <v>926</v>
      </c>
      <c r="AQ152" s="214"/>
    </row>
    <row r="153" spans="1:43">
      <c r="A153" s="214"/>
      <c r="E153" s="214"/>
      <c r="M153" s="214"/>
      <c r="N153" s="22" t="s">
        <v>49</v>
      </c>
      <c r="O153" s="36" t="s">
        <v>939</v>
      </c>
      <c r="P153" s="22" t="s">
        <v>907</v>
      </c>
      <c r="Q153" s="22" t="s">
        <v>388</v>
      </c>
      <c r="R153" s="22" t="s">
        <v>389</v>
      </c>
      <c r="S153" s="22">
        <v>55404</v>
      </c>
      <c r="T153" s="22" t="s">
        <v>892</v>
      </c>
      <c r="V153" s="214"/>
      <c r="W153" s="36" t="s">
        <v>927</v>
      </c>
      <c r="AQ153" s="214"/>
    </row>
    <row r="154" spans="1:43">
      <c r="A154" s="214"/>
      <c r="E154" s="214"/>
      <c r="M154" s="214"/>
      <c r="N154" s="22" t="s">
        <v>49</v>
      </c>
      <c r="O154" s="22" t="s">
        <v>950</v>
      </c>
      <c r="P154" s="22" t="s">
        <v>908</v>
      </c>
      <c r="Q154" s="22" t="s">
        <v>881</v>
      </c>
      <c r="R154" s="22" t="s">
        <v>618</v>
      </c>
      <c r="S154" s="22">
        <v>1835</v>
      </c>
      <c r="T154" s="22" t="s">
        <v>893</v>
      </c>
      <c r="V154" s="214"/>
      <c r="W154" s="36" t="s">
        <v>928</v>
      </c>
      <c r="AQ154" s="214"/>
    </row>
    <row r="155" spans="1:43">
      <c r="A155" s="214"/>
      <c r="E155" s="214"/>
      <c r="M155" s="214"/>
      <c r="N155" s="22" t="s">
        <v>49</v>
      </c>
      <c r="O155" s="36" t="s">
        <v>940</v>
      </c>
      <c r="P155" s="22" t="s">
        <v>909</v>
      </c>
      <c r="Q155" s="22" t="s">
        <v>877</v>
      </c>
      <c r="R155" s="22" t="s">
        <v>510</v>
      </c>
      <c r="S155" s="22">
        <v>98033</v>
      </c>
      <c r="T155" s="22" t="s">
        <v>894</v>
      </c>
      <c r="V155" s="214"/>
      <c r="W155" s="36" t="s">
        <v>929</v>
      </c>
      <c r="AQ155" s="214"/>
    </row>
    <row r="156" spans="1:43">
      <c r="A156" s="214"/>
      <c r="E156" s="214"/>
      <c r="M156" s="214"/>
      <c r="N156" s="22" t="s">
        <v>49</v>
      </c>
      <c r="O156" s="22" t="s">
        <v>951</v>
      </c>
      <c r="P156" s="22" t="s">
        <v>910</v>
      </c>
      <c r="Q156" s="22" t="s">
        <v>550</v>
      </c>
      <c r="R156" s="22" t="s">
        <v>551</v>
      </c>
      <c r="S156" s="22">
        <v>33801</v>
      </c>
      <c r="T156" s="22" t="s">
        <v>895</v>
      </c>
      <c r="V156" s="214"/>
      <c r="W156" s="36" t="s">
        <v>930</v>
      </c>
      <c r="AQ156" s="214"/>
    </row>
    <row r="157" spans="1:43">
      <c r="A157" s="214"/>
      <c r="E157" s="214"/>
      <c r="M157" s="214"/>
      <c r="N157" s="22" t="s">
        <v>49</v>
      </c>
      <c r="O157" s="22" t="s">
        <v>952</v>
      </c>
      <c r="P157" s="22" t="s">
        <v>911</v>
      </c>
      <c r="Q157" s="22" t="s">
        <v>268</v>
      </c>
      <c r="R157" s="22" t="s">
        <v>269</v>
      </c>
      <c r="S157" s="22">
        <v>85021</v>
      </c>
      <c r="T157" s="22" t="s">
        <v>896</v>
      </c>
      <c r="V157" s="214"/>
      <c r="W157" s="36" t="s">
        <v>931</v>
      </c>
      <c r="AQ157" s="214"/>
    </row>
    <row r="158" spans="1:43">
      <c r="A158" s="214"/>
      <c r="E158" s="214"/>
      <c r="M158" s="214"/>
      <c r="N158" s="22" t="s">
        <v>49</v>
      </c>
      <c r="O158" s="22" t="s">
        <v>953</v>
      </c>
      <c r="P158" s="22" t="s">
        <v>912</v>
      </c>
      <c r="Q158" s="22" t="s">
        <v>464</v>
      </c>
      <c r="R158" s="22" t="s">
        <v>56</v>
      </c>
      <c r="S158" s="22">
        <v>75165</v>
      </c>
      <c r="T158" s="22" t="s">
        <v>897</v>
      </c>
      <c r="V158" s="214"/>
      <c r="W158" s="36" t="s">
        <v>932</v>
      </c>
      <c r="AQ158" s="214"/>
    </row>
    <row r="159" spans="1:43">
      <c r="A159" s="214"/>
      <c r="E159" s="214"/>
      <c r="M159" s="214"/>
      <c r="N159" s="22" t="s">
        <v>49</v>
      </c>
      <c r="O159" s="36" t="s">
        <v>942</v>
      </c>
      <c r="P159" s="22" t="s">
        <v>919</v>
      </c>
      <c r="Q159" s="22" t="s">
        <v>882</v>
      </c>
      <c r="R159" s="22" t="s">
        <v>456</v>
      </c>
      <c r="S159" s="22">
        <v>58436</v>
      </c>
      <c r="T159" s="22" t="s">
        <v>898</v>
      </c>
      <c r="V159" s="214"/>
      <c r="W159" s="36" t="s">
        <v>934</v>
      </c>
      <c r="AQ159" s="214"/>
    </row>
    <row r="160" spans="1:43">
      <c r="A160" s="214"/>
      <c r="E160" s="214"/>
      <c r="M160" s="214"/>
      <c r="N160" s="22" t="s">
        <v>49</v>
      </c>
      <c r="O160" s="22" t="s">
        <v>943</v>
      </c>
      <c r="P160" s="22" t="s">
        <v>913</v>
      </c>
      <c r="Q160" s="22" t="s">
        <v>883</v>
      </c>
      <c r="R160" s="22" t="s">
        <v>543</v>
      </c>
      <c r="S160" s="22">
        <v>19460</v>
      </c>
      <c r="T160" s="22" t="s">
        <v>899</v>
      </c>
      <c r="V160" s="214"/>
      <c r="W160" s="36" t="s">
        <v>933</v>
      </c>
      <c r="AQ160" s="214"/>
    </row>
    <row r="161" spans="1:43">
      <c r="A161" s="214"/>
      <c r="E161" s="214"/>
      <c r="M161" s="214"/>
      <c r="N161" s="22" t="s">
        <v>49</v>
      </c>
      <c r="O161" s="36" t="s">
        <v>941</v>
      </c>
      <c r="P161" s="22" t="s">
        <v>914</v>
      </c>
      <c r="Q161" s="22" t="s">
        <v>884</v>
      </c>
      <c r="R161" s="22" t="s">
        <v>300</v>
      </c>
      <c r="S161" s="22">
        <v>92626</v>
      </c>
      <c r="T161" s="22" t="s">
        <v>900</v>
      </c>
      <c r="V161" s="214"/>
      <c r="W161" s="36" t="s">
        <v>935</v>
      </c>
      <c r="AQ161" s="214"/>
    </row>
  </sheetData>
  <sortState xmlns:xlrd2="http://schemas.microsoft.com/office/spreadsheetml/2017/richdata2" ref="A38:YB102">
    <sortCondition ref="O38:O102"/>
    <sortCondition ref="Q38:Q102"/>
  </sortState>
  <hyperlinks>
    <hyperlink ref="X25" r:id="rId1" display="mailto:GeneralSuperintendent@ag.org" xr:uid="{E2733B70-D520-CA4A-AED8-B3ADE438E5AC}"/>
    <hyperlink ref="AB25" r:id="rId2" display="https://twitter.com/@DougClay" xr:uid="{CBB60A63-CC39-BA4C-9A75-439D04097109}"/>
    <hyperlink ref="AF25" r:id="rId3" display="https://www.facebook.com/DougClayAG" xr:uid="{67643B21-8714-2E46-9010-7341226B72EA}"/>
    <hyperlink ref="W38" r:id="rId4" xr:uid="{9C98FFFB-F1D9-374B-AD11-AB8BDFBD3F38}"/>
    <hyperlink ref="W39" r:id="rId5" display="http://www.akministrynetwork.org/" xr:uid="{CCF805C8-472B-3A47-A6D1-58A1BC83FFAE}"/>
    <hyperlink ref="X39" r:id="rId6" display="mailto:billwelch@alaskaag.org" xr:uid="{DD435C8C-6AAE-5343-B1C7-A6C55D3638D2}"/>
    <hyperlink ref="W40" r:id="rId7" display="http://www.appag.net/" xr:uid="{6260653C-7DEF-814E-A37D-07C2BC8B3DFB}"/>
    <hyperlink ref="X40" r:id="rId8" display="mailto:lana_2@suddenlinkmail.com" xr:uid="{1351D210-D112-8B47-A7A5-3B5C8941DCFA}"/>
    <hyperlink ref="W41" r:id="rId9" display="http://www.azag.org/" xr:uid="{75230A10-959F-954F-A28C-7F902D928A92}"/>
    <hyperlink ref="Z41" r:id="rId10" display="mailto:lmetcalf@azag.org" xr:uid="{C4000E1C-58F2-1642-BC4E-4EB5142B31D7}"/>
    <hyperlink ref="O41" r:id="rId11" display="http://www.gccaz.org/" xr:uid="{81997926-394F-CE41-B180-B40EF9D3201E}"/>
    <hyperlink ref="X41" r:id="rId12" xr:uid="{575F8931-22CB-4246-AA8F-96CB381C2760}"/>
    <hyperlink ref="W42" r:id="rId13" display="http://www.araog.org/" xr:uid="{D7359C9B-EA1C-FA40-8C66-F57DEC3311EF}"/>
    <hyperlink ref="X42" r:id="rId14" display="mailto:crussell@araog.org" xr:uid="{270D2A7C-0054-8D4D-9F37-1D6B1619A127}"/>
    <hyperlink ref="W43" r:id="rId15" display="http://www.agkansas.com/" xr:uid="{891705FA-061D-6244-925A-557029693BF1}"/>
    <hyperlink ref="Z43" r:id="rId16" display="mailto:robin@agkansas.com" xr:uid="{E34A5864-D198-5642-B6E8-75BBFAB5A43E}"/>
    <hyperlink ref="X43" r:id="rId17" display="mailto:tly@agkansas.com" xr:uid="{6063D25E-2961-E44F-ACC1-B8B17835E5CE}"/>
    <hyperlink ref="O46" r:id="rId18" display="https://ag.org/church?g=f6111266-42ed-4d47-b348-f2b076c208bb&amp;d=False" xr:uid="{C3909771-116B-1247-9D24-799180C82A30}"/>
    <hyperlink ref="W46" r:id="rId19" display="http://www.cpmnag.org/" xr:uid="{68D5BE4C-486E-F844-B127-36420AE7EDAD}"/>
    <hyperlink ref="X46" r:id="rId20" display="mailto:admin@cpmnag.org" xr:uid="{698D9B08-4F5F-4445-8B55-69E91E934361}"/>
    <hyperlink ref="W82" r:id="rId21" xr:uid="{8AE5D769-C9C0-6144-95A7-C0E003C47748}"/>
    <hyperlink ref="N82" r:id="rId22" tooltip="Rich Guerra" display="http://socalnetwork.org/rich-guerra/" xr:uid="{F70EBBE8-7174-9949-9CC4-B7B9DF0F42B9}"/>
    <hyperlink ref="B82" r:id="rId23" tooltip="Rich Guerra" display="http://socalnetwork.org/rich-guerra/" xr:uid="{75A0B1E8-DA91-7E44-9E3D-D3260DFFC5FA}"/>
    <hyperlink ref="X82" r:id="rId24" display="mailto:rguerra@socalnetwork.org" xr:uid="{9854284A-4747-3649-8B4E-CF4BA1DD9D17}"/>
    <hyperlink ref="W92" r:id="rId25" display="http://www.spdag.org/" xr:uid="{27A64C41-0BAB-0043-B92A-892D07161AB9}"/>
    <hyperlink ref="X92" r:id="rId26" display="mailto:snavarrete@spdag.org" xr:uid="{FA4A0A22-6F0A-E045-940C-B846F2EFE35F}"/>
    <hyperlink ref="W49" r:id="rId27" display="http://www.hawaiiaog.com/" xr:uid="{7490D3A8-59DC-3941-AF4A-374C4F7EE5BB}"/>
    <hyperlink ref="X49" r:id="rId28" display="mailto:hawaiiaog@gmail.com" xr:uid="{2285D31E-5F2D-7D4D-BC39-227929E7A7AC}"/>
    <hyperlink ref="W50" r:id="rId29" display="http://www.idcag.org/" xr:uid="{A1E6EE2A-29DA-EF4A-B436-BAD40B8AA3A5}"/>
    <hyperlink ref="X50" r:id="rId30" display="mailto:idcstaff@idcag.org" xr:uid="{26636496-25E2-6C41-B8EF-B39E9C23C34C}"/>
    <hyperlink ref="W51" r:id="rId31" display="http://www.indianaag.org/" xr:uid="{37366998-11C9-5F45-AC3B-16F335CA6374}"/>
    <hyperlink ref="X52" r:id="rId32" xr:uid="{E3AA6D3E-F4E2-D44D-A7B1-52BDF4F4CAF1}"/>
    <hyperlink ref="T52" r:id="rId33" display="mailto:guy@imnag.org" xr:uid="{32CA0D4B-8B94-8048-81F6-B438FB747886}"/>
    <hyperlink ref="Z52" r:id="rId34" display="mailto:cwielenga@imnag.org" xr:uid="{0513DBC0-127B-4A4F-8AAC-79510893E9B4}"/>
    <hyperlink ref="W52" r:id="rId35" display="http://www.imnag.org/" xr:uid="{28FAD4C1-C875-8D41-AAE3-035935DF63D9}"/>
    <hyperlink ref="W53" r:id="rId36" display="http://www.kyag.org/" xr:uid="{FE805B81-55EC-3943-BA30-93EC1793FD92}"/>
    <hyperlink ref="X53" r:id="rId37" display="mailto:kyagdc@gmail.com" xr:uid="{A93C3F97-A6EE-4847-A303-94F1E316EF79}"/>
    <hyperlink ref="W55" r:id="rId38" display="http://www.laaog.org/" xr:uid="{D0D1D0A7-5F50-2549-8135-B109DDE2284F}"/>
    <hyperlink ref="X55" r:id="rId39" display="mailto:info@laaog.org" xr:uid="{0973B01B-831F-0448-8EA7-FAD9F68BFFBA}"/>
    <hyperlink ref="X56" r:id="rId40" display="mailto:lnagle@aogmi.org" xr:uid="{E5FA834F-4E0D-0147-9274-98E27EFE731B}"/>
    <hyperlink ref="W58" r:id="rId41" xr:uid="{73D4A209-63A6-FD4D-A74C-F4E111500F23}"/>
    <hyperlink ref="Z58" r:id="rId42" display="mailto:jfilbeck@mnaog.org" xr:uid="{C5D2F789-A67D-C24E-9F5D-3184D74E00B7}"/>
    <hyperlink ref="W59" r:id="rId43" display="http://www.msaog.org/" xr:uid="{C8A8401C-54F6-4347-B2E2-B68828DBAA07}"/>
    <hyperlink ref="X59" r:id="rId44" display="mailto:dyoungblood@msaog.org" xr:uid="{18B9E291-A4CE-3240-863A-9560E8EB0A31}"/>
    <hyperlink ref="W60" r:id="rId45" display="http://www.montanaministrynetwork.com/" xr:uid="{E9AFDA94-8A8E-E749-A6F2-694A20022FF4}"/>
    <hyperlink ref="W61" r:id="rId46" display="http://www.neag.org/" xr:uid="{118D82BC-B68D-2C4B-85E9-FC3C99BA92DC}"/>
    <hyperlink ref="X61" r:id="rId47" display="mailto:terryleebrown@yahoo.com" xr:uid="{4DC45311-508E-8545-A8FD-3AEFC158F65D}"/>
    <hyperlink ref="W62" r:id="rId48" display="http://www.njag.org/" xr:uid="{0E967DB5-2CC7-4544-ABB2-64FC630484FD}"/>
    <hyperlink ref="Z62" r:id="rId49" display="mailto:njdcexecsec@njag.org" xr:uid="{FD45DC25-B926-AF48-972F-4416CD80BA96}"/>
    <hyperlink ref="W63" r:id="rId50" display="http://www.nmministry.net/" xr:uid="{530F72BF-C4EE-8745-ADC3-2A7EB3647BB8}"/>
    <hyperlink ref="X63" r:id="rId51" display="mailto:dcummins@nmministry.net" xr:uid="{48F56FA9-F6AF-C64D-AEDB-FE301E6D0273}"/>
    <hyperlink ref="O64" r:id="rId52" display="https://ag.org/church?g=b233f1f7-5d84-4eb6-8150-3363362a1bd9&amp;d=False" xr:uid="{A02B7C6E-D275-4B44-9695-4F626E1F66FB}"/>
    <hyperlink ref="W64" r:id="rId53" display="http://www.nyministrynetwork.org/" xr:uid="{58C316B7-A8C8-8B49-90FB-6912D03DF215}"/>
    <hyperlink ref="X64" r:id="rId54" display="mailto:gendeliv@nyministrynetwork.org" xr:uid="{3E15CBB6-B3A4-4141-AF9D-013F23B04F52}"/>
    <hyperlink ref="W65" r:id="rId55" display="http://www.ncag.org/" xr:uid="{73E61CF7-AC61-0D41-932E-7833C4E241B4}"/>
    <hyperlink ref="W66" r:id="rId56" display="http://www.nddcag.com/" xr:uid="{776F34D8-10F6-E643-B8C5-EDBAE8A810FD}"/>
    <hyperlink ref="X66" r:id="rId57" display="mailto:wtitus@nddcag.org" xr:uid="{CEFB3C96-2EBE-544A-8305-CEEE4B49B4C9}"/>
    <hyperlink ref="X67" r:id="rId58" display="mailto:dthompson@northtexas.ag" xr:uid="{B6C0B7CB-2416-B44A-8E49-49CD44CF149F}"/>
    <hyperlink ref="W67" r:id="rId59" display="mailto:dthompson@northtexas.ag" xr:uid="{F9EDB5C4-FF2D-7242-BCE9-0E9B7833D7D4}"/>
    <hyperlink ref="W87" r:id="rId60" display="http://www.stxag.org/" xr:uid="{4CF56EB9-6261-E14D-ABB7-2A0A391BD29F}"/>
    <hyperlink ref="X87" r:id="rId61" display="mailto:kauleen@stxag.org" xr:uid="{69A1F815-4E7E-5341-8DE9-761B82F7321C}"/>
    <hyperlink ref="W100" r:id="rId62" display="http://www.wtaog.org/" xr:uid="{43DAA986-222E-EF47-B283-9A26ECE4BE34}"/>
    <hyperlink ref="X100" r:id="rId63" display="mailto:wtdistag@sbcglobal.net" xr:uid="{E127A007-92F1-A640-BC0E-735647753EA2}"/>
    <hyperlink ref="W68" r:id="rId64" xr:uid="{C210E70C-F187-6840-955D-A1E441CE89C4}"/>
    <hyperlink ref="W69" r:id="rId65" display="http://www.nomoag.org/" xr:uid="{6E9C7714-AABA-1148-88EF-FF7D1FA9A0DD}"/>
    <hyperlink ref="B69" r:id="rId66" display="mailto:pastoray@nomoag.org" xr:uid="{F6764E06-C057-D444-9506-9645E64BAEE3}"/>
    <hyperlink ref="O70" r:id="rId67" display="https://ag.org/church?g=79f75df7-2672-4cb4-8aa8-8d395126a7dd&amp;d=False" xr:uid="{FCEFD2B6-F570-8543-9753-CF0D70ED367B}"/>
    <hyperlink ref="W70" r:id="rId68" xr:uid="{1709394F-C476-D746-AE0B-F6EFBC1F2D41}"/>
    <hyperlink ref="X70" r:id="rId69" display="mailto:nneddm@maine.rr.com" xr:uid="{E64DC2BB-1742-304E-ACC4-03BE4B32CB45}"/>
    <hyperlink ref="W72" r:id="rId70" display="http://www.nwministry.com/" xr:uid="{A5A2349C-86F1-F94A-BB23-67CF21352D27}"/>
    <hyperlink ref="X72" r:id="rId71" display="mailto:dond@northwestministry.com" xr:uid="{63662A89-A1A5-9447-9878-F236934D7DAF}"/>
    <hyperlink ref="W73" r:id="rId72" display="http://www.ohioministry.net/" xr:uid="{665078E3-0B62-1B44-95B6-B85E733053ED}"/>
    <hyperlink ref="W74" r:id="rId73" display="http://www.okag.org/" xr:uid="{8612D84B-3124-7A41-AA9E-8288279CE02C}"/>
    <hyperlink ref="X74" r:id="rId74" display="mailto:frank.cargill@okag.org" xr:uid="{7395584A-E8C9-8C4B-AB10-2FE9C4688A18}"/>
    <hyperlink ref="W75" r:id="rId75" display="http://www.oregonag.org/" xr:uid="{86A7D2D4-374E-414A-B3AB-3768E9DD6C34}"/>
    <hyperlink ref="X75" r:id="rId76" display="mailto:info@oregonag.org" xr:uid="{7FCC2E6E-5BDF-0D48-BD1A-4B06430BB705}"/>
    <hyperlink ref="O77" r:id="rId77" display="https://ag.org/church?g=bcd43bf9-6d5b-489d-ad2d-773b665d9e84&amp;d=False" xr:uid="{461BFC3F-AC0B-164F-9E90-6C6CB18C385F}"/>
    <hyperlink ref="W77" r:id="rId78" display="http://www.penndel.org/" xr:uid="{7948C622-551C-6141-A977-4E4653326A73}"/>
    <hyperlink ref="X77" r:id="rId79" display="mailto:don@penndel.org" xr:uid="{E81B38C3-1E1C-C144-814F-5807EC8D6CEF}"/>
    <hyperlink ref="W76" r:id="rId80" display="http://www.penflorida.org/" xr:uid="{234B0E12-6841-A04C-ADE1-824D53C660B4}"/>
    <hyperlink ref="X76" r:id="rId81" display="mailto:districtsecretary@penflorida.org" xr:uid="{17748BEF-5C65-F34E-BDF3-124003E5AAE9}"/>
    <hyperlink ref="Z78" r:id="rId82" display="mailto:bpucher@potomacag.org" xr:uid="{7D180118-464B-3549-9748-7759F3D630BA}"/>
    <hyperlink ref="W78" r:id="rId83" display="http://www.potomacag.org/" xr:uid="{29F6B8DB-5E0F-754D-BE3D-CB697F5FA8FB}"/>
    <hyperlink ref="O79" r:id="rId84" display="https://ag.org/church?g=69ae82cc-0a6b-47b0-a90e-6d791835e094&amp;d=False" xr:uid="{09479B3C-E4D8-CE4D-95D0-C0FA95F8CCAE}"/>
    <hyperlink ref="X79" r:id="rId85" xr:uid="{BD05DDC7-5725-7843-AF7F-437A2565A489}"/>
    <hyperlink ref="W80" r:id="rId86" display="http://rmdc.org/" xr:uid="{3DCD1542-ADB9-4241-A3D0-5F8B593BA227}"/>
    <hyperlink ref="X80" r:id="rId87" display="mailto:randy@rmdc.org" xr:uid="{63B853F8-2E6D-FB42-A6C4-51EF78C034D7}"/>
    <hyperlink ref="W83" r:id="rId88" xr:uid="{EB8DB577-500D-1947-B45C-C2C6CD1EE0A5}"/>
    <hyperlink ref="X83" r:id="rId89" display="mailto:info@ag4sc.com" xr:uid="{10735356-D37B-3444-B0AA-243302CE680D}"/>
    <hyperlink ref="W85" r:id="rId90" display="http://www.sdag.org/" xr:uid="{1D653261-CFFF-2341-818D-B9515E9B8A7D}"/>
    <hyperlink ref="W88" r:id="rId91" display="http://www.simnag.org/" xr:uid="{B0FAB20B-3958-994E-9C79-0ACE0D29B968}"/>
    <hyperlink ref="W90" r:id="rId92" display="http://www.somoag.org/" xr:uid="{F664772D-4CBF-5D42-9B9B-1BF574B45095}"/>
    <hyperlink ref="X90" r:id="rId93" display="mailto:trickman@somoag.org" xr:uid="{B56E904D-4D42-524F-8C20-9276B1FBC4D5}"/>
    <hyperlink ref="W91" r:id="rId94" xr:uid="{D3AF7EED-889B-E24D-8433-B47380AF8C9C}"/>
    <hyperlink ref="X91" r:id="rId95" display="mailto:paul@snemn.com" xr:uid="{6F6C4506-7F2B-7C40-AE21-8E5EFCA48DCB}"/>
    <hyperlink ref="W93" r:id="rId96" display="http://www.swdistrict.com/" xr:uid="{79DCB051-8F90-5D4B-BAD0-439185168D8E}"/>
    <hyperlink ref="W95" r:id="rId97" display="http://www.tnaog.org/" xr:uid="{20B56BD7-ED0A-A042-8077-513DC71A2D46}"/>
    <hyperlink ref="X95" r:id="rId98" display="mailto:tbailey@tnaog.org" xr:uid="{A4497410-7D21-4B4C-9702-D004B8271794}"/>
    <hyperlink ref="W99" r:id="rId99" xr:uid="{26E83554-0B50-794A-A632-FA25A30E8327}"/>
    <hyperlink ref="X99" r:id="rId100" display="mailto:supt@wtapag.org" xr:uid="{E07BBFA5-A2E0-F548-8177-BA1D2823E125}"/>
    <hyperlink ref="W101" r:id="rId101" display="http://www.wnmdag.org/" xr:uid="{24346EB1-2A4D-814B-AD96-E5B4980115A2}"/>
    <hyperlink ref="B101" r:id="rId102" display="http://www.wnmdag.org/index.php/about/leadership-team/network-staff?view=employee&amp;id=18" xr:uid="{06D01A83-938F-3B49-B372-8F97980F760F}"/>
    <hyperlink ref="X101" r:id="rId103" display="mailto:suptofc@wnmdag.org" xr:uid="{C02E26EC-3EE1-E348-AC0D-2A9D58360291}"/>
    <hyperlink ref="W102" r:id="rId104" display="https://www.wyomingministrynetwork.com/" xr:uid="{A487BEA3-C6B9-F143-9DEC-69270F85531C}"/>
    <hyperlink ref="X102" r:id="rId105" display="mailto:office@wyaog.com" xr:uid="{0FD8EF92-13EB-BA4D-A4E3-E60FFC1B15F2}"/>
    <hyperlink ref="W48" r:id="rId106" display="http://www.gadistag.org/" xr:uid="{6A5E3D02-A3F8-1040-B334-B8F2960103AE}"/>
    <hyperlink ref="X48" r:id="rId107" display="mailto:PhilWall@gadistag.org" xr:uid="{5B24E8BF-767C-1C4A-AC37-D64427A665DF}"/>
    <hyperlink ref="W98" r:id="rId108" display="http://wfldag.org/" xr:uid="{A83538F8-EE15-EF4F-89C6-1007691147DE}"/>
    <hyperlink ref="W47" r:id="rId109" xr:uid="{46960D50-069F-4140-90D7-2BA77074C9B3}"/>
    <hyperlink ref="X47" r:id="rId110" display="mailto:supsec@fmdag.org" xr:uid="{70A784A8-95A6-6A43-BB36-C24DF3BC6056}"/>
    <hyperlink ref="W96" r:id="rId111" xr:uid="{AEF2E4D5-48CA-EF4A-A390-F7EEA93D852D}"/>
    <hyperlink ref="X96" r:id="rId112" display="mailto:eddiedlr2000@yahoo.com" xr:uid="{5A39862E-0AA2-6E4E-8571-05639EDFCCBB}"/>
    <hyperlink ref="W54" r:id="rId113" display="http://www.agkdc.org/" xr:uid="{18237CB3-55D9-C646-B4D4-49007ECBF8B9}"/>
    <hyperlink ref="X54" r:id="rId114" display="mailto:agkoreandistrict@gmail.com" xr:uid="{690BCC08-A1A5-B143-AA22-382B1685B9DC}"/>
    <hyperlink ref="W57" r:id="rId115" display="http://www.mdcag.org/" xr:uid="{F02AD881-B82A-A740-9AB1-AB20B2ACBD66}"/>
    <hyperlink ref="W71" r:id="rId116" display="http://www.nhdistrict.org/" xr:uid="{3E733117-46FB-5E44-A974-25CE77F3BBC0}"/>
    <hyperlink ref="X71" r:id="rId117" display="mailto:admin@nhdistrict.org" xr:uid="{00DA2EE6-AD5A-8445-8DC6-9CD63C5C04C1}"/>
    <hyperlink ref="W86" r:id="rId118" display="http://www.agskdc.org/" xr:uid="{526F5C30-297A-FC42-A7A7-AF399F1C7B74}"/>
    <hyperlink ref="X86" r:id="rId119" display="mailto:agskdc@gmail.com" xr:uid="{FF7EC35D-D469-024D-9B04-336927FCBBD1}"/>
    <hyperlink ref="W84" r:id="rId120" display="http://www.schdag.org/" xr:uid="{80310ECC-017D-8A44-9F3E-06264FC5EA52}"/>
    <hyperlink ref="X84" r:id="rId121" display="mailto:schd.sec@gmail.com" xr:uid="{C3A3BDBC-E7D2-DD45-908A-0151EEA1E7DC}"/>
    <hyperlink ref="X89" r:id="rId122" display="mailto:edossantos@sldag.org" xr:uid="{492408B8-6D4F-7C48-B7A9-ACFC942C7312}"/>
    <hyperlink ref="W89" r:id="rId123" display="http://sldag.org/" xr:uid="{2FCAE576-1667-A248-A220-5BE066AA5325}"/>
    <hyperlink ref="W94" r:id="rId124" display="http://www.sedag.org/" xr:uid="{04B9C7CF-FD65-284B-9D36-ADCC0B435FBD}"/>
    <hyperlink ref="Z94" r:id="rId125" display="mailto:smartinez@sedag.org" xr:uid="{B6653266-8165-5B41-8CBD-05C38CA98C41}"/>
    <hyperlink ref="X94" r:id="rId126" display="mailto:malvarez@sedag.org" xr:uid="{AC429478-9968-5C4D-B41C-23FFF6CFD4D3}"/>
    <hyperlink ref="W97" r:id="rId127" display="http://www.txlahispanic.org/" xr:uid="{639CE238-A64E-9343-8AD7-AB300CEAA4F0}"/>
    <hyperlink ref="X97" r:id="rId128" display="mailto:txlahisdistrict@gmail.com" xr:uid="{235A4AE2-7C33-B147-836D-B9848B209D2A}"/>
    <hyperlink ref="W45" r:id="rId129" display="http://www.centraldistrictag.org/" xr:uid="{1B1B7ED5-12DC-C941-AE98-01E312BF66C4}"/>
    <hyperlink ref="X45" r:id="rId130" display="mailto:cladc@aol.com" xr:uid="{35C3707F-1656-7747-B280-A1051F618F9A}"/>
    <hyperlink ref="X44" r:id="rId131" display="mailto:secretaria@confradeb.org" xr:uid="{436ED88E-B7BF-1944-9F73-3EDAA836CDBE}"/>
    <hyperlink ref="X113" r:id="rId132" display="mailto:samasiedu@optimum.net" xr:uid="{C5B7E728-64D2-D94D-B3D5-806B1695DDBA}"/>
    <hyperlink ref="X114" r:id="rId133" display="mailto:araboutreach1@juno.com" xr:uid="{4995E16D-BEC3-D54F-9880-8A76E83D98A4}"/>
    <hyperlink ref="X115" r:id="rId134" display="mailto:pastorharvey@parklawn.org" xr:uid="{F62D0581-4A77-7F4F-92B2-076744956BF8}"/>
    <hyperlink ref="X116" r:id="rId135" display="mailto:" xr:uid="{B4C3A078-8EC3-B948-9305-D9071EC7DF53}"/>
    <hyperlink ref="X117" r:id="rId136" display="mailto:jason75free@yahoo.com" xr:uid="{7608D21A-FC96-0248-B8E7-285810E3F64F}"/>
    <hyperlink ref="X118" r:id="rId137" display="mailto:ekdively@gmail.com" xr:uid="{0ADD81B0-80D2-CA42-A779-4C27E031FCBD}"/>
    <hyperlink ref="X119" r:id="rId138" display="mailto:haligaz@gmail.com" xr:uid="{48FEFFBA-5463-0140-A341-1D47F46D5237}"/>
    <hyperlink ref="X120" r:id="rId139" display="mailto:inosibatibasaga@yahoo.com" xr:uid="{C28BED35-2754-B046-843F-AFC1C0D9936B}"/>
    <hyperlink ref="X121" r:id="rId140" display="mailto:mysavior26@yahoo.com" xr:uid="{7E599E91-5106-D042-8F84-750477A1D425}"/>
    <hyperlink ref="W121" r:id="rId141" display="https://www.nationalfilamfellowshipag.org/index.html" xr:uid="{4EB62E85-70CD-694C-9633-BB9304012281}"/>
    <hyperlink ref="X122" r:id="rId142" display="mailto:andanasan@yahoo.com" xr:uid="{EB6BF667-2A22-BA46-AD8B-313AF8415047}"/>
    <hyperlink ref="X123" r:id="rId143" display="mailto:revjeanrebecca@verizon.net" xr:uid="{8F43392A-50A8-8843-AC3B-3E6040E9E5CB}"/>
    <hyperlink ref="X124" r:id="rId144" display="mailto:tengvu@live.com" xr:uid="{BA134673-F60B-7440-92B1-204DEB8D262A}"/>
    <hyperlink ref="W125" r:id="rId145" display="http://www.agifa.org/" xr:uid="{1F0B3929-AACA-9548-A50B-F1DAF8CA6764}"/>
    <hyperlink ref="X125" r:id="rId146" display="mailto:georgepchacko@gmail.com" xr:uid="{EA0D42C8-577E-B242-94C8-A33D518FC372}"/>
    <hyperlink ref="X126" r:id="rId147" display="mailto:rudylolowang@yahoo.com" xr:uid="{8BD5D4A3-ACCB-8A44-AE07-8C6297FED198}"/>
    <hyperlink ref="X127" r:id="rId148" display="mailto:dodimac@aol.com" xr:uid="{B507B7A4-C93A-6D41-832E-406930159728}"/>
    <hyperlink ref="AF127" r:id="rId149" display="https://www.facebook.com/agjapanesefellowship/" xr:uid="{382D6A78-9D03-9D42-B25A-C1FB68147339}"/>
    <hyperlink ref="X129" r:id="rId150" display="mailto:joshkang1@hotmail.com" xr:uid="{6651AFA3-EA0D-5D41-86F8-DD08B0328425}"/>
    <hyperlink ref="X130" r:id="rId151" display="mailto:chinkkhai@gmail.com" xr:uid="{30FD7234-098D-A24D-914E-6F267C4B58B7}"/>
    <hyperlink ref="X131" r:id="rId152" display="mailto:secretary@agnaf.org" xr:uid="{B742FC49-FEF8-8E4F-8CA7-1BBE38F1A28C}"/>
    <hyperlink ref="W132" r:id="rId153" display="http://nagfusa.org/" xr:uid="{2CD621AE-312E-E143-9F13-142530825DD6}"/>
    <hyperlink ref="X133" r:id="rId154" display="http://v.cinpean@comcast.net" xr:uid="{C7C5C283-F6A4-F44A-AD7D-82A77239A983}"/>
    <hyperlink ref="X134" r:id="rId155" display="mailto:victorjoseph@verizon.net" xr:uid="{41DEC858-210B-6147-9983-AC786BF1C92B}"/>
    <hyperlink ref="X135" r:id="rId156" display="mailto:jjmau@hotmail.com" xr:uid="{5580ECEE-41D0-1A41-A1AC-0BC2C04C9400}"/>
    <hyperlink ref="X136" r:id="rId157" display="mailto:qnguyen_email@yahoo.com" xr:uid="{2171B3EC-C3F0-514E-ACDB-0B01F8F6887D}"/>
    <hyperlink ref="O116" r:id="rId158" display="https://ethnicrelations.ag.org/Fellowships/Caribbean-Fellowship" xr:uid="{8967EB87-181C-BA4C-856F-1AFD930C268F}"/>
    <hyperlink ref="O117" r:id="rId159" display="https://ethnicrelations.ag.org/Fellowships/National-Chinese-Fellowship" xr:uid="{6517DAA5-3EE0-9E4C-A659-845AAA47F8C0}"/>
    <hyperlink ref="O118" r:id="rId160" display="https://ethnicrelations.ag.org/Fellowships/National-Deaf-Culture" xr:uid="{C08D6727-E577-0145-9C5A-1E7D778C0BD9}"/>
    <hyperlink ref="O119" r:id="rId161" display="https://ethnicrelations.ag.org/Fellowships/Ethiopian-Fellowship" xr:uid="{2C98AD4C-CCFD-374C-B15B-A233900D09CA}"/>
    <hyperlink ref="O120" r:id="rId162" display="https://ethnicrelations.ag.org/Fellowships/National-Fijian-Fellowship" xr:uid="{DC73E835-64E5-FD43-ACE3-EF0CB2090E0F}"/>
    <hyperlink ref="O121" r:id="rId163" display="https://ethnicrelations.ag.org/Fellowships/Filipino-Fellowship" xr:uid="{5D8B1471-38F3-1B47-9159-92760CAA4B35}"/>
    <hyperlink ref="O122" r:id="rId164" display="https://ethnicrelations.ag.org/Fellowships/Ghanaian-Fellowship" xr:uid="{5EC0C9C8-50BE-6D49-BB7E-C47607C0BA82}"/>
    <hyperlink ref="O123" r:id="rId165" display="https://ethnicrelations.ag.org/Fellowships/Haitian-Fellowship" xr:uid="{09B125B3-354A-5742-808F-866CCD8F9D5D}"/>
    <hyperlink ref="O124" r:id="rId166" display="https://ethnicrelations.ag.org/Fellowships/Hmong-AG-Fellowship" xr:uid="{22F27629-A0B2-3649-9546-3F964BE54BF9}"/>
    <hyperlink ref="O125" r:id="rId167" display="https://ethnicrelations.ag.org/Fellowships/India-Fellowship" xr:uid="{C8942639-C635-384F-88F2-E03288C70AF7}"/>
    <hyperlink ref="O126" r:id="rId168" display="https://ethnicrelations.ag.org/Fellowships/Indonesian-Fellowship" xr:uid="{565DB078-4046-7246-9F3F-A43B82E96582}"/>
    <hyperlink ref="O127" r:id="rId169" display="https://ethnicrelations.ag.org/Fellowships/Japanese-Fellowship" xr:uid="{A04D9544-C816-684E-9162-7CB12D79A864}"/>
    <hyperlink ref="O128" r:id="rId170" display="https://ethnicrelations.ag.org/Fellowships/National-Jewish-Fellowship" xr:uid="{1AEA5BDF-4072-3C4C-8DF8-5D1AD49BFB97}"/>
    <hyperlink ref="O129" r:id="rId171" display="https://ethnicrelations.ag.org/Fellowships/Korean-English-Fellowship" xr:uid="{0B9BD092-BF7C-5740-95CB-68876DB46D4C}"/>
    <hyperlink ref="O130" r:id="rId172" display="https://ethnicrelations.ag.org/Fellowships/Myanmar-AG-Fellowship-USA" xr:uid="{3985FA31-FB98-394C-A13A-F0F691ECA06F}"/>
    <hyperlink ref="O131" r:id="rId173" display="https://ethnicrelations.ag.org/Fellowships/Native-American-Fellowship" xr:uid="{540EF952-A0E6-8C4B-BA1D-EE438A38698E}"/>
    <hyperlink ref="O132" r:id="rId174" display="https://ethnicrelations.ag.org/Fellowships/Nigerian-Fellowship" xr:uid="{BF860161-1184-AA49-A9DB-19E9E2F290D7}"/>
    <hyperlink ref="O133" r:id="rId175" display="https://ethnicrelations.ag.org/Fellowships/Romanian-Fellowship" xr:uid="{C48A6A5C-2BD0-4A48-9F7A-74C51C3D89BC}"/>
    <hyperlink ref="O134" r:id="rId176" display="https://ethnicrelations.ag.org/Fellowships/Southern-Asia-Fellowship" xr:uid="{957563D5-B00A-1F4C-8AFD-9BD879F2BE1A}"/>
    <hyperlink ref="O135" r:id="rId177" display="https://ethnicrelations.ag.org/Fellowships/Tongan-Fellowship" xr:uid="{43E2D94E-CA8B-604F-B86B-C1E1C884FE0F}"/>
    <hyperlink ref="O136" r:id="rId178" display="https://ethnicrelations.ag.org/Fellowships/Vietnamese-Fellowship" xr:uid="{44F9A1EB-6B40-8F41-A0EE-DEBC92959285}"/>
    <hyperlink ref="W145" r:id="rId179" xr:uid="{9D7C508D-BCC5-7C4F-8E3B-32E2996FE377}"/>
    <hyperlink ref="W146" r:id="rId180" xr:uid="{5F005CBC-0959-D74A-9E6D-32941B97C7D2}"/>
    <hyperlink ref="W147" r:id="rId181" xr:uid="{B0E8923A-DDFA-A64A-8149-6A049187362C}"/>
    <hyperlink ref="W148" r:id="rId182" xr:uid="{376ED85A-B89D-684F-B457-33B1F85CE48B}"/>
    <hyperlink ref="O149" r:id="rId183" location="mapcontainer" display="http://colleges.ag.org/Directory - mapcontainer" xr:uid="{AE827739-A297-F040-82A0-084C35B53463}"/>
    <hyperlink ref="W149" r:id="rId184" xr:uid="{9A53B86D-DF4B-5E49-87A6-A095084313EA}"/>
    <hyperlink ref="O151" r:id="rId185" location="mapcontainer" display="http://colleges.ag.org/Directory - mapcontainer" xr:uid="{C0015D3D-BA29-834D-9869-4F3FCECCA450}"/>
    <hyperlink ref="W151" r:id="rId186" xr:uid="{5E7ABD9B-1EE8-8E40-B504-73A347996DB4}"/>
    <hyperlink ref="W152" r:id="rId187" display="http://nabc.edu/" xr:uid="{31856F11-FD70-914B-AF8B-04E24932A2C6}"/>
    <hyperlink ref="O153" r:id="rId188" location="mapcontainer" display="http://colleges.ag.org/Directory - mapcontainer" xr:uid="{14F5C945-9D7B-FE46-949C-AC91A5B619AA}"/>
    <hyperlink ref="W153" r:id="rId189" xr:uid="{F878BEC8-AADE-BD4B-9862-BBA9C7375860}"/>
    <hyperlink ref="W154" r:id="rId190" xr:uid="{38AF7762-8691-2346-BA81-E350AEB4E59E}"/>
    <hyperlink ref="O155" r:id="rId191" location="mapcontainer" display="http://colleges.ag.org/Directory - mapcontainer" xr:uid="{6DE4E588-4CC9-4B42-BAD9-D790F7A49CC0}"/>
    <hyperlink ref="W155" r:id="rId192" xr:uid="{B61E1268-0648-004F-B7C3-A471BBBB73EA}"/>
    <hyperlink ref="W156" r:id="rId193" xr:uid="{E5EEA209-9240-C74F-98F6-A9D6BFA31CBA}"/>
    <hyperlink ref="W158" r:id="rId194" xr:uid="{816AF236-156B-3547-AB85-2A99328D1FBE}"/>
    <hyperlink ref="W157" r:id="rId195" xr:uid="{EA2BC421-97E8-FF4B-B744-962A6CBB5638}"/>
    <hyperlink ref="O159" r:id="rId196" location="mapcontainer" display="http://colleges.ag.org/Directory - mapcontainer" xr:uid="{8A16B5C9-D6CF-D049-BC93-269C916B8790}"/>
    <hyperlink ref="W159" r:id="rId197" xr:uid="{816567C5-CBEB-9647-B935-EA194CE61EA6}"/>
    <hyperlink ref="W160" r:id="rId198" xr:uid="{FE4E361D-B628-A349-8885-6A92168FB629}"/>
    <hyperlink ref="O161" r:id="rId199" location="mapcontainer" display="http://colleges.ag.org/Directory - mapcontainer" xr:uid="{CF86D5FB-AF6D-004B-A58B-0808EF0B0D09}"/>
    <hyperlink ref="W161" r:id="rId200" xr:uid="{778FCAB1-2F2B-B942-940B-E75010347DD5}"/>
  </hyperlinks>
  <pageMargins left="0.7" right="0.7" top="0.75" bottom="0.75" header="0.3" footer="0.3"/>
  <drawing r:id="rId2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FD93-4736-504E-8CC8-850C61356949}">
  <dimension ref="A1:CV151"/>
  <sheetViews>
    <sheetView workbookViewId="0">
      <selection activeCell="F13" sqref="F13"/>
    </sheetView>
  </sheetViews>
  <sheetFormatPr baseColWidth="10" defaultRowHeight="16"/>
  <cols>
    <col min="1" max="1" width="5.83203125" customWidth="1"/>
    <col min="2" max="2" width="33.5" customWidth="1"/>
    <col min="3" max="3" width="16.33203125" customWidth="1"/>
    <col min="4" max="5" width="7.83203125" bestFit="1" customWidth="1"/>
    <col min="6" max="6" width="8.5" bestFit="1" customWidth="1"/>
    <col min="7" max="7" width="10.5" bestFit="1" customWidth="1"/>
    <col min="8" max="8" width="5.83203125" customWidth="1"/>
    <col min="9" max="9" width="8.6640625" customWidth="1"/>
    <col min="10" max="10" width="8.33203125" bestFit="1" customWidth="1"/>
    <col min="11" max="11" width="9.33203125" bestFit="1" customWidth="1"/>
    <col min="12" max="13" width="5.83203125" bestFit="1" customWidth="1"/>
    <col min="14" max="16" width="7.83203125" bestFit="1" customWidth="1"/>
    <col min="17" max="17" width="9.1640625" bestFit="1" customWidth="1"/>
    <col min="18" max="18" width="5.83203125" customWidth="1"/>
    <col min="19" max="19" width="6.5" customWidth="1"/>
    <col min="20" max="20" width="5.6640625" bestFit="1" customWidth="1"/>
    <col min="21" max="21" width="7.33203125" bestFit="1" customWidth="1"/>
    <col min="22" max="22" width="5.6640625" bestFit="1" customWidth="1"/>
    <col min="24" max="24" width="7.6640625" bestFit="1" customWidth="1"/>
    <col min="25" max="25" width="5.83203125" customWidth="1"/>
    <col min="26" max="26" width="14.5" bestFit="1" customWidth="1"/>
    <col min="27" max="27" width="7.6640625" bestFit="1" customWidth="1"/>
    <col min="28" max="28" width="8.5" bestFit="1" customWidth="1"/>
    <col min="29" max="29" width="9.1640625" bestFit="1" customWidth="1"/>
    <col min="30" max="30" width="12" bestFit="1" customWidth="1"/>
    <col min="31" max="32" width="13.33203125" bestFit="1" customWidth="1"/>
    <col min="33" max="33" width="9" bestFit="1" customWidth="1"/>
    <col min="34" max="34" width="9.1640625" bestFit="1" customWidth="1"/>
    <col min="35" max="35" width="6.5" bestFit="1" customWidth="1"/>
    <col min="36" max="36" width="13.5" bestFit="1" customWidth="1"/>
    <col min="37" max="37" width="11.5" bestFit="1" customWidth="1"/>
    <col min="38" max="38" width="9.33203125" bestFit="1" customWidth="1"/>
    <col min="39" max="39" width="9.6640625" bestFit="1" customWidth="1"/>
    <col min="40" max="40" width="12.33203125" bestFit="1" customWidth="1"/>
    <col min="41" max="41" width="6.5" bestFit="1" customWidth="1"/>
    <col min="42" max="42" width="9.5" bestFit="1" customWidth="1"/>
    <col min="43" max="43" width="5.83203125" customWidth="1"/>
    <col min="44" max="44" width="16.33203125" bestFit="1" customWidth="1"/>
    <col min="45" max="45" width="5.1640625" bestFit="1" customWidth="1"/>
    <col min="46" max="46" width="4.83203125" bestFit="1" customWidth="1"/>
    <col min="47" max="47" width="4.1640625" bestFit="1" customWidth="1"/>
    <col min="48" max="48" width="9" bestFit="1" customWidth="1"/>
    <col min="49" max="49" width="5.83203125" customWidth="1"/>
    <col min="50" max="51" width="8.5" bestFit="1" customWidth="1"/>
    <col min="52" max="52" width="5.83203125" customWidth="1"/>
    <col min="53" max="53" width="18.83203125" bestFit="1" customWidth="1"/>
    <col min="54" max="55" width="9.5" bestFit="1" customWidth="1"/>
    <col min="56" max="56" width="8.6640625" bestFit="1" customWidth="1"/>
    <col min="57" max="57" width="7.6640625" bestFit="1" customWidth="1"/>
    <col min="58" max="58" width="5.83203125" customWidth="1"/>
    <col min="59" max="59" width="11.5" bestFit="1" customWidth="1"/>
    <col min="60" max="60" width="15" customWidth="1"/>
    <col min="61" max="61" width="7.33203125" bestFit="1" customWidth="1"/>
    <col min="62" max="63" width="7.1640625" bestFit="1" customWidth="1"/>
    <col min="64" max="64" width="10.5" bestFit="1" customWidth="1"/>
    <col min="65" max="65" width="9" bestFit="1" customWidth="1"/>
    <col min="66" max="66" width="10.5" bestFit="1" customWidth="1"/>
    <col min="67" max="67" width="5.6640625" bestFit="1" customWidth="1"/>
    <col min="68" max="69" width="9.5" bestFit="1" customWidth="1"/>
    <col min="70" max="70" width="6.33203125" bestFit="1" customWidth="1"/>
    <col min="71" max="71" width="9.1640625" bestFit="1" customWidth="1"/>
    <col min="72" max="72" width="5.83203125" customWidth="1"/>
  </cols>
  <sheetData>
    <row r="1" spans="1:100" s="101" customFormat="1">
      <c r="B1" s="102"/>
    </row>
    <row r="2" spans="1:100" s="101" customFormat="1" ht="21">
      <c r="B2" s="69" t="s">
        <v>1380</v>
      </c>
    </row>
    <row r="3" spans="1:100" s="101" customFormat="1">
      <c r="B3" s="102" t="s">
        <v>1381</v>
      </c>
    </row>
    <row r="4" spans="1:100" s="101" customFormat="1">
      <c r="B4" s="140" t="s">
        <v>1533</v>
      </c>
      <c r="G4" s="42" t="s">
        <v>1382</v>
      </c>
    </row>
    <row r="5" spans="1:100" s="42" customFormat="1">
      <c r="B5" s="41"/>
      <c r="C5" s="42" t="s">
        <v>191</v>
      </c>
      <c r="G5" s="42" t="s">
        <v>1383</v>
      </c>
      <c r="S5" s="41" t="s">
        <v>192</v>
      </c>
      <c r="Z5" s="41" t="s">
        <v>1384</v>
      </c>
      <c r="AA5" s="41"/>
      <c r="AB5" s="41"/>
      <c r="AC5" s="41"/>
      <c r="AD5" s="41"/>
      <c r="AR5" s="41" t="s">
        <v>1385</v>
      </c>
      <c r="AY5" s="42" t="s">
        <v>124</v>
      </c>
      <c r="BA5" s="41" t="s">
        <v>1386</v>
      </c>
      <c r="BG5" s="42" t="s">
        <v>1387</v>
      </c>
      <c r="BH5" s="42" t="s">
        <v>1388</v>
      </c>
    </row>
    <row r="6" spans="1:100" s="42" customFormat="1">
      <c r="B6" s="41"/>
      <c r="C6" s="42" t="s">
        <v>1389</v>
      </c>
      <c r="D6" s="42" t="s">
        <v>191</v>
      </c>
      <c r="E6" s="42" t="s">
        <v>124</v>
      </c>
      <c r="F6" s="42" t="s">
        <v>124</v>
      </c>
      <c r="G6" s="42" t="s">
        <v>1390</v>
      </c>
      <c r="I6" s="43" t="s">
        <v>194</v>
      </c>
      <c r="J6" s="44"/>
      <c r="K6" s="44"/>
      <c r="L6" s="44"/>
      <c r="S6" s="44" t="s">
        <v>20</v>
      </c>
      <c r="T6" s="44"/>
      <c r="U6" s="44"/>
      <c r="V6" s="44"/>
      <c r="W6" s="44"/>
      <c r="X6" s="44"/>
      <c r="Z6" s="42" t="s">
        <v>195</v>
      </c>
      <c r="AA6" s="42" t="s">
        <v>196</v>
      </c>
      <c r="AB6" s="42" t="s">
        <v>197</v>
      </c>
      <c r="AC6" s="42" t="s">
        <v>198</v>
      </c>
      <c r="AD6" s="42" t="s">
        <v>199</v>
      </c>
      <c r="AE6" s="42" t="s">
        <v>14</v>
      </c>
      <c r="AF6" s="42" t="s">
        <v>200</v>
      </c>
      <c r="AI6" s="42" t="s">
        <v>201</v>
      </c>
      <c r="AJ6" s="42" t="s">
        <v>202</v>
      </c>
      <c r="AK6" s="42" t="s">
        <v>203</v>
      </c>
      <c r="AL6" s="42" t="s">
        <v>204</v>
      </c>
      <c r="AN6" s="42" t="s">
        <v>205</v>
      </c>
      <c r="AP6" s="42" t="s">
        <v>206</v>
      </c>
      <c r="AR6" s="41" t="s">
        <v>207</v>
      </c>
      <c r="AX6" s="42" t="s">
        <v>124</v>
      </c>
      <c r="AY6" s="42" t="s">
        <v>1391</v>
      </c>
      <c r="BA6" s="46" t="s">
        <v>209</v>
      </c>
      <c r="BB6" s="46" t="s">
        <v>210</v>
      </c>
      <c r="BC6" s="46" t="s">
        <v>211</v>
      </c>
      <c r="BD6" s="46" t="s">
        <v>212</v>
      </c>
      <c r="BE6" s="46" t="s">
        <v>213</v>
      </c>
      <c r="BG6" s="42" t="s">
        <v>1392</v>
      </c>
      <c r="BH6" s="42" t="s">
        <v>38</v>
      </c>
      <c r="BI6" s="42" t="s">
        <v>40</v>
      </c>
      <c r="BJ6" s="42" t="s">
        <v>21</v>
      </c>
      <c r="BK6" s="42" t="s">
        <v>21</v>
      </c>
      <c r="BL6" s="42" t="s">
        <v>21</v>
      </c>
      <c r="BM6" s="42" t="s">
        <v>22</v>
      </c>
      <c r="BN6" s="42" t="s">
        <v>22</v>
      </c>
      <c r="BP6" s="42" t="s">
        <v>23</v>
      </c>
      <c r="BQ6" s="42" t="s">
        <v>23</v>
      </c>
      <c r="BR6" s="42" t="s">
        <v>24</v>
      </c>
      <c r="BS6" s="42" t="s">
        <v>24</v>
      </c>
    </row>
    <row r="7" spans="1:100" s="53" customFormat="1" ht="17" thickBot="1">
      <c r="B7" s="53" t="s">
        <v>34</v>
      </c>
      <c r="C7" s="53" t="s">
        <v>1393</v>
      </c>
      <c r="D7" s="53" t="s">
        <v>216</v>
      </c>
      <c r="E7" s="53" t="s">
        <v>216</v>
      </c>
      <c r="F7" s="53" t="s">
        <v>2</v>
      </c>
      <c r="G7" s="53" t="s">
        <v>2</v>
      </c>
      <c r="I7" s="49" t="s">
        <v>217</v>
      </c>
      <c r="J7" s="48" t="s">
        <v>218</v>
      </c>
      <c r="K7" s="48" t="s">
        <v>219</v>
      </c>
      <c r="L7" s="48" t="s">
        <v>220</v>
      </c>
      <c r="M7" s="48" t="s">
        <v>101</v>
      </c>
      <c r="N7" s="48" t="s">
        <v>102</v>
      </c>
      <c r="O7" s="48" t="s">
        <v>221</v>
      </c>
      <c r="P7" s="48" t="s">
        <v>222</v>
      </c>
      <c r="Q7" s="48" t="s">
        <v>1394</v>
      </c>
      <c r="S7" s="51" t="s">
        <v>26</v>
      </c>
      <c r="T7" s="51" t="s">
        <v>27</v>
      </c>
      <c r="U7" s="51" t="s">
        <v>28</v>
      </c>
      <c r="V7" s="51" t="s">
        <v>29</v>
      </c>
      <c r="W7" s="51" t="s">
        <v>14</v>
      </c>
      <c r="X7" s="51" t="s">
        <v>30</v>
      </c>
      <c r="Z7" s="53" t="s">
        <v>225</v>
      </c>
      <c r="AA7" s="53" t="s">
        <v>226</v>
      </c>
      <c r="AB7" s="53" t="s">
        <v>226</v>
      </c>
      <c r="AC7" s="53" t="s">
        <v>215</v>
      </c>
      <c r="AD7" s="53" t="s">
        <v>227</v>
      </c>
      <c r="AE7" s="53" t="s">
        <v>228</v>
      </c>
      <c r="AF7" s="53" t="s">
        <v>229</v>
      </c>
      <c r="AG7" s="53" t="s">
        <v>230</v>
      </c>
      <c r="AH7" s="53" t="s">
        <v>231</v>
      </c>
      <c r="AI7" s="53" t="s">
        <v>232</v>
      </c>
      <c r="AJ7" s="53" t="s">
        <v>233</v>
      </c>
      <c r="AK7" s="53" t="s">
        <v>234</v>
      </c>
      <c r="AL7" s="53" t="s">
        <v>235</v>
      </c>
      <c r="AM7" s="53" t="s">
        <v>236</v>
      </c>
      <c r="AN7" s="53" t="s">
        <v>237</v>
      </c>
      <c r="AO7" s="53" t="s">
        <v>238</v>
      </c>
      <c r="AP7" s="53" t="s">
        <v>239</v>
      </c>
      <c r="AR7" s="53" t="s">
        <v>240</v>
      </c>
      <c r="AS7" s="53" t="s">
        <v>241</v>
      </c>
      <c r="AT7" s="53" t="s">
        <v>242</v>
      </c>
      <c r="AU7" s="53" t="s">
        <v>243</v>
      </c>
      <c r="AV7" s="53" t="s">
        <v>14</v>
      </c>
      <c r="AX7" s="53" t="s">
        <v>2</v>
      </c>
      <c r="AY7" s="53" t="s">
        <v>2</v>
      </c>
      <c r="BA7" s="53" t="s">
        <v>244</v>
      </c>
      <c r="BB7" s="53" t="s">
        <v>244</v>
      </c>
      <c r="BC7" s="53" t="s">
        <v>244</v>
      </c>
      <c r="BD7" s="53" t="s">
        <v>34</v>
      </c>
      <c r="BE7" s="53" t="s">
        <v>196</v>
      </c>
      <c r="BG7" s="53" t="s">
        <v>1395</v>
      </c>
      <c r="BH7" s="53" t="s">
        <v>39</v>
      </c>
      <c r="BI7" s="53" t="s">
        <v>39</v>
      </c>
      <c r="BJ7" s="53" t="s">
        <v>1396</v>
      </c>
      <c r="BK7" s="53" t="s">
        <v>39</v>
      </c>
      <c r="BL7" s="53" t="s">
        <v>42</v>
      </c>
      <c r="BM7" s="53" t="s">
        <v>39</v>
      </c>
      <c r="BN7" s="53" t="s">
        <v>43</v>
      </c>
      <c r="BO7" s="53" t="s">
        <v>1397</v>
      </c>
      <c r="BP7" s="53" t="s">
        <v>39</v>
      </c>
      <c r="BQ7" s="53" t="s">
        <v>42</v>
      </c>
      <c r="BR7" s="53" t="s">
        <v>45</v>
      </c>
      <c r="BS7" s="53" t="s">
        <v>42</v>
      </c>
    </row>
    <row r="8" spans="1:100" s="66" customFormat="1">
      <c r="A8" s="103"/>
      <c r="B8" s="66" t="s">
        <v>1398</v>
      </c>
      <c r="C8" s="104">
        <v>7</v>
      </c>
      <c r="D8" s="104">
        <v>102</v>
      </c>
      <c r="E8" s="104">
        <v>539</v>
      </c>
      <c r="F8" s="104">
        <f t="shared" ref="F8:F39" si="0">SUM(AX8)</f>
        <v>333</v>
      </c>
      <c r="G8" s="104">
        <v>10</v>
      </c>
      <c r="H8" s="210"/>
      <c r="I8" s="104">
        <v>317</v>
      </c>
      <c r="J8" s="104">
        <v>13</v>
      </c>
      <c r="K8" s="104">
        <v>2</v>
      </c>
      <c r="L8" s="104">
        <v>0</v>
      </c>
      <c r="M8" s="104">
        <v>0</v>
      </c>
      <c r="N8" s="104">
        <v>0</v>
      </c>
      <c r="O8" s="104">
        <v>0</v>
      </c>
      <c r="P8" s="104">
        <v>0</v>
      </c>
      <c r="Q8" s="104">
        <v>0</v>
      </c>
      <c r="R8" s="210"/>
      <c r="S8" s="104">
        <v>45</v>
      </c>
      <c r="T8" s="104">
        <v>0</v>
      </c>
      <c r="U8" s="104">
        <v>4</v>
      </c>
      <c r="V8" s="104">
        <v>0</v>
      </c>
      <c r="W8" s="104">
        <v>272</v>
      </c>
      <c r="X8" s="104">
        <v>11</v>
      </c>
      <c r="Y8" s="210"/>
      <c r="Z8" s="66">
        <v>344</v>
      </c>
      <c r="AA8" s="66">
        <v>2</v>
      </c>
      <c r="AB8" s="66">
        <v>0</v>
      </c>
      <c r="AC8" s="66">
        <v>5</v>
      </c>
      <c r="AD8" s="66">
        <v>4</v>
      </c>
      <c r="AE8" s="66">
        <v>20</v>
      </c>
      <c r="AF8" s="66">
        <v>36</v>
      </c>
      <c r="AG8" s="66">
        <v>10</v>
      </c>
      <c r="AH8" s="66">
        <v>44</v>
      </c>
      <c r="AI8" s="66">
        <v>46</v>
      </c>
      <c r="AJ8" s="66">
        <v>5</v>
      </c>
      <c r="AK8" s="66">
        <v>6</v>
      </c>
      <c r="AL8" s="66">
        <v>33</v>
      </c>
      <c r="AM8" s="66">
        <v>0</v>
      </c>
      <c r="AN8" s="66">
        <v>8</v>
      </c>
      <c r="AO8" s="66">
        <v>8</v>
      </c>
      <c r="AP8" s="66">
        <v>10</v>
      </c>
      <c r="AQ8" s="210"/>
      <c r="AR8" s="104">
        <v>0</v>
      </c>
      <c r="AS8" s="104">
        <v>2</v>
      </c>
      <c r="AT8" s="104">
        <v>0</v>
      </c>
      <c r="AU8" s="104">
        <v>0</v>
      </c>
      <c r="AV8" s="104">
        <v>331</v>
      </c>
      <c r="AW8" s="210"/>
      <c r="AX8" s="104">
        <v>333</v>
      </c>
      <c r="AY8" s="104">
        <v>2</v>
      </c>
      <c r="AZ8" s="210"/>
      <c r="BA8" s="104">
        <v>2</v>
      </c>
      <c r="BB8" s="104">
        <v>0</v>
      </c>
      <c r="BC8" s="104">
        <v>0</v>
      </c>
      <c r="BD8" s="104">
        <v>0</v>
      </c>
      <c r="BE8" s="104">
        <v>0</v>
      </c>
      <c r="BF8" s="210"/>
      <c r="BG8" s="104">
        <v>0</v>
      </c>
      <c r="BH8" s="66">
        <v>193</v>
      </c>
      <c r="BI8" s="66">
        <v>6</v>
      </c>
      <c r="BJ8" s="104">
        <v>0</v>
      </c>
      <c r="BK8" s="66">
        <v>16</v>
      </c>
      <c r="BL8" s="66">
        <v>8862</v>
      </c>
      <c r="BM8" s="66">
        <v>22</v>
      </c>
      <c r="BN8" s="66">
        <v>24840</v>
      </c>
      <c r="BO8" s="66">
        <v>1</v>
      </c>
      <c r="BP8" s="66">
        <v>6</v>
      </c>
      <c r="BQ8" s="66">
        <v>4538</v>
      </c>
      <c r="BR8" s="104">
        <v>1</v>
      </c>
      <c r="BS8" s="104">
        <v>62</v>
      </c>
      <c r="BT8" s="210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</row>
    <row r="9" spans="1:100" s="66" customFormat="1">
      <c r="A9" s="104"/>
      <c r="B9" s="66" t="s">
        <v>1399</v>
      </c>
      <c r="C9" s="104">
        <v>5</v>
      </c>
      <c r="D9" s="104">
        <v>36</v>
      </c>
      <c r="E9" s="104">
        <v>173</v>
      </c>
      <c r="F9" s="104">
        <f t="shared" si="0"/>
        <v>91</v>
      </c>
      <c r="G9" s="104"/>
      <c r="H9" s="210"/>
      <c r="I9" s="104">
        <v>85</v>
      </c>
      <c r="J9" s="104">
        <v>3</v>
      </c>
      <c r="K9" s="104">
        <v>2</v>
      </c>
      <c r="L9" s="104">
        <v>0</v>
      </c>
      <c r="M9" s="104">
        <v>0</v>
      </c>
      <c r="N9" s="104">
        <v>0</v>
      </c>
      <c r="O9" s="104">
        <v>0</v>
      </c>
      <c r="P9" s="104">
        <v>0</v>
      </c>
      <c r="Q9" s="104">
        <v>0</v>
      </c>
      <c r="R9" s="210"/>
      <c r="S9" s="104">
        <v>16</v>
      </c>
      <c r="T9" s="104">
        <v>0</v>
      </c>
      <c r="U9" s="104">
        <v>0</v>
      </c>
      <c r="V9" s="104">
        <v>1</v>
      </c>
      <c r="W9" s="104">
        <v>67</v>
      </c>
      <c r="X9" s="104">
        <v>7</v>
      </c>
      <c r="Y9" s="210"/>
      <c r="Z9" s="104">
        <v>98</v>
      </c>
      <c r="AA9" s="104">
        <v>2</v>
      </c>
      <c r="AB9" s="104">
        <v>0</v>
      </c>
      <c r="AC9" s="104">
        <v>1</v>
      </c>
      <c r="AD9" s="104">
        <v>3</v>
      </c>
      <c r="AE9" s="104">
        <v>12</v>
      </c>
      <c r="AF9" s="104">
        <v>21</v>
      </c>
      <c r="AG9" s="104">
        <v>2</v>
      </c>
      <c r="AH9" s="104">
        <v>7</v>
      </c>
      <c r="AI9" s="104">
        <v>14</v>
      </c>
      <c r="AJ9" s="104">
        <v>2</v>
      </c>
      <c r="AK9" s="104">
        <v>4</v>
      </c>
      <c r="AL9" s="104">
        <v>12</v>
      </c>
      <c r="AM9" s="104">
        <v>0</v>
      </c>
      <c r="AN9" s="104">
        <v>2</v>
      </c>
      <c r="AO9" s="104">
        <v>1</v>
      </c>
      <c r="AP9" s="104">
        <v>3</v>
      </c>
      <c r="AQ9" s="210"/>
      <c r="AR9" s="104">
        <v>0</v>
      </c>
      <c r="AS9" s="104">
        <v>0</v>
      </c>
      <c r="AT9" s="104">
        <v>0</v>
      </c>
      <c r="AU9" s="104">
        <v>0</v>
      </c>
      <c r="AV9" s="104">
        <v>91</v>
      </c>
      <c r="AW9" s="210"/>
      <c r="AX9" s="104">
        <v>91</v>
      </c>
      <c r="AY9" s="104">
        <v>2</v>
      </c>
      <c r="AZ9" s="210"/>
      <c r="BA9" s="104">
        <v>2</v>
      </c>
      <c r="BB9" s="104">
        <v>0</v>
      </c>
      <c r="BC9" s="104">
        <v>0</v>
      </c>
      <c r="BD9" s="104">
        <v>0</v>
      </c>
      <c r="BE9" s="104">
        <v>0</v>
      </c>
      <c r="BF9" s="210"/>
      <c r="BG9" s="104">
        <v>0</v>
      </c>
      <c r="BH9" s="104">
        <v>68</v>
      </c>
      <c r="BI9" s="104">
        <v>0</v>
      </c>
      <c r="BJ9" s="104">
        <v>0</v>
      </c>
      <c r="BK9" s="104">
        <v>1</v>
      </c>
      <c r="BL9" s="104">
        <v>5</v>
      </c>
      <c r="BM9" s="104">
        <v>0</v>
      </c>
      <c r="BN9" s="104">
        <v>0</v>
      </c>
      <c r="BO9" s="104">
        <v>0</v>
      </c>
      <c r="BP9" s="66">
        <v>0</v>
      </c>
      <c r="BQ9" s="66">
        <v>0</v>
      </c>
      <c r="BR9" s="66">
        <v>0</v>
      </c>
      <c r="BS9" s="104">
        <v>0</v>
      </c>
      <c r="BT9" s="210"/>
    </row>
    <row r="10" spans="1:100" s="104" customFormat="1">
      <c r="B10" s="66" t="s">
        <v>1400</v>
      </c>
      <c r="C10" s="66">
        <v>14</v>
      </c>
      <c r="D10" s="66">
        <v>122</v>
      </c>
      <c r="E10" s="66">
        <v>589</v>
      </c>
      <c r="F10" s="104">
        <f t="shared" si="0"/>
        <v>279</v>
      </c>
      <c r="G10" s="104">
        <v>13</v>
      </c>
      <c r="H10" s="210"/>
      <c r="I10" s="66">
        <v>258</v>
      </c>
      <c r="J10" s="66">
        <v>16</v>
      </c>
      <c r="K10" s="66">
        <v>3</v>
      </c>
      <c r="L10" s="66">
        <v>1</v>
      </c>
      <c r="M10" s="66">
        <v>1</v>
      </c>
      <c r="N10" s="66">
        <v>0</v>
      </c>
      <c r="O10" s="66">
        <v>0</v>
      </c>
      <c r="P10" s="66">
        <v>0</v>
      </c>
      <c r="Q10" s="66">
        <v>0</v>
      </c>
      <c r="R10" s="210"/>
      <c r="S10" s="66">
        <v>41</v>
      </c>
      <c r="T10" s="66">
        <v>1</v>
      </c>
      <c r="U10" s="66">
        <v>50</v>
      </c>
      <c r="V10" s="66">
        <v>0</v>
      </c>
      <c r="W10" s="66">
        <v>182</v>
      </c>
      <c r="X10" s="66">
        <v>5</v>
      </c>
      <c r="Y10" s="210"/>
      <c r="Z10" s="104">
        <v>289</v>
      </c>
      <c r="AA10" s="104">
        <v>15</v>
      </c>
      <c r="AB10" s="104">
        <v>0</v>
      </c>
      <c r="AC10" s="104">
        <v>8</v>
      </c>
      <c r="AD10" s="104">
        <v>13</v>
      </c>
      <c r="AE10" s="104">
        <v>52</v>
      </c>
      <c r="AF10" s="104">
        <v>55</v>
      </c>
      <c r="AG10" s="104">
        <v>23</v>
      </c>
      <c r="AH10" s="104">
        <v>55</v>
      </c>
      <c r="AI10" s="104">
        <v>45</v>
      </c>
      <c r="AJ10" s="104">
        <v>9</v>
      </c>
      <c r="AK10" s="104">
        <v>14</v>
      </c>
      <c r="AL10" s="104">
        <v>22</v>
      </c>
      <c r="AM10" s="104">
        <v>13</v>
      </c>
      <c r="AN10" s="104">
        <v>18</v>
      </c>
      <c r="AO10" s="104">
        <v>16</v>
      </c>
      <c r="AP10" s="104">
        <v>9</v>
      </c>
      <c r="AQ10" s="210"/>
      <c r="AR10" s="66">
        <v>0</v>
      </c>
      <c r="AS10" s="66">
        <v>1</v>
      </c>
      <c r="AT10" s="66">
        <v>2</v>
      </c>
      <c r="AU10" s="66">
        <v>1</v>
      </c>
      <c r="AV10" s="66">
        <v>275</v>
      </c>
      <c r="AW10" s="210"/>
      <c r="AX10" s="104">
        <v>279</v>
      </c>
      <c r="AY10" s="104">
        <v>5</v>
      </c>
      <c r="AZ10" s="210"/>
      <c r="BA10" s="104">
        <v>4</v>
      </c>
      <c r="BB10" s="104">
        <v>1</v>
      </c>
      <c r="BC10" s="104">
        <v>0</v>
      </c>
      <c r="BD10" s="104">
        <v>1</v>
      </c>
      <c r="BE10" s="104">
        <v>0</v>
      </c>
      <c r="BF10" s="210"/>
      <c r="BG10" s="66">
        <v>1</v>
      </c>
      <c r="BH10" s="104">
        <v>224</v>
      </c>
      <c r="BI10" s="104">
        <v>3</v>
      </c>
      <c r="BJ10" s="104">
        <v>0</v>
      </c>
      <c r="BK10" s="104">
        <v>14</v>
      </c>
      <c r="BL10" s="104">
        <v>7481</v>
      </c>
      <c r="BM10" s="104">
        <v>24</v>
      </c>
      <c r="BN10" s="104">
        <v>26287</v>
      </c>
      <c r="BO10" s="104">
        <v>1</v>
      </c>
      <c r="BP10" s="66">
        <v>12</v>
      </c>
      <c r="BQ10" s="66">
        <v>7183</v>
      </c>
      <c r="BR10" s="66">
        <v>0</v>
      </c>
      <c r="BS10" s="66">
        <v>0</v>
      </c>
      <c r="BT10" s="210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</row>
    <row r="11" spans="1:100" s="66" customFormat="1">
      <c r="A11" s="104"/>
      <c r="B11" s="104" t="s">
        <v>1401</v>
      </c>
      <c r="C11" s="104">
        <v>18</v>
      </c>
      <c r="D11" s="104">
        <v>147</v>
      </c>
      <c r="E11" s="104">
        <v>692</v>
      </c>
      <c r="F11" s="104">
        <f t="shared" si="0"/>
        <v>412</v>
      </c>
      <c r="G11" s="104">
        <v>7</v>
      </c>
      <c r="H11" s="210"/>
      <c r="I11" s="104">
        <v>397</v>
      </c>
      <c r="J11" s="104">
        <v>10</v>
      </c>
      <c r="K11" s="104">
        <v>4</v>
      </c>
      <c r="L11" s="104">
        <v>0</v>
      </c>
      <c r="M11" s="104">
        <v>1</v>
      </c>
      <c r="N11" s="104">
        <v>0</v>
      </c>
      <c r="O11" s="104">
        <v>0</v>
      </c>
      <c r="P11" s="104">
        <v>0</v>
      </c>
      <c r="Q11" s="104">
        <v>0</v>
      </c>
      <c r="R11" s="210"/>
      <c r="S11" s="104">
        <v>56</v>
      </c>
      <c r="T11" s="104">
        <v>0</v>
      </c>
      <c r="U11" s="104">
        <v>23</v>
      </c>
      <c r="V11" s="104">
        <v>0</v>
      </c>
      <c r="W11" s="104">
        <v>322</v>
      </c>
      <c r="X11" s="104">
        <v>11</v>
      </c>
      <c r="Y11" s="210"/>
      <c r="Z11" s="104">
        <v>415</v>
      </c>
      <c r="AA11" s="104">
        <v>12</v>
      </c>
      <c r="AB11" s="104">
        <v>2</v>
      </c>
      <c r="AC11" s="104">
        <v>8</v>
      </c>
      <c r="AD11" s="104">
        <v>7</v>
      </c>
      <c r="AE11" s="104">
        <v>39</v>
      </c>
      <c r="AF11" s="104">
        <v>44</v>
      </c>
      <c r="AG11" s="104">
        <v>15</v>
      </c>
      <c r="AH11" s="104">
        <v>58</v>
      </c>
      <c r="AI11" s="104">
        <v>57</v>
      </c>
      <c r="AJ11" s="104">
        <v>9</v>
      </c>
      <c r="AK11" s="104">
        <v>7</v>
      </c>
      <c r="AL11" s="104">
        <v>36</v>
      </c>
      <c r="AM11" s="104">
        <v>2</v>
      </c>
      <c r="AN11" s="104">
        <v>9</v>
      </c>
      <c r="AO11" s="104">
        <v>14</v>
      </c>
      <c r="AP11" s="104">
        <v>9</v>
      </c>
      <c r="AQ11" s="210"/>
      <c r="AR11" s="104">
        <v>0</v>
      </c>
      <c r="AS11" s="104">
        <v>1</v>
      </c>
      <c r="AT11" s="104">
        <v>0</v>
      </c>
      <c r="AU11" s="104">
        <v>0</v>
      </c>
      <c r="AV11" s="104">
        <v>411</v>
      </c>
      <c r="AW11" s="210"/>
      <c r="AX11" s="104">
        <v>412</v>
      </c>
      <c r="AY11" s="104">
        <v>3</v>
      </c>
      <c r="AZ11" s="210"/>
      <c r="BA11" s="104">
        <v>2</v>
      </c>
      <c r="BB11" s="104">
        <v>0</v>
      </c>
      <c r="BC11" s="105">
        <v>1</v>
      </c>
      <c r="BD11" s="104">
        <v>1</v>
      </c>
      <c r="BE11" s="104">
        <v>0</v>
      </c>
      <c r="BF11" s="210"/>
      <c r="BG11" s="104">
        <v>0</v>
      </c>
      <c r="BH11" s="104">
        <v>227</v>
      </c>
      <c r="BI11" s="104">
        <v>4</v>
      </c>
      <c r="BJ11" s="104">
        <v>0</v>
      </c>
      <c r="BK11" s="104">
        <v>2</v>
      </c>
      <c r="BL11" s="104">
        <v>550</v>
      </c>
      <c r="BM11" s="104">
        <v>23</v>
      </c>
      <c r="BN11" s="104">
        <v>25855</v>
      </c>
      <c r="BO11" s="104">
        <v>0</v>
      </c>
      <c r="BP11" s="104">
        <v>10</v>
      </c>
      <c r="BQ11" s="104">
        <v>5461</v>
      </c>
      <c r="BR11" s="104">
        <v>0</v>
      </c>
      <c r="BS11" s="104">
        <v>0</v>
      </c>
      <c r="BT11" s="210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</row>
    <row r="12" spans="1:100" s="104" customFormat="1">
      <c r="B12" s="66" t="s">
        <v>1402</v>
      </c>
      <c r="C12" s="104">
        <v>22</v>
      </c>
      <c r="D12" s="66">
        <v>459</v>
      </c>
      <c r="E12" s="66">
        <v>2344</v>
      </c>
      <c r="F12" s="104">
        <f t="shared" si="0"/>
        <v>1280</v>
      </c>
      <c r="G12" s="104">
        <v>1</v>
      </c>
      <c r="H12" s="210"/>
      <c r="I12" s="66">
        <v>1208</v>
      </c>
      <c r="J12" s="66">
        <v>32</v>
      </c>
      <c r="K12" s="66">
        <v>21</v>
      </c>
      <c r="L12" s="104">
        <v>13</v>
      </c>
      <c r="M12" s="104">
        <v>0</v>
      </c>
      <c r="N12" s="104">
        <v>0</v>
      </c>
      <c r="O12" s="104">
        <v>0</v>
      </c>
      <c r="P12" s="104">
        <v>0</v>
      </c>
      <c r="Q12" s="104">
        <v>0</v>
      </c>
      <c r="R12" s="210"/>
      <c r="S12" s="66">
        <v>117</v>
      </c>
      <c r="T12" s="104">
        <v>1</v>
      </c>
      <c r="U12" s="66">
        <v>425</v>
      </c>
      <c r="V12" s="104">
        <v>21</v>
      </c>
      <c r="W12" s="66">
        <v>665</v>
      </c>
      <c r="X12" s="106">
        <v>35</v>
      </c>
      <c r="Y12" s="210"/>
      <c r="Z12" s="66">
        <v>1342</v>
      </c>
      <c r="AA12" s="66">
        <v>52</v>
      </c>
      <c r="AB12" s="66">
        <v>4</v>
      </c>
      <c r="AC12" s="66">
        <v>28</v>
      </c>
      <c r="AD12" s="66">
        <v>37</v>
      </c>
      <c r="AE12" s="66">
        <v>152</v>
      </c>
      <c r="AF12" s="66">
        <v>192</v>
      </c>
      <c r="AG12" s="66">
        <v>58</v>
      </c>
      <c r="AH12" s="66">
        <v>185</v>
      </c>
      <c r="AI12" s="66">
        <v>136</v>
      </c>
      <c r="AJ12" s="66">
        <v>49</v>
      </c>
      <c r="AK12" s="66">
        <v>68</v>
      </c>
      <c r="AL12" s="66">
        <v>109</v>
      </c>
      <c r="AM12" s="66">
        <v>23</v>
      </c>
      <c r="AN12" s="66">
        <v>66</v>
      </c>
      <c r="AO12" s="66">
        <v>33</v>
      </c>
      <c r="AP12" s="66">
        <v>56</v>
      </c>
      <c r="AQ12" s="210"/>
      <c r="AR12" s="104">
        <v>0</v>
      </c>
      <c r="AS12" s="66">
        <v>11</v>
      </c>
      <c r="AT12" s="66">
        <v>5</v>
      </c>
      <c r="AU12" s="66">
        <v>3</v>
      </c>
      <c r="AV12" s="66">
        <v>1261</v>
      </c>
      <c r="AW12" s="210"/>
      <c r="AX12" s="104">
        <v>1280</v>
      </c>
      <c r="AY12" s="104">
        <v>15</v>
      </c>
      <c r="AZ12" s="210"/>
      <c r="BA12" s="104">
        <v>10</v>
      </c>
      <c r="BB12" s="105">
        <v>4</v>
      </c>
      <c r="BC12" s="105">
        <v>1</v>
      </c>
      <c r="BD12" s="104">
        <v>0</v>
      </c>
      <c r="BE12" s="104">
        <v>1</v>
      </c>
      <c r="BF12" s="210"/>
      <c r="BG12" s="104">
        <v>3</v>
      </c>
      <c r="BH12" s="66">
        <v>762</v>
      </c>
      <c r="BI12" s="66">
        <v>0</v>
      </c>
      <c r="BJ12" s="107">
        <v>3</v>
      </c>
      <c r="BK12" s="66">
        <v>43</v>
      </c>
      <c r="BL12" s="66">
        <v>43814</v>
      </c>
      <c r="BM12" s="66">
        <v>84</v>
      </c>
      <c r="BN12" s="66">
        <v>112570</v>
      </c>
      <c r="BO12" s="66">
        <v>6</v>
      </c>
      <c r="BP12" s="66">
        <v>36</v>
      </c>
      <c r="BQ12" s="66">
        <v>122287</v>
      </c>
      <c r="BR12" s="66">
        <v>3</v>
      </c>
      <c r="BS12" s="66">
        <v>1225</v>
      </c>
      <c r="BT12" s="210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</row>
    <row r="13" spans="1:100" s="104" customFormat="1">
      <c r="B13" s="104" t="s">
        <v>1403</v>
      </c>
      <c r="C13" s="104">
        <v>5</v>
      </c>
      <c r="D13" s="104">
        <v>112</v>
      </c>
      <c r="E13" s="104">
        <v>421</v>
      </c>
      <c r="F13" s="104">
        <f t="shared" si="0"/>
        <v>180</v>
      </c>
      <c r="H13" s="210"/>
      <c r="I13" s="104">
        <v>168</v>
      </c>
      <c r="J13" s="104">
        <v>7</v>
      </c>
      <c r="K13" s="104">
        <v>2</v>
      </c>
      <c r="L13" s="104">
        <v>2</v>
      </c>
      <c r="M13" s="105">
        <v>1</v>
      </c>
      <c r="N13" s="104">
        <v>0</v>
      </c>
      <c r="O13" s="104">
        <v>0</v>
      </c>
      <c r="P13" s="104">
        <v>0</v>
      </c>
      <c r="Q13" s="104">
        <v>0</v>
      </c>
      <c r="R13" s="210"/>
      <c r="S13" s="104">
        <v>33</v>
      </c>
      <c r="T13" s="104">
        <v>0</v>
      </c>
      <c r="U13" s="104">
        <v>39</v>
      </c>
      <c r="V13" s="104">
        <v>2</v>
      </c>
      <c r="W13" s="104">
        <v>106</v>
      </c>
      <c r="X13" s="104">
        <v>5</v>
      </c>
      <c r="Y13" s="210"/>
      <c r="Z13" s="104">
        <v>184</v>
      </c>
      <c r="AA13" s="104">
        <v>5</v>
      </c>
      <c r="AB13" s="104">
        <v>6</v>
      </c>
      <c r="AC13" s="104">
        <v>6</v>
      </c>
      <c r="AD13" s="104">
        <v>8</v>
      </c>
      <c r="AE13" s="104">
        <v>34</v>
      </c>
      <c r="AF13" s="104">
        <v>65</v>
      </c>
      <c r="AG13" s="104">
        <v>13</v>
      </c>
      <c r="AH13" s="104">
        <v>42</v>
      </c>
      <c r="AI13" s="104">
        <v>22</v>
      </c>
      <c r="AJ13" s="104">
        <v>5</v>
      </c>
      <c r="AK13" s="104">
        <v>12</v>
      </c>
      <c r="AL13" s="104">
        <v>21</v>
      </c>
      <c r="AM13" s="104">
        <v>3</v>
      </c>
      <c r="AN13" s="104">
        <v>16</v>
      </c>
      <c r="AO13" s="104">
        <v>9</v>
      </c>
      <c r="AP13" s="104">
        <v>10</v>
      </c>
      <c r="AQ13" s="210"/>
      <c r="AR13" s="104">
        <v>0</v>
      </c>
      <c r="AS13" s="104">
        <v>0</v>
      </c>
      <c r="AT13" s="104">
        <v>0</v>
      </c>
      <c r="AU13" s="104">
        <v>1</v>
      </c>
      <c r="AV13" s="104">
        <v>179</v>
      </c>
      <c r="AW13" s="210"/>
      <c r="AX13" s="104">
        <v>180</v>
      </c>
      <c r="AY13" s="104">
        <v>2</v>
      </c>
      <c r="AZ13" s="210"/>
      <c r="BA13" s="104">
        <v>2</v>
      </c>
      <c r="BB13" s="104">
        <v>0</v>
      </c>
      <c r="BC13" s="104">
        <v>0</v>
      </c>
      <c r="BD13" s="104">
        <v>0</v>
      </c>
      <c r="BE13" s="104">
        <v>0</v>
      </c>
      <c r="BF13" s="210"/>
      <c r="BG13" s="104">
        <v>2</v>
      </c>
      <c r="BH13" s="104">
        <v>99</v>
      </c>
      <c r="BI13" s="104">
        <v>3</v>
      </c>
      <c r="BJ13" s="104">
        <v>0</v>
      </c>
      <c r="BK13" s="104">
        <v>1</v>
      </c>
      <c r="BL13" s="104">
        <v>454</v>
      </c>
      <c r="BM13" s="104">
        <v>20</v>
      </c>
      <c r="BN13" s="104">
        <v>22085</v>
      </c>
      <c r="BO13" s="104">
        <v>0</v>
      </c>
      <c r="BP13" s="66">
        <v>1</v>
      </c>
      <c r="BQ13" s="104">
        <v>431</v>
      </c>
      <c r="BR13" s="66">
        <v>0</v>
      </c>
      <c r="BS13" s="104">
        <v>0</v>
      </c>
      <c r="BT13" s="210"/>
    </row>
    <row r="14" spans="1:100" s="66" customFormat="1">
      <c r="A14" s="104"/>
      <c r="B14" s="104" t="s">
        <v>1404</v>
      </c>
      <c r="C14" s="104">
        <v>3</v>
      </c>
      <c r="D14" s="104">
        <v>53</v>
      </c>
      <c r="E14" s="104">
        <v>181</v>
      </c>
      <c r="F14" s="104">
        <f t="shared" si="0"/>
        <v>49</v>
      </c>
      <c r="G14" s="104"/>
      <c r="H14" s="210"/>
      <c r="I14" s="104">
        <v>4</v>
      </c>
      <c r="J14" s="104">
        <v>7</v>
      </c>
      <c r="K14" s="104">
        <v>1</v>
      </c>
      <c r="L14" s="104">
        <v>1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210"/>
      <c r="S14" s="104">
        <v>19</v>
      </c>
      <c r="T14" s="104">
        <v>0</v>
      </c>
      <c r="U14" s="104">
        <v>2</v>
      </c>
      <c r="V14" s="104">
        <v>0</v>
      </c>
      <c r="W14" s="104">
        <v>27</v>
      </c>
      <c r="X14" s="104">
        <v>0</v>
      </c>
      <c r="Y14" s="210"/>
      <c r="Z14" s="104">
        <v>54</v>
      </c>
      <c r="AA14" s="104">
        <v>2</v>
      </c>
      <c r="AB14" s="104">
        <v>0</v>
      </c>
      <c r="AC14" s="104">
        <v>3</v>
      </c>
      <c r="AD14" s="104">
        <v>6</v>
      </c>
      <c r="AE14" s="104">
        <v>36</v>
      </c>
      <c r="AF14" s="104">
        <v>22</v>
      </c>
      <c r="AG14" s="104">
        <v>4</v>
      </c>
      <c r="AH14" s="104">
        <v>20</v>
      </c>
      <c r="AI14" s="104">
        <v>15</v>
      </c>
      <c r="AJ14" s="104">
        <v>4</v>
      </c>
      <c r="AK14" s="104">
        <v>7</v>
      </c>
      <c r="AL14" s="104">
        <v>13</v>
      </c>
      <c r="AM14" s="104">
        <v>3</v>
      </c>
      <c r="AN14" s="104">
        <v>4</v>
      </c>
      <c r="AO14" s="104">
        <v>1</v>
      </c>
      <c r="AP14" s="104">
        <v>1</v>
      </c>
      <c r="AQ14" s="210"/>
      <c r="AR14" s="104">
        <v>0</v>
      </c>
      <c r="AS14" s="104">
        <v>1</v>
      </c>
      <c r="AT14" s="104">
        <v>0</v>
      </c>
      <c r="AU14" s="104">
        <v>0</v>
      </c>
      <c r="AV14" s="104">
        <v>48</v>
      </c>
      <c r="AW14" s="210"/>
      <c r="AX14" s="104">
        <v>49</v>
      </c>
      <c r="AY14" s="104">
        <v>2</v>
      </c>
      <c r="AZ14" s="210"/>
      <c r="BA14" s="104">
        <v>2</v>
      </c>
      <c r="BB14" s="104">
        <v>0</v>
      </c>
      <c r="BC14" s="104">
        <v>0</v>
      </c>
      <c r="BD14" s="104">
        <v>0</v>
      </c>
      <c r="BE14" s="104">
        <v>0</v>
      </c>
      <c r="BF14" s="210"/>
      <c r="BG14" s="104">
        <v>0</v>
      </c>
      <c r="BH14" s="104">
        <v>100</v>
      </c>
      <c r="BI14" s="104">
        <v>0</v>
      </c>
      <c r="BJ14" s="104">
        <v>1</v>
      </c>
      <c r="BK14" s="104">
        <v>2</v>
      </c>
      <c r="BL14" s="104">
        <v>982</v>
      </c>
      <c r="BM14" s="104">
        <v>3</v>
      </c>
      <c r="BN14" s="104">
        <v>2004</v>
      </c>
      <c r="BO14" s="104">
        <v>1</v>
      </c>
      <c r="BP14" s="9">
        <v>4</v>
      </c>
      <c r="BQ14" s="104">
        <v>2138</v>
      </c>
      <c r="BR14" s="9">
        <v>0</v>
      </c>
      <c r="BS14" s="104">
        <v>0</v>
      </c>
      <c r="BT14" s="210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</row>
    <row r="15" spans="1:100" s="108" customFormat="1">
      <c r="A15" s="104"/>
      <c r="B15" s="108" t="s">
        <v>1405</v>
      </c>
      <c r="C15" s="108">
        <v>3</v>
      </c>
      <c r="D15" s="108">
        <v>7</v>
      </c>
      <c r="E15" s="108">
        <v>50</v>
      </c>
      <c r="F15" s="104">
        <f t="shared" si="0"/>
        <v>15</v>
      </c>
      <c r="G15" s="104"/>
      <c r="H15" s="210"/>
      <c r="I15" s="108">
        <v>13</v>
      </c>
      <c r="J15" s="108">
        <v>1</v>
      </c>
      <c r="K15" s="108">
        <v>1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210"/>
      <c r="S15" s="108">
        <v>6</v>
      </c>
      <c r="T15" s="108">
        <v>0</v>
      </c>
      <c r="U15" s="108">
        <v>0</v>
      </c>
      <c r="V15" s="108">
        <v>0</v>
      </c>
      <c r="W15" s="108">
        <v>9</v>
      </c>
      <c r="X15" s="108">
        <v>0</v>
      </c>
      <c r="Y15" s="210"/>
      <c r="Z15" s="108">
        <v>16</v>
      </c>
      <c r="AA15" s="108">
        <v>0</v>
      </c>
      <c r="AB15" s="108">
        <v>0</v>
      </c>
      <c r="AC15" s="108">
        <v>0</v>
      </c>
      <c r="AD15" s="108">
        <v>3</v>
      </c>
      <c r="AE15" s="108">
        <v>6</v>
      </c>
      <c r="AF15" s="108">
        <v>6</v>
      </c>
      <c r="AG15" s="108">
        <v>1</v>
      </c>
      <c r="AH15" s="108">
        <v>6</v>
      </c>
      <c r="AI15" s="108">
        <v>6</v>
      </c>
      <c r="AJ15" s="108">
        <v>0</v>
      </c>
      <c r="AK15" s="108">
        <v>1</v>
      </c>
      <c r="AL15" s="108">
        <v>3</v>
      </c>
      <c r="AM15" s="108">
        <v>2</v>
      </c>
      <c r="AN15" s="108">
        <v>3</v>
      </c>
      <c r="AO15" s="108">
        <v>1</v>
      </c>
      <c r="AP15" s="108">
        <v>0</v>
      </c>
      <c r="AQ15" s="210"/>
      <c r="AR15" s="108">
        <v>0</v>
      </c>
      <c r="AS15" s="108">
        <v>0</v>
      </c>
      <c r="AT15" s="108">
        <v>0</v>
      </c>
      <c r="AU15" s="108">
        <v>0</v>
      </c>
      <c r="AV15" s="108">
        <v>15</v>
      </c>
      <c r="AW15" s="210"/>
      <c r="AX15" s="108">
        <v>15</v>
      </c>
      <c r="AY15" s="108">
        <v>0</v>
      </c>
      <c r="AZ15" s="210"/>
      <c r="BA15" s="108">
        <v>0</v>
      </c>
      <c r="BB15" s="108">
        <v>0</v>
      </c>
      <c r="BC15" s="108">
        <v>0</v>
      </c>
      <c r="BD15" s="108">
        <v>0</v>
      </c>
      <c r="BE15" s="108">
        <v>0</v>
      </c>
      <c r="BF15" s="210"/>
      <c r="BG15" s="109">
        <v>0</v>
      </c>
      <c r="BH15" s="108">
        <v>31</v>
      </c>
      <c r="BI15" s="108">
        <v>0</v>
      </c>
      <c r="BJ15" s="104">
        <v>0</v>
      </c>
      <c r="BK15" s="108">
        <v>1</v>
      </c>
      <c r="BL15" s="108">
        <v>492</v>
      </c>
      <c r="BM15" s="108">
        <v>3</v>
      </c>
      <c r="BN15" s="108">
        <v>2675</v>
      </c>
      <c r="BO15" s="108">
        <v>0</v>
      </c>
      <c r="BP15" s="109">
        <v>0</v>
      </c>
      <c r="BQ15" s="109">
        <v>0</v>
      </c>
      <c r="BR15" s="109">
        <v>0</v>
      </c>
      <c r="BS15" s="109">
        <v>0</v>
      </c>
      <c r="BT15" s="210"/>
    </row>
    <row r="16" spans="1:100" s="108" customFormat="1">
      <c r="A16" s="104"/>
      <c r="B16" s="108" t="s">
        <v>1406</v>
      </c>
      <c r="C16" s="108">
        <v>1</v>
      </c>
      <c r="D16" s="108">
        <v>45</v>
      </c>
      <c r="E16" s="108">
        <v>65</v>
      </c>
      <c r="F16" s="104">
        <f t="shared" si="0"/>
        <v>9</v>
      </c>
      <c r="G16" s="104"/>
      <c r="H16" s="210"/>
      <c r="I16" s="108">
        <v>7</v>
      </c>
      <c r="J16" s="108">
        <v>1</v>
      </c>
      <c r="K16" s="108">
        <v>0</v>
      </c>
      <c r="L16" s="108">
        <v>0</v>
      </c>
      <c r="M16" s="108">
        <v>1</v>
      </c>
      <c r="N16" s="108">
        <v>0</v>
      </c>
      <c r="O16" s="108">
        <v>0</v>
      </c>
      <c r="P16" s="108">
        <v>0</v>
      </c>
      <c r="Q16" s="108">
        <v>0</v>
      </c>
      <c r="R16" s="210"/>
      <c r="S16" s="108">
        <v>2</v>
      </c>
      <c r="T16" s="108">
        <v>0</v>
      </c>
      <c r="U16" s="108">
        <v>0</v>
      </c>
      <c r="V16" s="108">
        <v>0</v>
      </c>
      <c r="W16" s="108">
        <v>7</v>
      </c>
      <c r="X16" s="108">
        <v>0</v>
      </c>
      <c r="Y16" s="210"/>
      <c r="Z16" s="108">
        <v>11</v>
      </c>
      <c r="AA16" s="108">
        <v>6</v>
      </c>
      <c r="AB16" s="108">
        <v>0</v>
      </c>
      <c r="AC16" s="108">
        <v>0</v>
      </c>
      <c r="AD16" s="108">
        <v>1</v>
      </c>
      <c r="AE16" s="108">
        <v>8</v>
      </c>
      <c r="AF16" s="108">
        <v>13</v>
      </c>
      <c r="AG16" s="108">
        <v>1</v>
      </c>
      <c r="AH16" s="108">
        <v>5</v>
      </c>
      <c r="AI16" s="108">
        <v>2</v>
      </c>
      <c r="AJ16" s="108">
        <v>1</v>
      </c>
      <c r="AK16" s="108">
        <v>7</v>
      </c>
      <c r="AL16" s="108">
        <v>5</v>
      </c>
      <c r="AM16" s="108">
        <v>4</v>
      </c>
      <c r="AN16" s="108">
        <v>7</v>
      </c>
      <c r="AO16" s="108">
        <v>1</v>
      </c>
      <c r="AP16" s="108">
        <v>3</v>
      </c>
      <c r="AQ16" s="210"/>
      <c r="AR16" s="104">
        <v>0</v>
      </c>
      <c r="AS16" s="108">
        <v>0</v>
      </c>
      <c r="AT16" s="108">
        <v>1</v>
      </c>
      <c r="AU16" s="108">
        <v>0</v>
      </c>
      <c r="AV16" s="108">
        <v>8</v>
      </c>
      <c r="AW16" s="210"/>
      <c r="AX16" s="108">
        <v>9</v>
      </c>
      <c r="AY16" s="108">
        <v>1</v>
      </c>
      <c r="AZ16" s="210"/>
      <c r="BA16" s="108">
        <v>0</v>
      </c>
      <c r="BB16" s="108">
        <v>1</v>
      </c>
      <c r="BC16" s="108">
        <v>0</v>
      </c>
      <c r="BD16" s="108">
        <v>1</v>
      </c>
      <c r="BE16" s="108">
        <v>1</v>
      </c>
      <c r="BF16" s="210"/>
      <c r="BG16" s="109">
        <v>1</v>
      </c>
      <c r="BH16" s="108">
        <v>53</v>
      </c>
      <c r="BI16" s="108">
        <v>0</v>
      </c>
      <c r="BJ16" s="104">
        <v>1</v>
      </c>
      <c r="BK16" s="108">
        <v>14</v>
      </c>
      <c r="BL16" s="108">
        <v>129774</v>
      </c>
      <c r="BM16" s="108">
        <v>9</v>
      </c>
      <c r="BN16" s="108">
        <v>52504</v>
      </c>
      <c r="BO16" s="108">
        <v>10</v>
      </c>
      <c r="BP16" s="109">
        <v>1</v>
      </c>
      <c r="BQ16" s="109">
        <v>17000</v>
      </c>
      <c r="BR16" s="109">
        <v>0</v>
      </c>
      <c r="BS16" s="109">
        <v>0</v>
      </c>
      <c r="BT16" s="210"/>
    </row>
    <row r="17" spans="1:100" s="104" customFormat="1">
      <c r="B17" s="66" t="s">
        <v>1407</v>
      </c>
      <c r="C17" s="105">
        <v>32</v>
      </c>
      <c r="D17" s="104">
        <v>435</v>
      </c>
      <c r="E17" s="104">
        <v>1558</v>
      </c>
      <c r="F17" s="104">
        <f t="shared" si="0"/>
        <v>666</v>
      </c>
      <c r="G17" s="104">
        <v>3</v>
      </c>
      <c r="H17" s="210"/>
      <c r="I17" s="104">
        <v>620</v>
      </c>
      <c r="J17" s="104">
        <v>26</v>
      </c>
      <c r="K17" s="104">
        <v>12</v>
      </c>
      <c r="L17" s="104">
        <v>13</v>
      </c>
      <c r="M17" s="104">
        <v>0</v>
      </c>
      <c r="N17" s="104">
        <v>0</v>
      </c>
      <c r="O17" s="104">
        <v>0</v>
      </c>
      <c r="P17" s="104">
        <v>0</v>
      </c>
      <c r="Q17" s="104">
        <v>0</v>
      </c>
      <c r="R17" s="210"/>
      <c r="S17" s="104">
        <v>137</v>
      </c>
      <c r="T17" s="104">
        <v>3</v>
      </c>
      <c r="U17" s="104">
        <v>137</v>
      </c>
      <c r="V17" s="104">
        <v>1</v>
      </c>
      <c r="W17" s="104">
        <v>373</v>
      </c>
      <c r="X17" s="104">
        <v>22</v>
      </c>
      <c r="Y17" s="210"/>
      <c r="Z17" s="104">
        <v>689</v>
      </c>
      <c r="AA17" s="104">
        <v>23</v>
      </c>
      <c r="AB17" s="104">
        <v>2</v>
      </c>
      <c r="AC17" s="104">
        <v>22</v>
      </c>
      <c r="AD17" s="104">
        <v>32</v>
      </c>
      <c r="AE17" s="104">
        <v>141</v>
      </c>
      <c r="AF17" s="104">
        <v>139</v>
      </c>
      <c r="AG17" s="104">
        <v>41</v>
      </c>
      <c r="AH17" s="104">
        <v>129</v>
      </c>
      <c r="AI17" s="104">
        <v>119</v>
      </c>
      <c r="AJ17" s="104">
        <v>37</v>
      </c>
      <c r="AK17" s="104">
        <v>47</v>
      </c>
      <c r="AL17" s="104">
        <v>95</v>
      </c>
      <c r="AM17" s="104">
        <v>27</v>
      </c>
      <c r="AN17" s="104">
        <v>46</v>
      </c>
      <c r="AO17" s="104">
        <v>27</v>
      </c>
      <c r="AP17" s="104">
        <v>45</v>
      </c>
      <c r="AQ17" s="210"/>
      <c r="AR17" s="104">
        <v>0</v>
      </c>
      <c r="AS17" s="104">
        <v>11</v>
      </c>
      <c r="AT17" s="104">
        <v>2</v>
      </c>
      <c r="AU17" s="104">
        <v>2</v>
      </c>
      <c r="AV17" s="104">
        <v>651</v>
      </c>
      <c r="AW17" s="210"/>
      <c r="AX17" s="104">
        <v>666</v>
      </c>
      <c r="AY17" s="104">
        <v>18</v>
      </c>
      <c r="AZ17" s="210"/>
      <c r="BA17" s="104">
        <v>15</v>
      </c>
      <c r="BB17" s="104">
        <v>3</v>
      </c>
      <c r="BC17" s="104">
        <v>0</v>
      </c>
      <c r="BD17" s="104">
        <v>2</v>
      </c>
      <c r="BE17" s="105">
        <v>2</v>
      </c>
      <c r="BF17" s="210"/>
      <c r="BG17" s="9">
        <v>6</v>
      </c>
      <c r="BH17" s="104">
        <v>599</v>
      </c>
      <c r="BI17" s="104">
        <v>0</v>
      </c>
      <c r="BJ17" s="104">
        <v>0</v>
      </c>
      <c r="BK17" s="104">
        <v>15</v>
      </c>
      <c r="BL17" s="23">
        <v>5799</v>
      </c>
      <c r="BM17" s="104">
        <v>81</v>
      </c>
      <c r="BN17" s="104">
        <v>76544</v>
      </c>
      <c r="BO17" s="104">
        <v>3</v>
      </c>
      <c r="BP17" s="104">
        <v>25</v>
      </c>
      <c r="BQ17" s="104">
        <v>21984</v>
      </c>
      <c r="BR17" s="104">
        <v>2</v>
      </c>
      <c r="BS17" s="104">
        <v>141</v>
      </c>
      <c r="BT17" s="210"/>
      <c r="CT17" s="66"/>
      <c r="CU17" s="66"/>
      <c r="CV17" s="66"/>
    </row>
    <row r="18" spans="1:100" s="104" customFormat="1">
      <c r="B18" s="66" t="s">
        <v>1408</v>
      </c>
      <c r="C18" s="66">
        <v>13</v>
      </c>
      <c r="D18" s="104">
        <v>277</v>
      </c>
      <c r="E18" s="104">
        <v>661</v>
      </c>
      <c r="F18" s="104">
        <f t="shared" si="0"/>
        <v>205</v>
      </c>
      <c r="G18" s="104">
        <v>23</v>
      </c>
      <c r="H18" s="210"/>
      <c r="I18" s="104">
        <v>185</v>
      </c>
      <c r="J18" s="104">
        <v>11</v>
      </c>
      <c r="K18" s="104">
        <v>4</v>
      </c>
      <c r="L18" s="104">
        <v>3</v>
      </c>
      <c r="M18" s="104">
        <v>0</v>
      </c>
      <c r="N18" s="104">
        <v>1</v>
      </c>
      <c r="O18" s="104">
        <v>0</v>
      </c>
      <c r="P18" s="104">
        <v>0</v>
      </c>
      <c r="Q18" s="104">
        <v>0</v>
      </c>
      <c r="R18" s="210"/>
      <c r="S18" s="104">
        <v>42</v>
      </c>
      <c r="T18" s="104">
        <v>2</v>
      </c>
      <c r="U18" s="104">
        <v>5</v>
      </c>
      <c r="V18" s="104">
        <v>3</v>
      </c>
      <c r="W18" s="104">
        <v>151</v>
      </c>
      <c r="X18" s="104">
        <v>7</v>
      </c>
      <c r="Y18" s="210"/>
      <c r="Z18" s="9">
        <v>216</v>
      </c>
      <c r="AA18" s="9">
        <v>5</v>
      </c>
      <c r="AB18" s="9">
        <v>2</v>
      </c>
      <c r="AC18" s="9">
        <v>11</v>
      </c>
      <c r="AD18" s="9">
        <v>6</v>
      </c>
      <c r="AE18" s="9">
        <v>63</v>
      </c>
      <c r="AF18" s="9">
        <v>101</v>
      </c>
      <c r="AG18" s="9">
        <v>30</v>
      </c>
      <c r="AH18" s="9">
        <v>86</v>
      </c>
      <c r="AI18" s="9">
        <v>52</v>
      </c>
      <c r="AJ18" s="9">
        <v>14</v>
      </c>
      <c r="AK18" s="9">
        <v>23</v>
      </c>
      <c r="AL18" s="9">
        <v>41</v>
      </c>
      <c r="AM18" s="9">
        <v>18</v>
      </c>
      <c r="AN18" s="9">
        <v>27</v>
      </c>
      <c r="AO18" s="9">
        <v>22</v>
      </c>
      <c r="AP18" s="9">
        <v>19</v>
      </c>
      <c r="AQ18" s="210"/>
      <c r="AR18" s="104">
        <v>0</v>
      </c>
      <c r="AS18" s="104">
        <v>1</v>
      </c>
      <c r="AT18" s="104">
        <v>0</v>
      </c>
      <c r="AU18" s="104">
        <v>1</v>
      </c>
      <c r="AV18" s="104">
        <v>203</v>
      </c>
      <c r="AW18" s="210"/>
      <c r="AX18" s="104">
        <v>205</v>
      </c>
      <c r="AY18" s="104">
        <v>3</v>
      </c>
      <c r="AZ18" s="210"/>
      <c r="BA18" s="104">
        <v>3</v>
      </c>
      <c r="BB18" s="104">
        <v>0</v>
      </c>
      <c r="BC18" s="104">
        <v>0</v>
      </c>
      <c r="BD18" s="104">
        <v>0</v>
      </c>
      <c r="BE18" s="104">
        <v>0</v>
      </c>
      <c r="BF18" s="210"/>
      <c r="BG18" s="9">
        <v>1</v>
      </c>
      <c r="BH18" s="9">
        <v>319</v>
      </c>
      <c r="BI18" s="9">
        <v>9</v>
      </c>
      <c r="BJ18" s="104">
        <v>0</v>
      </c>
      <c r="BK18" s="9">
        <v>8</v>
      </c>
      <c r="BL18" s="9">
        <v>5833</v>
      </c>
      <c r="BM18" s="9">
        <v>15</v>
      </c>
      <c r="BN18" s="9">
        <v>23193</v>
      </c>
      <c r="BO18" s="9">
        <v>1</v>
      </c>
      <c r="BP18" s="9">
        <v>6</v>
      </c>
      <c r="BQ18" s="9">
        <v>3448</v>
      </c>
      <c r="BR18" s="9">
        <v>0</v>
      </c>
      <c r="BS18" s="9">
        <v>0</v>
      </c>
      <c r="BT18" s="210"/>
      <c r="CT18" s="66"/>
      <c r="CU18" s="66"/>
      <c r="CV18" s="66"/>
    </row>
    <row r="19" spans="1:100" s="104" customFormat="1">
      <c r="B19" s="104" t="s">
        <v>93</v>
      </c>
      <c r="C19" s="104">
        <v>3</v>
      </c>
      <c r="D19" s="104">
        <v>41</v>
      </c>
      <c r="E19" s="104">
        <v>193</v>
      </c>
      <c r="F19" s="104">
        <f t="shared" si="0"/>
        <v>70</v>
      </c>
      <c r="H19" s="210"/>
      <c r="I19" s="104">
        <v>64</v>
      </c>
      <c r="J19" s="104">
        <v>3</v>
      </c>
      <c r="K19" s="104">
        <v>0</v>
      </c>
      <c r="L19" s="104">
        <v>2</v>
      </c>
      <c r="M19" s="104">
        <v>0</v>
      </c>
      <c r="N19" s="104">
        <v>0</v>
      </c>
      <c r="O19" s="104">
        <v>0</v>
      </c>
      <c r="P19" s="104">
        <v>0</v>
      </c>
      <c r="Q19" s="104">
        <v>0</v>
      </c>
      <c r="R19" s="210"/>
      <c r="S19" s="104">
        <v>13</v>
      </c>
      <c r="T19" s="104">
        <v>1</v>
      </c>
      <c r="U19" s="104">
        <v>1</v>
      </c>
      <c r="V19" s="104">
        <v>2</v>
      </c>
      <c r="W19" s="104">
        <v>44</v>
      </c>
      <c r="X19" s="104">
        <v>6</v>
      </c>
      <c r="Y19" s="210"/>
      <c r="Z19" s="104">
        <v>76</v>
      </c>
      <c r="AA19" s="104">
        <v>13</v>
      </c>
      <c r="AB19" s="104">
        <v>0</v>
      </c>
      <c r="AC19" s="104">
        <v>0</v>
      </c>
      <c r="AD19" s="104">
        <v>0</v>
      </c>
      <c r="AE19" s="104">
        <v>44</v>
      </c>
      <c r="AF19" s="104">
        <v>19</v>
      </c>
      <c r="AG19" s="104">
        <v>2</v>
      </c>
      <c r="AH19" s="104">
        <v>13</v>
      </c>
      <c r="AI19" s="104">
        <v>6</v>
      </c>
      <c r="AJ19" s="104">
        <v>4</v>
      </c>
      <c r="AK19" s="104">
        <v>8</v>
      </c>
      <c r="AL19" s="104">
        <v>8</v>
      </c>
      <c r="AM19" s="104">
        <v>1</v>
      </c>
      <c r="AN19" s="104">
        <v>6</v>
      </c>
      <c r="AO19" s="104">
        <v>1</v>
      </c>
      <c r="AP19" s="104">
        <v>10</v>
      </c>
      <c r="AQ19" s="210"/>
      <c r="AR19" s="104">
        <v>0</v>
      </c>
      <c r="AS19" s="104">
        <v>1</v>
      </c>
      <c r="AT19" s="104">
        <v>0</v>
      </c>
      <c r="AU19" s="104">
        <v>1</v>
      </c>
      <c r="AV19" s="104">
        <v>68</v>
      </c>
      <c r="AW19" s="210"/>
      <c r="AX19" s="104">
        <v>70</v>
      </c>
      <c r="AY19" s="104">
        <v>2</v>
      </c>
      <c r="AZ19" s="210"/>
      <c r="BA19" s="104">
        <v>0</v>
      </c>
      <c r="BB19" s="104">
        <v>1</v>
      </c>
      <c r="BC19" s="105">
        <v>1</v>
      </c>
      <c r="BD19" s="104">
        <v>0</v>
      </c>
      <c r="BE19" s="104">
        <v>0</v>
      </c>
      <c r="BF19" s="210"/>
      <c r="BG19" s="9">
        <v>0</v>
      </c>
      <c r="BH19" s="104">
        <v>37</v>
      </c>
      <c r="BI19" s="104">
        <v>0</v>
      </c>
      <c r="BJ19" s="104">
        <v>0</v>
      </c>
      <c r="BK19" s="104">
        <v>0</v>
      </c>
      <c r="BL19" s="104">
        <v>0</v>
      </c>
      <c r="BM19" s="104">
        <v>0</v>
      </c>
      <c r="BN19" s="104">
        <v>0</v>
      </c>
      <c r="BO19" s="104">
        <v>0</v>
      </c>
      <c r="BP19" s="104">
        <v>0</v>
      </c>
      <c r="BQ19" s="104">
        <v>0</v>
      </c>
      <c r="BR19" s="9">
        <v>0</v>
      </c>
      <c r="BS19" s="9">
        <v>0</v>
      </c>
      <c r="BT19" s="210"/>
    </row>
    <row r="20" spans="1:100" s="104" customFormat="1">
      <c r="B20" s="104" t="s">
        <v>1409</v>
      </c>
      <c r="C20" s="104">
        <v>1</v>
      </c>
      <c r="D20" s="104">
        <v>21</v>
      </c>
      <c r="E20" s="104">
        <v>111</v>
      </c>
      <c r="F20" s="104">
        <f t="shared" si="0"/>
        <v>64</v>
      </c>
      <c r="H20" s="210"/>
      <c r="I20" s="104">
        <v>55</v>
      </c>
      <c r="J20" s="104">
        <v>2</v>
      </c>
      <c r="K20" s="104">
        <v>0</v>
      </c>
      <c r="L20" s="104">
        <v>0</v>
      </c>
      <c r="M20" s="104">
        <v>0</v>
      </c>
      <c r="N20" s="104">
        <v>0</v>
      </c>
      <c r="O20" s="104">
        <v>0</v>
      </c>
      <c r="P20" s="104">
        <v>0</v>
      </c>
      <c r="Q20" s="104">
        <v>0</v>
      </c>
      <c r="R20" s="210"/>
      <c r="S20" s="104">
        <v>15</v>
      </c>
      <c r="T20" s="104">
        <v>0</v>
      </c>
      <c r="U20" s="104">
        <v>1</v>
      </c>
      <c r="V20" s="104">
        <v>0</v>
      </c>
      <c r="W20" s="104">
        <v>46</v>
      </c>
      <c r="X20" s="104">
        <v>1</v>
      </c>
      <c r="Y20" s="210"/>
      <c r="Z20" s="104">
        <v>68</v>
      </c>
      <c r="AA20" s="104">
        <v>6</v>
      </c>
      <c r="AB20" s="104">
        <v>0</v>
      </c>
      <c r="AC20" s="104">
        <v>1</v>
      </c>
      <c r="AD20" s="104">
        <v>2</v>
      </c>
      <c r="AE20" s="104">
        <v>3</v>
      </c>
      <c r="AF20" s="104">
        <v>5</v>
      </c>
      <c r="AG20" s="104">
        <v>2</v>
      </c>
      <c r="AH20" s="104">
        <v>7</v>
      </c>
      <c r="AI20" s="104">
        <v>10</v>
      </c>
      <c r="AJ20" s="104">
        <v>2</v>
      </c>
      <c r="AK20" s="104">
        <v>2</v>
      </c>
      <c r="AL20" s="104">
        <v>4</v>
      </c>
      <c r="AM20" s="104">
        <v>0</v>
      </c>
      <c r="AN20" s="104">
        <v>1</v>
      </c>
      <c r="AO20" s="104">
        <v>0</v>
      </c>
      <c r="AP20" s="104">
        <v>2</v>
      </c>
      <c r="AQ20" s="210"/>
      <c r="AR20" s="104">
        <v>0</v>
      </c>
      <c r="AS20" s="104">
        <v>0</v>
      </c>
      <c r="AT20" s="104">
        <v>0</v>
      </c>
      <c r="AU20" s="104">
        <v>0</v>
      </c>
      <c r="AV20" s="104">
        <v>64</v>
      </c>
      <c r="AW20" s="210"/>
      <c r="AX20" s="104">
        <v>64</v>
      </c>
      <c r="AY20" s="104">
        <v>1</v>
      </c>
      <c r="AZ20" s="210"/>
      <c r="BA20" s="104">
        <v>0</v>
      </c>
      <c r="BB20" s="104">
        <v>1</v>
      </c>
      <c r="BC20" s="104">
        <v>0</v>
      </c>
      <c r="BD20" s="104">
        <v>1</v>
      </c>
      <c r="BE20" s="104">
        <v>0</v>
      </c>
      <c r="BF20" s="210"/>
      <c r="BG20" s="9">
        <v>0</v>
      </c>
      <c r="BH20" s="104">
        <v>28</v>
      </c>
      <c r="BI20" s="104">
        <v>0</v>
      </c>
      <c r="BJ20" s="104">
        <v>0</v>
      </c>
      <c r="BK20" s="104">
        <v>2</v>
      </c>
      <c r="BL20" s="104">
        <v>677</v>
      </c>
      <c r="BM20" s="104">
        <v>2</v>
      </c>
      <c r="BN20" s="104">
        <v>2258</v>
      </c>
      <c r="BO20" s="104">
        <v>0</v>
      </c>
      <c r="BP20" s="9">
        <v>1</v>
      </c>
      <c r="BQ20" s="9">
        <v>281</v>
      </c>
      <c r="BR20" s="9">
        <v>0</v>
      </c>
      <c r="BS20" s="9">
        <v>0</v>
      </c>
      <c r="BT20" s="210"/>
    </row>
    <row r="21" spans="1:100" s="104" customFormat="1">
      <c r="B21" s="104" t="s">
        <v>1410</v>
      </c>
      <c r="C21" s="104">
        <v>15</v>
      </c>
      <c r="D21" s="104">
        <v>182</v>
      </c>
      <c r="E21" s="104">
        <v>651</v>
      </c>
      <c r="F21" s="104">
        <f t="shared" si="0"/>
        <v>288</v>
      </c>
      <c r="G21" s="104">
        <v>12</v>
      </c>
      <c r="H21" s="210"/>
      <c r="I21" s="104">
        <v>256</v>
      </c>
      <c r="J21" s="104">
        <v>5</v>
      </c>
      <c r="K21" s="104">
        <v>7</v>
      </c>
      <c r="L21" s="104">
        <v>4</v>
      </c>
      <c r="M21" s="104">
        <v>0</v>
      </c>
      <c r="N21" s="104">
        <v>0</v>
      </c>
      <c r="O21" s="104">
        <v>0</v>
      </c>
      <c r="P21" s="104">
        <v>0</v>
      </c>
      <c r="Q21" s="104">
        <v>0</v>
      </c>
      <c r="R21" s="210"/>
      <c r="S21" s="104">
        <v>65</v>
      </c>
      <c r="T21" s="104">
        <v>2</v>
      </c>
      <c r="U21" s="104">
        <v>3</v>
      </c>
      <c r="V21" s="104">
        <v>1</v>
      </c>
      <c r="W21" s="104">
        <v>199</v>
      </c>
      <c r="X21" s="104">
        <v>8</v>
      </c>
      <c r="Y21" s="210"/>
      <c r="Z21" s="104">
        <v>297</v>
      </c>
      <c r="AA21" s="104">
        <v>25</v>
      </c>
      <c r="AB21" s="104">
        <v>3</v>
      </c>
      <c r="AC21" s="104">
        <v>13</v>
      </c>
      <c r="AD21" s="104">
        <v>8</v>
      </c>
      <c r="AE21" s="104">
        <v>38</v>
      </c>
      <c r="AF21" s="104">
        <v>81</v>
      </c>
      <c r="AG21" s="104">
        <v>17</v>
      </c>
      <c r="AH21" s="104">
        <v>55</v>
      </c>
      <c r="AI21" s="104">
        <v>55</v>
      </c>
      <c r="AJ21" s="104">
        <v>12</v>
      </c>
      <c r="AK21" s="104">
        <v>28</v>
      </c>
      <c r="AL21" s="104">
        <v>32</v>
      </c>
      <c r="AM21" s="104">
        <v>4</v>
      </c>
      <c r="AN21" s="104">
        <v>14</v>
      </c>
      <c r="AO21" s="104">
        <v>12</v>
      </c>
      <c r="AP21" s="104">
        <v>21</v>
      </c>
      <c r="AQ21" s="210"/>
      <c r="AR21" s="104">
        <v>0</v>
      </c>
      <c r="AS21" s="104">
        <v>1</v>
      </c>
      <c r="AT21" s="104">
        <v>1</v>
      </c>
      <c r="AU21" s="104">
        <v>2</v>
      </c>
      <c r="AV21" s="104">
        <v>284</v>
      </c>
      <c r="AW21" s="210"/>
      <c r="AX21" s="104">
        <v>288</v>
      </c>
      <c r="AY21" s="104">
        <v>9</v>
      </c>
      <c r="AZ21" s="210"/>
      <c r="BA21" s="104">
        <v>7</v>
      </c>
      <c r="BB21" s="104">
        <v>2</v>
      </c>
      <c r="BC21" s="104">
        <v>0</v>
      </c>
      <c r="BD21" s="104">
        <v>0</v>
      </c>
      <c r="BE21" s="104">
        <v>0</v>
      </c>
      <c r="BF21" s="210"/>
      <c r="BG21" s="104">
        <v>1</v>
      </c>
      <c r="BH21" s="104">
        <v>247</v>
      </c>
      <c r="BI21" s="104">
        <v>0</v>
      </c>
      <c r="BJ21" s="104">
        <v>0</v>
      </c>
      <c r="BK21" s="104">
        <v>7</v>
      </c>
      <c r="BL21" s="104">
        <v>8489</v>
      </c>
      <c r="BM21" s="104">
        <v>22</v>
      </c>
      <c r="BN21" s="104">
        <v>34546</v>
      </c>
      <c r="BO21" s="104">
        <v>4</v>
      </c>
      <c r="BP21" s="104">
        <v>2</v>
      </c>
      <c r="BQ21" s="104">
        <v>4735</v>
      </c>
      <c r="BR21" s="104">
        <v>0</v>
      </c>
      <c r="BS21" s="104">
        <v>0</v>
      </c>
      <c r="BT21" s="210"/>
      <c r="CT21" s="66"/>
      <c r="CU21" s="66"/>
      <c r="CV21" s="66"/>
    </row>
    <row r="22" spans="1:100" s="104" customFormat="1">
      <c r="B22" s="104" t="s">
        <v>1411</v>
      </c>
      <c r="C22" s="104">
        <v>11</v>
      </c>
      <c r="D22" s="104">
        <v>137</v>
      </c>
      <c r="E22" s="104">
        <v>506</v>
      </c>
      <c r="F22" s="104">
        <f t="shared" si="0"/>
        <v>226</v>
      </c>
      <c r="G22" s="104">
        <v>18</v>
      </c>
      <c r="H22" s="210"/>
      <c r="I22" s="104">
        <v>206</v>
      </c>
      <c r="J22" s="104">
        <v>13</v>
      </c>
      <c r="K22" s="104">
        <v>6</v>
      </c>
      <c r="L22" s="104">
        <v>1</v>
      </c>
      <c r="M22" s="104">
        <v>0</v>
      </c>
      <c r="N22" s="104">
        <v>0</v>
      </c>
      <c r="O22" s="104">
        <v>0</v>
      </c>
      <c r="P22" s="104">
        <v>0</v>
      </c>
      <c r="Q22" s="104">
        <v>0</v>
      </c>
      <c r="R22" s="210"/>
      <c r="S22" s="104">
        <v>57</v>
      </c>
      <c r="T22" s="104">
        <v>0</v>
      </c>
      <c r="U22" s="104">
        <v>2</v>
      </c>
      <c r="V22" s="104">
        <v>0</v>
      </c>
      <c r="W22" s="104">
        <v>162</v>
      </c>
      <c r="X22" s="104">
        <v>6</v>
      </c>
      <c r="Y22" s="210"/>
      <c r="Z22" s="104">
        <v>236</v>
      </c>
      <c r="AA22" s="104">
        <v>9</v>
      </c>
      <c r="AB22" s="104">
        <v>3</v>
      </c>
      <c r="AC22" s="104">
        <v>9</v>
      </c>
      <c r="AD22" s="104">
        <v>8</v>
      </c>
      <c r="AE22" s="104">
        <v>36</v>
      </c>
      <c r="AF22" s="104">
        <v>46</v>
      </c>
      <c r="AG22" s="104">
        <v>19</v>
      </c>
      <c r="AH22" s="104">
        <v>59</v>
      </c>
      <c r="AI22" s="104">
        <v>49</v>
      </c>
      <c r="AJ22" s="104">
        <v>8</v>
      </c>
      <c r="AK22" s="104">
        <v>10</v>
      </c>
      <c r="AL22" s="104">
        <v>32</v>
      </c>
      <c r="AM22" s="104">
        <v>3</v>
      </c>
      <c r="AN22" s="104">
        <v>15</v>
      </c>
      <c r="AO22" s="104">
        <v>17</v>
      </c>
      <c r="AP22" s="104">
        <v>11</v>
      </c>
      <c r="AQ22" s="210"/>
      <c r="AR22" s="104">
        <v>0</v>
      </c>
      <c r="AS22" s="104">
        <v>1</v>
      </c>
      <c r="AT22" s="104">
        <v>1</v>
      </c>
      <c r="AU22" s="104">
        <v>0</v>
      </c>
      <c r="AV22" s="104">
        <v>224</v>
      </c>
      <c r="AW22" s="210"/>
      <c r="AX22" s="104">
        <v>226</v>
      </c>
      <c r="AY22" s="104">
        <v>6</v>
      </c>
      <c r="AZ22" s="210"/>
      <c r="BA22" s="104">
        <v>6</v>
      </c>
      <c r="BB22" s="104">
        <v>0</v>
      </c>
      <c r="BC22" s="104">
        <v>0</v>
      </c>
      <c r="BD22" s="104">
        <v>0</v>
      </c>
      <c r="BE22" s="104">
        <v>0</v>
      </c>
      <c r="BF22" s="210"/>
      <c r="BG22" s="104">
        <v>1</v>
      </c>
      <c r="BH22" s="104">
        <v>218</v>
      </c>
      <c r="BI22" s="104">
        <v>8</v>
      </c>
      <c r="BJ22" s="104">
        <v>2</v>
      </c>
      <c r="BK22" s="104">
        <v>24</v>
      </c>
      <c r="BL22" s="104">
        <v>35731</v>
      </c>
      <c r="BM22" s="104">
        <v>57</v>
      </c>
      <c r="BN22" s="104">
        <v>61830</v>
      </c>
      <c r="BO22" s="104">
        <v>2</v>
      </c>
      <c r="BP22" s="104">
        <v>17</v>
      </c>
      <c r="BQ22" s="104">
        <v>6403</v>
      </c>
      <c r="BR22" s="9">
        <v>3</v>
      </c>
      <c r="BS22" s="104">
        <v>902</v>
      </c>
      <c r="BT22" s="210"/>
      <c r="CS22" s="66"/>
      <c r="CT22" s="66"/>
      <c r="CU22" s="66"/>
    </row>
    <row r="23" spans="1:100" s="104" customFormat="1">
      <c r="B23" s="104" t="s">
        <v>1412</v>
      </c>
      <c r="C23" s="104">
        <v>7</v>
      </c>
      <c r="D23" s="104">
        <v>55</v>
      </c>
      <c r="E23" s="104">
        <v>219</v>
      </c>
      <c r="F23" s="104">
        <f t="shared" si="0"/>
        <v>122</v>
      </c>
      <c r="H23" s="210"/>
      <c r="I23" s="104">
        <v>117</v>
      </c>
      <c r="J23" s="104">
        <v>3</v>
      </c>
      <c r="K23" s="104">
        <v>2</v>
      </c>
      <c r="L23" s="104">
        <v>0</v>
      </c>
      <c r="M23" s="104">
        <v>0</v>
      </c>
      <c r="N23" s="104">
        <v>0</v>
      </c>
      <c r="O23" s="104">
        <v>0</v>
      </c>
      <c r="P23" s="104">
        <v>0</v>
      </c>
      <c r="Q23" s="104">
        <v>0</v>
      </c>
      <c r="R23" s="210"/>
      <c r="S23" s="104">
        <v>27</v>
      </c>
      <c r="T23" s="104">
        <v>0</v>
      </c>
      <c r="U23" s="104">
        <v>2</v>
      </c>
      <c r="V23" s="104">
        <v>0</v>
      </c>
      <c r="W23" s="104">
        <v>90</v>
      </c>
      <c r="X23" s="104">
        <v>3</v>
      </c>
      <c r="Y23" s="210"/>
      <c r="Z23" s="104">
        <v>123</v>
      </c>
      <c r="AA23" s="104">
        <v>2</v>
      </c>
      <c r="AB23" s="104">
        <v>1</v>
      </c>
      <c r="AC23" s="104">
        <v>4</v>
      </c>
      <c r="AD23" s="104">
        <v>2</v>
      </c>
      <c r="AE23" s="104">
        <v>18</v>
      </c>
      <c r="AF23" s="104">
        <v>16</v>
      </c>
      <c r="AG23" s="104">
        <v>6</v>
      </c>
      <c r="AH23" s="104">
        <v>20</v>
      </c>
      <c r="AI23" s="104">
        <v>10</v>
      </c>
      <c r="AJ23" s="104">
        <v>2</v>
      </c>
      <c r="AK23" s="104">
        <v>4</v>
      </c>
      <c r="AL23" s="104">
        <v>14</v>
      </c>
      <c r="AM23" s="104">
        <v>1</v>
      </c>
      <c r="AN23" s="104">
        <v>2</v>
      </c>
      <c r="AO23" s="104">
        <v>4</v>
      </c>
      <c r="AP23" s="104">
        <v>3</v>
      </c>
      <c r="AQ23" s="210"/>
      <c r="AR23" s="104">
        <v>0</v>
      </c>
      <c r="AS23" s="104">
        <v>2</v>
      </c>
      <c r="AT23" s="104">
        <v>0</v>
      </c>
      <c r="AU23" s="104">
        <v>0</v>
      </c>
      <c r="AV23" s="104">
        <v>120</v>
      </c>
      <c r="AW23" s="210"/>
      <c r="AX23" s="104">
        <v>122</v>
      </c>
      <c r="AY23" s="104">
        <v>1</v>
      </c>
      <c r="AZ23" s="210"/>
      <c r="BA23" s="104">
        <v>1</v>
      </c>
      <c r="BB23" s="104">
        <v>0</v>
      </c>
      <c r="BC23" s="104">
        <v>0</v>
      </c>
      <c r="BD23" s="104">
        <v>0</v>
      </c>
      <c r="BE23" s="104">
        <v>0</v>
      </c>
      <c r="BF23" s="210"/>
      <c r="BG23" s="9">
        <v>2</v>
      </c>
      <c r="BH23" s="104">
        <v>98</v>
      </c>
      <c r="BI23" s="104">
        <v>2</v>
      </c>
      <c r="BJ23" s="104">
        <v>0</v>
      </c>
      <c r="BK23" s="104">
        <v>3</v>
      </c>
      <c r="BL23" s="104">
        <v>646</v>
      </c>
      <c r="BM23" s="104">
        <v>18</v>
      </c>
      <c r="BN23" s="104">
        <v>30955</v>
      </c>
      <c r="BO23" s="104">
        <v>0</v>
      </c>
      <c r="BP23" s="9">
        <v>1</v>
      </c>
      <c r="BQ23" s="9">
        <v>568</v>
      </c>
      <c r="BR23" s="9">
        <f>SUM('[1]Iowa-142'!CE153)</f>
        <v>0</v>
      </c>
      <c r="BS23" s="104">
        <v>0</v>
      </c>
      <c r="BT23" s="210"/>
    </row>
    <row r="24" spans="1:100" s="65" customFormat="1">
      <c r="A24" s="104"/>
      <c r="B24" s="104" t="s">
        <v>1413</v>
      </c>
      <c r="C24" s="104">
        <v>8</v>
      </c>
      <c r="D24" s="104">
        <v>77</v>
      </c>
      <c r="E24" s="104">
        <v>293</v>
      </c>
      <c r="F24" s="104">
        <f t="shared" si="0"/>
        <v>145</v>
      </c>
      <c r="G24" s="104"/>
      <c r="H24" s="210"/>
      <c r="I24" s="104">
        <v>138</v>
      </c>
      <c r="J24" s="104">
        <v>4</v>
      </c>
      <c r="K24" s="104">
        <v>3</v>
      </c>
      <c r="L24" s="104">
        <v>0</v>
      </c>
      <c r="M24" s="104">
        <v>0</v>
      </c>
      <c r="N24" s="104">
        <v>0</v>
      </c>
      <c r="O24" s="104">
        <v>0</v>
      </c>
      <c r="P24" s="104">
        <v>0</v>
      </c>
      <c r="Q24" s="104">
        <v>0</v>
      </c>
      <c r="R24" s="210"/>
      <c r="S24" s="104">
        <v>36</v>
      </c>
      <c r="T24" s="104">
        <v>0</v>
      </c>
      <c r="U24" s="104">
        <v>5</v>
      </c>
      <c r="V24" s="104">
        <v>0</v>
      </c>
      <c r="W24" s="104">
        <v>102</v>
      </c>
      <c r="X24" s="104">
        <v>3</v>
      </c>
      <c r="Y24" s="210"/>
      <c r="Z24" s="104">
        <v>147</v>
      </c>
      <c r="AA24" s="104">
        <v>4</v>
      </c>
      <c r="AB24" s="104">
        <v>0</v>
      </c>
      <c r="AC24" s="104">
        <v>1</v>
      </c>
      <c r="AD24" s="104">
        <v>6</v>
      </c>
      <c r="AE24" s="104">
        <v>19</v>
      </c>
      <c r="AF24" s="104">
        <v>28</v>
      </c>
      <c r="AG24" s="104">
        <v>7</v>
      </c>
      <c r="AH24" s="104">
        <v>33</v>
      </c>
      <c r="AI24" s="104">
        <v>24</v>
      </c>
      <c r="AJ24" s="104">
        <v>4</v>
      </c>
      <c r="AK24" s="104">
        <v>7</v>
      </c>
      <c r="AL24" s="104">
        <v>16</v>
      </c>
      <c r="AM24" s="104">
        <v>3</v>
      </c>
      <c r="AN24" s="104">
        <v>3</v>
      </c>
      <c r="AO24" s="104">
        <v>6</v>
      </c>
      <c r="AP24" s="104">
        <v>5</v>
      </c>
      <c r="AQ24" s="210"/>
      <c r="AR24" s="104">
        <v>0</v>
      </c>
      <c r="AS24" s="104">
        <v>0</v>
      </c>
      <c r="AT24" s="104">
        <v>1</v>
      </c>
      <c r="AU24" s="104">
        <v>0</v>
      </c>
      <c r="AV24" s="104">
        <v>144</v>
      </c>
      <c r="AW24" s="210"/>
      <c r="AX24" s="104">
        <v>145</v>
      </c>
      <c r="AY24" s="104">
        <v>1</v>
      </c>
      <c r="AZ24" s="210"/>
      <c r="BA24" s="104">
        <v>1</v>
      </c>
      <c r="BB24" s="104">
        <v>0</v>
      </c>
      <c r="BC24" s="104">
        <v>0</v>
      </c>
      <c r="BD24" s="104">
        <v>0</v>
      </c>
      <c r="BE24" s="104">
        <v>0</v>
      </c>
      <c r="BF24" s="210"/>
      <c r="BG24" s="104">
        <v>2</v>
      </c>
      <c r="BH24" s="104">
        <v>109</v>
      </c>
      <c r="BI24" s="104">
        <v>6</v>
      </c>
      <c r="BJ24" s="104">
        <v>0</v>
      </c>
      <c r="BK24" s="104">
        <v>8</v>
      </c>
      <c r="BL24" s="104">
        <v>22418</v>
      </c>
      <c r="BM24" s="104">
        <v>14</v>
      </c>
      <c r="BN24" s="104">
        <v>24732</v>
      </c>
      <c r="BO24" s="104">
        <v>1</v>
      </c>
      <c r="BP24" s="9">
        <v>11</v>
      </c>
      <c r="BQ24" s="9">
        <v>9407</v>
      </c>
      <c r="BR24" s="104">
        <v>0</v>
      </c>
      <c r="BS24" s="104">
        <v>0</v>
      </c>
      <c r="BT24" s="210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</row>
    <row r="25" spans="1:100" s="104" customFormat="1">
      <c r="B25" s="104" t="s">
        <v>1414</v>
      </c>
      <c r="C25" s="66">
        <v>9</v>
      </c>
      <c r="D25" s="104">
        <v>72</v>
      </c>
      <c r="E25" s="104">
        <v>351</v>
      </c>
      <c r="F25" s="104">
        <f t="shared" si="0"/>
        <v>170</v>
      </c>
      <c r="H25" s="210"/>
      <c r="I25" s="104">
        <v>163</v>
      </c>
      <c r="J25" s="104">
        <v>3</v>
      </c>
      <c r="K25" s="104">
        <v>2</v>
      </c>
      <c r="L25" s="104">
        <v>0</v>
      </c>
      <c r="M25" s="104">
        <v>0</v>
      </c>
      <c r="N25" s="104">
        <v>0</v>
      </c>
      <c r="O25" s="104">
        <v>0</v>
      </c>
      <c r="P25" s="104">
        <v>0</v>
      </c>
      <c r="Q25" s="104">
        <v>0</v>
      </c>
      <c r="R25" s="210"/>
      <c r="S25" s="104">
        <v>32</v>
      </c>
      <c r="T25" s="104">
        <v>0</v>
      </c>
      <c r="U25" s="104">
        <v>20</v>
      </c>
      <c r="V25" s="104">
        <v>2</v>
      </c>
      <c r="W25" s="104">
        <v>105</v>
      </c>
      <c r="X25" s="104">
        <v>11</v>
      </c>
      <c r="Y25" s="210"/>
      <c r="Z25" s="66">
        <v>175</v>
      </c>
      <c r="AA25" s="66">
        <v>9</v>
      </c>
      <c r="AB25" s="66">
        <v>1</v>
      </c>
      <c r="AC25" s="66">
        <v>3</v>
      </c>
      <c r="AD25" s="66">
        <v>6</v>
      </c>
      <c r="AE25" s="66">
        <v>26</v>
      </c>
      <c r="AF25" s="66">
        <v>32</v>
      </c>
      <c r="AG25" s="66">
        <v>9</v>
      </c>
      <c r="AH25" s="66">
        <v>31</v>
      </c>
      <c r="AI25" s="66">
        <v>26</v>
      </c>
      <c r="AJ25" s="66">
        <v>3</v>
      </c>
      <c r="AK25" s="66">
        <v>7</v>
      </c>
      <c r="AL25" s="66">
        <v>15</v>
      </c>
      <c r="AM25" s="66">
        <v>1</v>
      </c>
      <c r="AN25" s="66">
        <v>5</v>
      </c>
      <c r="AO25" s="66">
        <v>4</v>
      </c>
      <c r="AP25" s="66">
        <v>15</v>
      </c>
      <c r="AQ25" s="210"/>
      <c r="AR25" s="104">
        <v>0</v>
      </c>
      <c r="AS25" s="104">
        <v>0</v>
      </c>
      <c r="AT25" s="104">
        <v>1</v>
      </c>
      <c r="AU25" s="104">
        <v>0</v>
      </c>
      <c r="AV25" s="104">
        <v>169</v>
      </c>
      <c r="AW25" s="210"/>
      <c r="AX25" s="104">
        <v>170</v>
      </c>
      <c r="AY25" s="104">
        <v>1</v>
      </c>
      <c r="AZ25" s="210"/>
      <c r="BA25" s="104">
        <v>1</v>
      </c>
      <c r="BB25" s="104">
        <v>0</v>
      </c>
      <c r="BC25" s="104">
        <v>0</v>
      </c>
      <c r="BD25" s="104">
        <v>0</v>
      </c>
      <c r="BE25" s="104">
        <v>0</v>
      </c>
      <c r="BF25" s="210"/>
      <c r="BG25" s="66">
        <v>1</v>
      </c>
      <c r="BH25" s="104">
        <v>107</v>
      </c>
      <c r="BI25" s="104">
        <v>0</v>
      </c>
      <c r="BJ25" s="104">
        <v>0</v>
      </c>
      <c r="BK25" s="104">
        <v>0</v>
      </c>
      <c r="BL25" s="104">
        <v>0</v>
      </c>
      <c r="BM25" s="104">
        <v>9</v>
      </c>
      <c r="BN25" s="104">
        <v>61660</v>
      </c>
      <c r="BO25" s="104">
        <v>1</v>
      </c>
      <c r="BP25" s="104">
        <v>0</v>
      </c>
      <c r="BQ25" s="104">
        <v>0</v>
      </c>
      <c r="BR25" s="66">
        <v>0</v>
      </c>
      <c r="BS25" s="66">
        <v>0</v>
      </c>
      <c r="BT25" s="210"/>
    </row>
    <row r="26" spans="1:100" s="66" customFormat="1">
      <c r="A26" s="104"/>
      <c r="B26" s="104" t="s">
        <v>1415</v>
      </c>
      <c r="C26" s="66">
        <v>5</v>
      </c>
      <c r="D26" s="104">
        <v>78</v>
      </c>
      <c r="E26" s="104">
        <v>342</v>
      </c>
      <c r="F26" s="104">
        <f t="shared" si="0"/>
        <v>200</v>
      </c>
      <c r="G26" s="66">
        <v>24</v>
      </c>
      <c r="H26" s="210"/>
      <c r="I26" s="104">
        <v>187</v>
      </c>
      <c r="J26" s="104">
        <v>9</v>
      </c>
      <c r="K26" s="104">
        <v>3</v>
      </c>
      <c r="L26" s="104">
        <v>0</v>
      </c>
      <c r="M26" s="104">
        <v>0</v>
      </c>
      <c r="N26" s="104">
        <v>0</v>
      </c>
      <c r="O26" s="104">
        <v>0</v>
      </c>
      <c r="P26" s="104">
        <v>0</v>
      </c>
      <c r="Q26" s="104">
        <v>0</v>
      </c>
      <c r="R26" s="210"/>
      <c r="S26" s="104">
        <v>27</v>
      </c>
      <c r="T26" s="104">
        <v>0</v>
      </c>
      <c r="U26" s="104">
        <v>3</v>
      </c>
      <c r="V26" s="104">
        <v>0</v>
      </c>
      <c r="W26" s="104">
        <v>159</v>
      </c>
      <c r="X26" s="104">
        <v>11</v>
      </c>
      <c r="Y26" s="210"/>
      <c r="Z26" s="66">
        <v>207</v>
      </c>
      <c r="AA26" s="66">
        <v>0</v>
      </c>
      <c r="AB26" s="66">
        <v>1</v>
      </c>
      <c r="AC26" s="66">
        <v>3</v>
      </c>
      <c r="AD26" s="66">
        <v>3</v>
      </c>
      <c r="AE26" s="66">
        <v>23</v>
      </c>
      <c r="AF26" s="66">
        <v>28</v>
      </c>
      <c r="AG26" s="66">
        <v>9</v>
      </c>
      <c r="AH26" s="66">
        <v>22</v>
      </c>
      <c r="AI26" s="66">
        <v>23</v>
      </c>
      <c r="AJ26" s="66">
        <v>8</v>
      </c>
      <c r="AK26" s="66">
        <v>7</v>
      </c>
      <c r="AL26" s="66">
        <v>19</v>
      </c>
      <c r="AM26" s="66">
        <v>0</v>
      </c>
      <c r="AN26" s="66">
        <v>5</v>
      </c>
      <c r="AO26" s="66">
        <v>6</v>
      </c>
      <c r="AP26" s="66">
        <v>3</v>
      </c>
      <c r="AQ26" s="210"/>
      <c r="AR26" s="104">
        <v>0</v>
      </c>
      <c r="AS26" s="104">
        <v>2</v>
      </c>
      <c r="AT26" s="104">
        <v>0</v>
      </c>
      <c r="AU26" s="104">
        <v>0</v>
      </c>
      <c r="AV26" s="104">
        <v>198</v>
      </c>
      <c r="AW26" s="210"/>
      <c r="AX26" s="104">
        <v>200</v>
      </c>
      <c r="AY26" s="104">
        <v>0</v>
      </c>
      <c r="AZ26" s="210"/>
      <c r="BA26" s="104">
        <v>0</v>
      </c>
      <c r="BB26" s="104">
        <v>0</v>
      </c>
      <c r="BC26" s="104">
        <v>0</v>
      </c>
      <c r="BD26" s="104">
        <v>0</v>
      </c>
      <c r="BE26" s="104">
        <v>0</v>
      </c>
      <c r="BF26" s="210"/>
      <c r="BG26" s="66">
        <v>3</v>
      </c>
      <c r="BH26" s="104">
        <v>73</v>
      </c>
      <c r="BI26" s="104">
        <v>2</v>
      </c>
      <c r="BJ26" s="104">
        <v>0</v>
      </c>
      <c r="BK26" s="104">
        <v>13</v>
      </c>
      <c r="BL26" s="104">
        <v>7828</v>
      </c>
      <c r="BM26" s="104">
        <v>34</v>
      </c>
      <c r="BN26" s="104">
        <v>49770</v>
      </c>
      <c r="BO26" s="104">
        <v>2</v>
      </c>
      <c r="BP26" s="104">
        <v>16</v>
      </c>
      <c r="BQ26" s="104">
        <v>12378</v>
      </c>
      <c r="BR26" s="66">
        <v>0</v>
      </c>
      <c r="BS26" s="66">
        <v>0</v>
      </c>
      <c r="BT26" s="210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</row>
    <row r="27" spans="1:100" s="104" customFormat="1">
      <c r="B27" s="104" t="s">
        <v>1416</v>
      </c>
      <c r="C27" s="66">
        <v>3</v>
      </c>
      <c r="D27" s="104">
        <v>5</v>
      </c>
      <c r="E27" s="104">
        <v>69</v>
      </c>
      <c r="F27" s="104">
        <f t="shared" si="0"/>
        <v>48</v>
      </c>
      <c r="H27" s="210"/>
      <c r="I27" s="104">
        <v>42</v>
      </c>
      <c r="J27" s="104">
        <v>2</v>
      </c>
      <c r="K27" s="104">
        <v>0</v>
      </c>
      <c r="L27" s="104">
        <v>0</v>
      </c>
      <c r="M27" s="104">
        <v>0</v>
      </c>
      <c r="N27" s="104">
        <v>0</v>
      </c>
      <c r="O27" s="104">
        <v>0</v>
      </c>
      <c r="P27" s="104">
        <v>0</v>
      </c>
      <c r="Q27" s="104">
        <v>0</v>
      </c>
      <c r="R27" s="210"/>
      <c r="S27" s="104">
        <v>13</v>
      </c>
      <c r="T27" s="104">
        <v>0</v>
      </c>
      <c r="U27" s="104">
        <v>0</v>
      </c>
      <c r="V27" s="104">
        <v>0</v>
      </c>
      <c r="W27" s="104">
        <v>28</v>
      </c>
      <c r="X27" s="104">
        <v>2</v>
      </c>
      <c r="Y27" s="210"/>
      <c r="Z27" s="66">
        <v>49</v>
      </c>
      <c r="AA27" s="66">
        <v>0</v>
      </c>
      <c r="AB27" s="66">
        <v>0</v>
      </c>
      <c r="AC27" s="66">
        <v>0</v>
      </c>
      <c r="AD27" s="66">
        <v>0</v>
      </c>
      <c r="AE27" s="66">
        <v>4</v>
      </c>
      <c r="AF27" s="66">
        <v>8</v>
      </c>
      <c r="AG27" s="66">
        <v>0</v>
      </c>
      <c r="AH27" s="66">
        <v>2</v>
      </c>
      <c r="AI27" s="66">
        <v>2</v>
      </c>
      <c r="AJ27" s="66">
        <v>0</v>
      </c>
      <c r="AK27" s="66">
        <v>0</v>
      </c>
      <c r="AL27" s="66">
        <v>2</v>
      </c>
      <c r="AM27" s="66">
        <v>2</v>
      </c>
      <c r="AN27" s="66">
        <v>1</v>
      </c>
      <c r="AO27" s="66">
        <v>0</v>
      </c>
      <c r="AP27" s="66">
        <v>0</v>
      </c>
      <c r="AQ27" s="210"/>
      <c r="AR27" s="104">
        <v>1</v>
      </c>
      <c r="AS27" s="104">
        <v>0</v>
      </c>
      <c r="AT27" s="104">
        <v>0</v>
      </c>
      <c r="AU27" s="104">
        <v>0</v>
      </c>
      <c r="AV27" s="104">
        <v>47</v>
      </c>
      <c r="AW27" s="210"/>
      <c r="AX27" s="104">
        <v>48</v>
      </c>
      <c r="AY27" s="104">
        <v>0</v>
      </c>
      <c r="AZ27" s="210"/>
      <c r="BA27" s="104">
        <v>0</v>
      </c>
      <c r="BB27" s="104">
        <v>0</v>
      </c>
      <c r="BC27" s="104">
        <v>0</v>
      </c>
      <c r="BD27" s="104">
        <v>0</v>
      </c>
      <c r="BE27" s="104">
        <v>0</v>
      </c>
      <c r="BF27" s="210"/>
      <c r="BG27" s="66">
        <v>0</v>
      </c>
      <c r="BH27" s="104">
        <v>20</v>
      </c>
      <c r="BI27" s="104">
        <v>0</v>
      </c>
      <c r="BJ27" s="104">
        <v>0</v>
      </c>
      <c r="BK27" s="104">
        <v>0</v>
      </c>
      <c r="BL27" s="104">
        <v>0</v>
      </c>
      <c r="BM27" s="104">
        <v>0</v>
      </c>
      <c r="BN27" s="104">
        <v>0</v>
      </c>
      <c r="BO27" s="104">
        <v>0</v>
      </c>
      <c r="BP27" s="104">
        <v>0</v>
      </c>
      <c r="BQ27" s="104">
        <v>0</v>
      </c>
      <c r="BR27" s="66">
        <v>0</v>
      </c>
      <c r="BS27" s="66">
        <v>0</v>
      </c>
      <c r="BT27" s="210"/>
    </row>
    <row r="28" spans="1:100" s="65" customFormat="1">
      <c r="A28" s="104"/>
      <c r="B28" s="104" t="s">
        <v>1417</v>
      </c>
      <c r="C28" s="104">
        <v>8</v>
      </c>
      <c r="D28" s="104">
        <v>77</v>
      </c>
      <c r="E28" s="104">
        <v>292</v>
      </c>
      <c r="F28" s="104">
        <f t="shared" si="0"/>
        <v>105</v>
      </c>
      <c r="G28" s="104"/>
      <c r="H28" s="210"/>
      <c r="I28" s="104">
        <v>175</v>
      </c>
      <c r="J28" s="104">
        <v>3</v>
      </c>
      <c r="K28" s="104">
        <v>3</v>
      </c>
      <c r="L28" s="104">
        <v>1</v>
      </c>
      <c r="M28" s="104">
        <v>0</v>
      </c>
      <c r="N28" s="104">
        <v>0</v>
      </c>
      <c r="O28" s="104">
        <v>0</v>
      </c>
      <c r="P28" s="104">
        <v>0</v>
      </c>
      <c r="Q28" s="104">
        <v>0</v>
      </c>
      <c r="R28" s="210"/>
      <c r="S28" s="104">
        <v>29</v>
      </c>
      <c r="T28" s="104">
        <v>7</v>
      </c>
      <c r="U28" s="104">
        <v>0</v>
      </c>
      <c r="V28" s="104">
        <v>0</v>
      </c>
      <c r="W28" s="104">
        <v>63</v>
      </c>
      <c r="X28" s="104">
        <v>6</v>
      </c>
      <c r="Y28" s="210"/>
      <c r="Z28" s="104">
        <v>108</v>
      </c>
      <c r="AA28" s="104">
        <v>6</v>
      </c>
      <c r="AB28" s="104">
        <v>1</v>
      </c>
      <c r="AC28" s="104">
        <v>6</v>
      </c>
      <c r="AD28" s="104">
        <v>6</v>
      </c>
      <c r="AE28" s="104">
        <v>34</v>
      </c>
      <c r="AF28" s="104">
        <v>42</v>
      </c>
      <c r="AG28" s="104">
        <v>5</v>
      </c>
      <c r="AH28" s="104">
        <v>30</v>
      </c>
      <c r="AI28" s="104">
        <v>21</v>
      </c>
      <c r="AJ28" s="104">
        <v>9</v>
      </c>
      <c r="AK28" s="104">
        <v>13</v>
      </c>
      <c r="AL28" s="104">
        <v>18</v>
      </c>
      <c r="AM28" s="104">
        <v>3</v>
      </c>
      <c r="AN28" s="104">
        <v>7</v>
      </c>
      <c r="AO28" s="104">
        <v>4</v>
      </c>
      <c r="AP28" s="104">
        <v>5</v>
      </c>
      <c r="AQ28" s="210"/>
      <c r="AR28" s="104">
        <v>0</v>
      </c>
      <c r="AS28" s="104">
        <v>0</v>
      </c>
      <c r="AT28" s="104">
        <v>1</v>
      </c>
      <c r="AU28" s="104">
        <v>0</v>
      </c>
      <c r="AV28" s="104">
        <v>104</v>
      </c>
      <c r="AW28" s="210"/>
      <c r="AX28" s="104">
        <v>105</v>
      </c>
      <c r="AY28" s="104">
        <v>3</v>
      </c>
      <c r="AZ28" s="210"/>
      <c r="BA28" s="104">
        <v>3</v>
      </c>
      <c r="BB28" s="104">
        <v>0</v>
      </c>
      <c r="BC28" s="104">
        <v>0</v>
      </c>
      <c r="BD28" s="104">
        <v>0</v>
      </c>
      <c r="BE28" s="104">
        <v>0</v>
      </c>
      <c r="BF28" s="210"/>
      <c r="BG28" s="66">
        <v>0</v>
      </c>
      <c r="BH28" s="66">
        <v>128</v>
      </c>
      <c r="BI28" s="66">
        <v>0</v>
      </c>
      <c r="BJ28" s="66">
        <v>0</v>
      </c>
      <c r="BK28" s="66">
        <v>0</v>
      </c>
      <c r="BL28" s="66">
        <v>0</v>
      </c>
      <c r="BM28" s="66">
        <v>7</v>
      </c>
      <c r="BN28" s="104">
        <v>8918</v>
      </c>
      <c r="BO28" s="104">
        <v>0</v>
      </c>
      <c r="BP28" s="66">
        <v>1</v>
      </c>
      <c r="BQ28" s="66">
        <v>210</v>
      </c>
      <c r="BR28" s="66">
        <v>0</v>
      </c>
      <c r="BS28" s="66">
        <v>0</v>
      </c>
      <c r="BT28" s="210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</row>
    <row r="29" spans="1:100" s="104" customFormat="1">
      <c r="B29" s="104" t="s">
        <v>1418</v>
      </c>
      <c r="C29" s="104">
        <v>3</v>
      </c>
      <c r="D29" s="104">
        <v>65</v>
      </c>
      <c r="E29" s="104">
        <v>252</v>
      </c>
      <c r="F29" s="104">
        <f t="shared" si="0"/>
        <v>113</v>
      </c>
      <c r="H29" s="210"/>
      <c r="I29" s="104">
        <v>103</v>
      </c>
      <c r="J29" s="104">
        <v>7</v>
      </c>
      <c r="K29" s="104">
        <v>2</v>
      </c>
      <c r="L29" s="104">
        <v>0</v>
      </c>
      <c r="M29" s="104">
        <v>0</v>
      </c>
      <c r="N29" s="104">
        <v>0</v>
      </c>
      <c r="O29" s="104">
        <v>0</v>
      </c>
      <c r="P29" s="104">
        <v>0</v>
      </c>
      <c r="Q29" s="104">
        <v>0</v>
      </c>
      <c r="R29" s="210"/>
      <c r="S29" s="104">
        <v>26</v>
      </c>
      <c r="T29" s="104">
        <v>0</v>
      </c>
      <c r="U29" s="104">
        <v>10</v>
      </c>
      <c r="V29" s="104">
        <v>2</v>
      </c>
      <c r="W29" s="104">
        <v>72</v>
      </c>
      <c r="X29" s="104">
        <v>3</v>
      </c>
      <c r="Y29" s="210"/>
      <c r="Z29" s="104">
        <v>116</v>
      </c>
      <c r="AA29" s="104">
        <v>3</v>
      </c>
      <c r="AB29" s="104">
        <v>0</v>
      </c>
      <c r="AC29" s="104">
        <v>8</v>
      </c>
      <c r="AD29" s="104">
        <v>2</v>
      </c>
      <c r="AE29" s="104">
        <v>17</v>
      </c>
      <c r="AF29" s="104">
        <v>36</v>
      </c>
      <c r="AG29" s="104">
        <v>6</v>
      </c>
      <c r="AH29" s="104">
        <v>24</v>
      </c>
      <c r="AI29" s="104">
        <v>19</v>
      </c>
      <c r="AJ29" s="104">
        <v>8</v>
      </c>
      <c r="AK29" s="104">
        <v>4</v>
      </c>
      <c r="AL29" s="104">
        <v>13</v>
      </c>
      <c r="AM29" s="104">
        <v>1</v>
      </c>
      <c r="AN29" s="104">
        <v>3</v>
      </c>
      <c r="AO29" s="104">
        <v>6</v>
      </c>
      <c r="AP29" s="104">
        <v>2</v>
      </c>
      <c r="AQ29" s="210"/>
      <c r="AR29" s="104">
        <v>0</v>
      </c>
      <c r="AS29" s="104">
        <v>0</v>
      </c>
      <c r="AT29" s="104">
        <v>0</v>
      </c>
      <c r="AU29" s="104">
        <v>0</v>
      </c>
      <c r="AV29" s="104">
        <v>113</v>
      </c>
      <c r="AW29" s="210"/>
      <c r="AX29" s="104">
        <v>113</v>
      </c>
      <c r="AY29" s="104">
        <v>1</v>
      </c>
      <c r="AZ29" s="210"/>
      <c r="BA29" s="104">
        <v>1</v>
      </c>
      <c r="BB29" s="104">
        <v>0</v>
      </c>
      <c r="BC29" s="104">
        <v>0</v>
      </c>
      <c r="BD29" s="104">
        <v>0</v>
      </c>
      <c r="BE29" s="104">
        <v>0</v>
      </c>
      <c r="BF29" s="210"/>
      <c r="BG29" s="9">
        <v>1</v>
      </c>
      <c r="BH29" s="104">
        <v>85</v>
      </c>
      <c r="BI29" s="104">
        <v>0</v>
      </c>
      <c r="BJ29" s="104">
        <v>0</v>
      </c>
      <c r="BK29" s="104">
        <v>1</v>
      </c>
      <c r="BL29" s="104">
        <v>725</v>
      </c>
      <c r="BM29" s="104">
        <v>12</v>
      </c>
      <c r="BN29" s="104">
        <v>11817</v>
      </c>
      <c r="BO29" s="104">
        <v>1</v>
      </c>
      <c r="BP29" s="9">
        <v>0</v>
      </c>
      <c r="BQ29" s="9">
        <v>0</v>
      </c>
      <c r="BR29" s="9">
        <v>0</v>
      </c>
      <c r="BS29" s="9">
        <v>0</v>
      </c>
      <c r="BT29" s="210"/>
    </row>
    <row r="30" spans="1:100" s="65" customFormat="1">
      <c r="A30" s="104"/>
      <c r="B30" s="66" t="s">
        <v>1419</v>
      </c>
      <c r="C30" s="104">
        <v>20</v>
      </c>
      <c r="D30" s="104">
        <v>167</v>
      </c>
      <c r="E30" s="104">
        <v>615</v>
      </c>
      <c r="F30" s="104">
        <f t="shared" si="0"/>
        <v>269</v>
      </c>
      <c r="G30" s="104">
        <v>16</v>
      </c>
      <c r="H30" s="210"/>
      <c r="I30" s="104">
        <v>244</v>
      </c>
      <c r="J30" s="104">
        <v>14</v>
      </c>
      <c r="K30" s="104">
        <v>11</v>
      </c>
      <c r="L30" s="104">
        <v>0</v>
      </c>
      <c r="M30" s="104">
        <v>0</v>
      </c>
      <c r="N30" s="104">
        <v>0</v>
      </c>
      <c r="O30" s="104">
        <v>0</v>
      </c>
      <c r="P30" s="104">
        <v>0</v>
      </c>
      <c r="Q30" s="104">
        <v>0</v>
      </c>
      <c r="R30" s="210"/>
      <c r="S30" s="104">
        <v>72</v>
      </c>
      <c r="T30" s="104">
        <v>1</v>
      </c>
      <c r="U30" s="104">
        <v>0</v>
      </c>
      <c r="V30" s="104">
        <v>6</v>
      </c>
      <c r="W30" s="104">
        <v>183</v>
      </c>
      <c r="X30" s="104">
        <v>11</v>
      </c>
      <c r="Y30" s="210"/>
      <c r="Z30" s="104">
        <v>280</v>
      </c>
      <c r="AA30" s="104">
        <v>1</v>
      </c>
      <c r="AB30" s="104">
        <v>0</v>
      </c>
      <c r="AC30" s="104">
        <v>11</v>
      </c>
      <c r="AD30" s="104">
        <v>13</v>
      </c>
      <c r="AE30" s="104">
        <v>47</v>
      </c>
      <c r="AF30" s="104">
        <v>80</v>
      </c>
      <c r="AG30" s="104">
        <v>15</v>
      </c>
      <c r="AH30" s="104">
        <v>70</v>
      </c>
      <c r="AI30" s="104">
        <v>55</v>
      </c>
      <c r="AJ30" s="104">
        <v>14</v>
      </c>
      <c r="AK30" s="104">
        <v>14</v>
      </c>
      <c r="AL30" s="104">
        <v>35</v>
      </c>
      <c r="AM30" s="104">
        <v>0</v>
      </c>
      <c r="AN30" s="104">
        <v>17</v>
      </c>
      <c r="AO30" s="104">
        <v>13</v>
      </c>
      <c r="AP30" s="104">
        <v>10</v>
      </c>
      <c r="AQ30" s="210"/>
      <c r="AR30" s="104">
        <v>0</v>
      </c>
      <c r="AS30" s="104">
        <v>2</v>
      </c>
      <c r="AT30" s="104">
        <v>1</v>
      </c>
      <c r="AU30" s="104">
        <v>0</v>
      </c>
      <c r="AV30" s="104">
        <v>266</v>
      </c>
      <c r="AW30" s="210"/>
      <c r="AX30" s="104">
        <v>269</v>
      </c>
      <c r="AY30" s="104">
        <v>3</v>
      </c>
      <c r="AZ30" s="210"/>
      <c r="BA30" s="104">
        <v>3</v>
      </c>
      <c r="BB30" s="104">
        <v>0</v>
      </c>
      <c r="BC30" s="104">
        <v>0</v>
      </c>
      <c r="BD30" s="104">
        <v>0</v>
      </c>
      <c r="BE30" s="104">
        <v>0</v>
      </c>
      <c r="BF30" s="210"/>
      <c r="BG30" s="9">
        <v>0</v>
      </c>
      <c r="BH30" s="104">
        <v>305</v>
      </c>
      <c r="BI30" s="104">
        <v>11</v>
      </c>
      <c r="BJ30" s="104">
        <v>1</v>
      </c>
      <c r="BK30" s="104">
        <v>11</v>
      </c>
      <c r="BL30" s="104">
        <v>5314</v>
      </c>
      <c r="BM30" s="104">
        <v>59</v>
      </c>
      <c r="BN30" s="104">
        <v>44215</v>
      </c>
      <c r="BO30" s="104">
        <v>2</v>
      </c>
      <c r="BP30" s="104">
        <v>6</v>
      </c>
      <c r="BQ30" s="104">
        <v>2286</v>
      </c>
      <c r="BR30" s="9">
        <v>0</v>
      </c>
      <c r="BS30" s="9">
        <v>0</v>
      </c>
      <c r="BT30" s="210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66"/>
      <c r="CU30" s="66"/>
      <c r="CV30" s="66"/>
    </row>
    <row r="31" spans="1:100" s="104" customFormat="1">
      <c r="B31" s="104" t="s">
        <v>1420</v>
      </c>
      <c r="C31" s="104">
        <v>15</v>
      </c>
      <c r="D31" s="104">
        <v>206</v>
      </c>
      <c r="E31" s="104">
        <v>649</v>
      </c>
      <c r="F31" s="104">
        <f t="shared" si="0"/>
        <v>233</v>
      </c>
      <c r="G31" s="104">
        <v>17</v>
      </c>
      <c r="H31" s="210"/>
      <c r="I31" s="104">
        <v>212</v>
      </c>
      <c r="J31" s="104">
        <v>12</v>
      </c>
      <c r="K31" s="104">
        <v>5</v>
      </c>
      <c r="L31" s="104">
        <v>1</v>
      </c>
      <c r="M31" s="105">
        <v>1</v>
      </c>
      <c r="N31" s="105">
        <v>1</v>
      </c>
      <c r="O31" s="104">
        <v>0</v>
      </c>
      <c r="P31" s="104">
        <v>0</v>
      </c>
      <c r="Q31" s="104">
        <v>0</v>
      </c>
      <c r="R31" s="210"/>
      <c r="S31" s="104">
        <v>60</v>
      </c>
      <c r="T31" s="104">
        <v>1</v>
      </c>
      <c r="U31" s="104">
        <v>0</v>
      </c>
      <c r="V31" s="104">
        <v>6</v>
      </c>
      <c r="W31" s="104">
        <v>159</v>
      </c>
      <c r="X31" s="104">
        <v>7</v>
      </c>
      <c r="Y31" s="210"/>
      <c r="Z31" s="66">
        <v>241</v>
      </c>
      <c r="AA31" s="66">
        <v>22</v>
      </c>
      <c r="AB31" s="66">
        <v>1</v>
      </c>
      <c r="AC31" s="66">
        <v>9</v>
      </c>
      <c r="AD31" s="66">
        <v>17</v>
      </c>
      <c r="AE31" s="66">
        <v>52</v>
      </c>
      <c r="AF31" s="66">
        <v>59</v>
      </c>
      <c r="AG31" s="66">
        <v>29</v>
      </c>
      <c r="AH31" s="66">
        <v>90</v>
      </c>
      <c r="AI31" s="66">
        <v>70</v>
      </c>
      <c r="AJ31" s="66">
        <v>10</v>
      </c>
      <c r="AK31" s="104">
        <v>16</v>
      </c>
      <c r="AL31" s="104">
        <v>46</v>
      </c>
      <c r="AM31" s="66">
        <v>15</v>
      </c>
      <c r="AN31" s="66">
        <v>20</v>
      </c>
      <c r="AO31" s="104">
        <v>19</v>
      </c>
      <c r="AP31" s="104">
        <v>10</v>
      </c>
      <c r="AQ31" s="210"/>
      <c r="AR31" s="104">
        <v>0</v>
      </c>
      <c r="AS31" s="104">
        <v>0</v>
      </c>
      <c r="AT31" s="104">
        <v>1</v>
      </c>
      <c r="AU31" s="104">
        <v>1</v>
      </c>
      <c r="AV31" s="104">
        <v>231</v>
      </c>
      <c r="AW31" s="210"/>
      <c r="AX31" s="104">
        <v>233</v>
      </c>
      <c r="AY31" s="104">
        <v>9</v>
      </c>
      <c r="AZ31" s="210"/>
      <c r="BA31" s="104">
        <v>8</v>
      </c>
      <c r="BB31" s="104">
        <v>0</v>
      </c>
      <c r="BC31" s="105">
        <v>1</v>
      </c>
      <c r="BD31" s="104">
        <v>0</v>
      </c>
      <c r="BE31" s="105">
        <v>2</v>
      </c>
      <c r="BF31" s="210"/>
      <c r="BG31" s="9">
        <v>6</v>
      </c>
      <c r="BH31" s="66">
        <v>364</v>
      </c>
      <c r="BI31" s="66">
        <v>3</v>
      </c>
      <c r="BJ31" s="66">
        <v>1</v>
      </c>
      <c r="BK31" s="66">
        <v>13</v>
      </c>
      <c r="BL31" s="66">
        <v>34977</v>
      </c>
      <c r="BM31" s="66">
        <v>29</v>
      </c>
      <c r="BN31" s="66">
        <v>167308</v>
      </c>
      <c r="BO31" s="66">
        <v>2</v>
      </c>
      <c r="BP31" s="9">
        <v>12</v>
      </c>
      <c r="BQ31" s="9">
        <v>18334</v>
      </c>
      <c r="BR31" s="9">
        <v>0</v>
      </c>
      <c r="BS31" s="9">
        <v>0</v>
      </c>
      <c r="BT31" s="210"/>
      <c r="CS31" s="66"/>
      <c r="CT31" s="66"/>
      <c r="CU31" s="66"/>
    </row>
    <row r="32" spans="1:100" s="104" customFormat="1">
      <c r="B32" s="104" t="s">
        <v>1421</v>
      </c>
      <c r="C32" s="66">
        <v>6</v>
      </c>
      <c r="D32" s="104">
        <v>52</v>
      </c>
      <c r="E32" s="104">
        <v>262</v>
      </c>
      <c r="F32" s="104">
        <f t="shared" si="0"/>
        <v>152</v>
      </c>
      <c r="H32" s="210"/>
      <c r="I32" s="104">
        <v>148</v>
      </c>
      <c r="J32" s="104">
        <v>1</v>
      </c>
      <c r="K32" s="104">
        <v>2</v>
      </c>
      <c r="L32" s="104">
        <v>1</v>
      </c>
      <c r="M32" s="104">
        <v>0</v>
      </c>
      <c r="N32" s="104">
        <v>0</v>
      </c>
      <c r="O32" s="104">
        <v>0</v>
      </c>
      <c r="P32" s="104">
        <v>0</v>
      </c>
      <c r="Q32" s="104">
        <v>0</v>
      </c>
      <c r="R32" s="210"/>
      <c r="S32" s="104">
        <v>19</v>
      </c>
      <c r="T32" s="104">
        <v>0</v>
      </c>
      <c r="U32" s="104">
        <v>1</v>
      </c>
      <c r="V32" s="104">
        <v>1</v>
      </c>
      <c r="W32" s="104">
        <v>130</v>
      </c>
      <c r="X32" s="104">
        <v>2</v>
      </c>
      <c r="Y32" s="210"/>
      <c r="Z32" s="66">
        <v>156</v>
      </c>
      <c r="AA32" s="66">
        <v>3</v>
      </c>
      <c r="AB32" s="66">
        <v>1</v>
      </c>
      <c r="AC32" s="66">
        <v>3</v>
      </c>
      <c r="AD32" s="66">
        <v>4</v>
      </c>
      <c r="AE32" s="66">
        <v>11</v>
      </c>
      <c r="AF32" s="66">
        <v>19</v>
      </c>
      <c r="AG32" s="66">
        <v>1</v>
      </c>
      <c r="AH32" s="66">
        <v>24</v>
      </c>
      <c r="AI32" s="66">
        <v>17</v>
      </c>
      <c r="AJ32" s="66">
        <v>0</v>
      </c>
      <c r="AK32" s="66">
        <v>5</v>
      </c>
      <c r="AL32" s="66">
        <v>14</v>
      </c>
      <c r="AM32" s="66">
        <v>4</v>
      </c>
      <c r="AN32" s="66">
        <v>4</v>
      </c>
      <c r="AO32" s="66">
        <v>1</v>
      </c>
      <c r="AP32" s="66">
        <v>3</v>
      </c>
      <c r="AQ32" s="210"/>
      <c r="AR32" s="104">
        <v>0</v>
      </c>
      <c r="AS32" s="104">
        <v>0</v>
      </c>
      <c r="AT32" s="104">
        <v>0</v>
      </c>
      <c r="AU32" s="104">
        <v>0</v>
      </c>
      <c r="AV32" s="104">
        <v>152</v>
      </c>
      <c r="AW32" s="210"/>
      <c r="AX32" s="104">
        <v>152</v>
      </c>
      <c r="AY32" s="104">
        <v>1</v>
      </c>
      <c r="AZ32" s="210"/>
      <c r="BA32" s="104">
        <v>1</v>
      </c>
      <c r="BB32" s="104">
        <v>0</v>
      </c>
      <c r="BC32" s="104">
        <v>0</v>
      </c>
      <c r="BD32" s="104">
        <v>0</v>
      </c>
      <c r="BE32" s="104">
        <v>0</v>
      </c>
      <c r="BF32" s="210"/>
      <c r="BG32" s="66">
        <v>0</v>
      </c>
      <c r="BH32" s="66">
        <v>87</v>
      </c>
      <c r="BI32" s="66">
        <v>5</v>
      </c>
      <c r="BJ32" s="66">
        <v>0</v>
      </c>
      <c r="BK32" s="66">
        <v>0</v>
      </c>
      <c r="BL32" s="66">
        <v>0</v>
      </c>
      <c r="BM32" s="66">
        <v>0</v>
      </c>
      <c r="BN32" s="66">
        <v>21</v>
      </c>
      <c r="BO32" s="104">
        <v>0</v>
      </c>
      <c r="BP32" s="66">
        <v>0</v>
      </c>
      <c r="BQ32" s="66">
        <v>4</v>
      </c>
      <c r="BR32" s="66">
        <v>0</v>
      </c>
      <c r="BS32" s="66">
        <v>0</v>
      </c>
      <c r="BT32" s="210"/>
    </row>
    <row r="33" spans="1:100" s="104" customFormat="1">
      <c r="B33" s="104" t="s">
        <v>1422</v>
      </c>
      <c r="C33" s="105">
        <v>33</v>
      </c>
      <c r="D33" s="104">
        <v>219</v>
      </c>
      <c r="E33" s="104">
        <v>835</v>
      </c>
      <c r="F33" s="104">
        <f t="shared" si="0"/>
        <v>431</v>
      </c>
      <c r="G33" s="104">
        <v>6</v>
      </c>
      <c r="H33" s="210"/>
      <c r="I33" s="104">
        <v>416</v>
      </c>
      <c r="J33" s="104">
        <v>13</v>
      </c>
      <c r="K33" s="104">
        <v>2</v>
      </c>
      <c r="L33" s="104">
        <v>3</v>
      </c>
      <c r="M33" s="104">
        <v>0</v>
      </c>
      <c r="N33" s="104">
        <v>0</v>
      </c>
      <c r="O33" s="104">
        <v>0</v>
      </c>
      <c r="P33" s="104">
        <v>0</v>
      </c>
      <c r="Q33" s="104">
        <v>0</v>
      </c>
      <c r="R33" s="210"/>
      <c r="S33" s="104">
        <v>86</v>
      </c>
      <c r="T33" s="104">
        <v>9</v>
      </c>
      <c r="U33" s="104">
        <v>1</v>
      </c>
      <c r="V33" s="104">
        <v>2</v>
      </c>
      <c r="W33" s="104">
        <v>330</v>
      </c>
      <c r="X33" s="104">
        <v>9</v>
      </c>
      <c r="Y33" s="210"/>
      <c r="Z33" s="104">
        <v>450</v>
      </c>
      <c r="AA33" s="104">
        <v>11</v>
      </c>
      <c r="AB33" s="104">
        <v>4</v>
      </c>
      <c r="AC33" s="104">
        <v>8</v>
      </c>
      <c r="AD33" s="104">
        <v>18</v>
      </c>
      <c r="AE33" s="104">
        <v>38</v>
      </c>
      <c r="AF33" s="104">
        <v>67</v>
      </c>
      <c r="AG33" s="104">
        <v>18</v>
      </c>
      <c r="AH33" s="104">
        <v>92</v>
      </c>
      <c r="AI33" s="104">
        <v>77</v>
      </c>
      <c r="AJ33" s="104">
        <v>12</v>
      </c>
      <c r="AK33" s="66">
        <v>29</v>
      </c>
      <c r="AL33" s="66">
        <v>49</v>
      </c>
      <c r="AM33" s="104">
        <v>8</v>
      </c>
      <c r="AN33" s="104">
        <v>17</v>
      </c>
      <c r="AO33" s="66">
        <v>16</v>
      </c>
      <c r="AP33" s="66">
        <v>12</v>
      </c>
      <c r="AQ33" s="210"/>
      <c r="AR33" s="104">
        <v>0</v>
      </c>
      <c r="AS33" s="104">
        <v>3</v>
      </c>
      <c r="AT33" s="104">
        <v>0</v>
      </c>
      <c r="AU33" s="104">
        <v>2</v>
      </c>
      <c r="AV33" s="66">
        <v>426</v>
      </c>
      <c r="AW33" s="210"/>
      <c r="AX33" s="104">
        <v>431</v>
      </c>
      <c r="AY33" s="104">
        <v>5</v>
      </c>
      <c r="AZ33" s="210"/>
      <c r="BA33" s="104">
        <v>3</v>
      </c>
      <c r="BB33" s="104">
        <v>2</v>
      </c>
      <c r="BC33" s="104">
        <v>0</v>
      </c>
      <c r="BD33" s="104">
        <v>0</v>
      </c>
      <c r="BE33" s="104">
        <v>0</v>
      </c>
      <c r="BF33" s="210"/>
      <c r="BG33" s="104">
        <v>1</v>
      </c>
      <c r="BH33" s="104">
        <v>333</v>
      </c>
      <c r="BI33" s="104">
        <v>0</v>
      </c>
      <c r="BJ33" s="104">
        <v>1</v>
      </c>
      <c r="BK33" s="104">
        <v>13</v>
      </c>
      <c r="BL33" s="104">
        <v>32001</v>
      </c>
      <c r="BM33" s="104">
        <v>55</v>
      </c>
      <c r="BN33" s="104">
        <v>67912</v>
      </c>
      <c r="BO33" s="104">
        <v>2</v>
      </c>
      <c r="BP33" s="104">
        <v>6</v>
      </c>
      <c r="BQ33" s="104">
        <v>13110</v>
      </c>
      <c r="BR33" s="104">
        <v>2</v>
      </c>
      <c r="BS33" s="104">
        <v>470</v>
      </c>
      <c r="BT33" s="210"/>
    </row>
    <row r="34" spans="1:100" s="65" customFormat="1">
      <c r="A34" s="104"/>
      <c r="B34" s="104" t="s">
        <v>1423</v>
      </c>
      <c r="C34" s="104">
        <v>3</v>
      </c>
      <c r="D34" s="104">
        <v>39</v>
      </c>
      <c r="E34" s="104">
        <v>157</v>
      </c>
      <c r="F34" s="104">
        <f t="shared" si="0"/>
        <v>82</v>
      </c>
      <c r="G34" s="104"/>
      <c r="H34" s="210"/>
      <c r="I34" s="104">
        <v>73</v>
      </c>
      <c r="J34" s="104">
        <v>5</v>
      </c>
      <c r="K34" s="104">
        <v>1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210"/>
      <c r="S34" s="104">
        <v>15</v>
      </c>
      <c r="T34" s="104">
        <v>0</v>
      </c>
      <c r="U34" s="104">
        <v>0</v>
      </c>
      <c r="V34" s="104">
        <v>0</v>
      </c>
      <c r="W34" s="104">
        <v>62</v>
      </c>
      <c r="X34" s="104">
        <v>1</v>
      </c>
      <c r="Y34" s="210"/>
      <c r="Z34" s="104">
        <v>84</v>
      </c>
      <c r="AA34" s="104">
        <v>6</v>
      </c>
      <c r="AB34" s="104">
        <v>0</v>
      </c>
      <c r="AC34" s="104">
        <v>3</v>
      </c>
      <c r="AD34" s="104">
        <v>0</v>
      </c>
      <c r="AE34" s="104">
        <v>4</v>
      </c>
      <c r="AF34" s="104">
        <v>14</v>
      </c>
      <c r="AG34" s="104">
        <v>4</v>
      </c>
      <c r="AH34" s="104">
        <v>17</v>
      </c>
      <c r="AI34" s="104">
        <v>16</v>
      </c>
      <c r="AJ34" s="104">
        <v>1</v>
      </c>
      <c r="AK34" s="66">
        <v>10</v>
      </c>
      <c r="AL34" s="66">
        <v>8</v>
      </c>
      <c r="AM34" s="104">
        <v>0</v>
      </c>
      <c r="AN34" s="104">
        <v>2</v>
      </c>
      <c r="AO34" s="66">
        <v>2</v>
      </c>
      <c r="AP34" s="66">
        <v>3</v>
      </c>
      <c r="AQ34" s="210"/>
      <c r="AR34" s="104">
        <v>0</v>
      </c>
      <c r="AS34" s="104">
        <v>0</v>
      </c>
      <c r="AT34" s="104">
        <v>1</v>
      </c>
      <c r="AU34" s="104">
        <v>0</v>
      </c>
      <c r="AV34" s="66">
        <v>81</v>
      </c>
      <c r="AW34" s="210"/>
      <c r="AX34" s="104">
        <v>82</v>
      </c>
      <c r="AY34" s="104">
        <v>2</v>
      </c>
      <c r="AZ34" s="210"/>
      <c r="BA34" s="104">
        <v>2</v>
      </c>
      <c r="BB34" s="104">
        <v>0</v>
      </c>
      <c r="BC34" s="104">
        <v>0</v>
      </c>
      <c r="BD34" s="104">
        <v>0</v>
      </c>
      <c r="BE34" s="104">
        <v>0</v>
      </c>
      <c r="BF34" s="210"/>
      <c r="BG34" s="104">
        <v>1</v>
      </c>
      <c r="BH34" s="104">
        <v>44</v>
      </c>
      <c r="BI34" s="104">
        <v>0</v>
      </c>
      <c r="BJ34" s="104">
        <v>0</v>
      </c>
      <c r="BK34" s="104">
        <v>4</v>
      </c>
      <c r="BL34" s="104">
        <v>1562</v>
      </c>
      <c r="BM34" s="104">
        <v>11</v>
      </c>
      <c r="BN34" s="104">
        <v>12894</v>
      </c>
      <c r="BO34" s="104">
        <v>0</v>
      </c>
      <c r="BP34" s="104">
        <v>0</v>
      </c>
      <c r="BQ34" s="104">
        <v>0</v>
      </c>
      <c r="BR34" s="104">
        <v>0</v>
      </c>
      <c r="BS34" s="104">
        <v>0</v>
      </c>
      <c r="BT34" s="210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</row>
    <row r="35" spans="1:100" s="65" customFormat="1">
      <c r="A35" s="104"/>
      <c r="B35" s="104" t="s">
        <v>1424</v>
      </c>
      <c r="C35" s="104">
        <v>3</v>
      </c>
      <c r="D35" s="104">
        <v>61</v>
      </c>
      <c r="E35" s="104">
        <v>210</v>
      </c>
      <c r="F35" s="104">
        <f t="shared" si="0"/>
        <v>84</v>
      </c>
      <c r="G35" s="104"/>
      <c r="H35" s="210"/>
      <c r="I35" s="104">
        <v>73</v>
      </c>
      <c r="J35" s="104">
        <v>1</v>
      </c>
      <c r="K35" s="104">
        <v>6</v>
      </c>
      <c r="L35" s="104">
        <v>0</v>
      </c>
      <c r="M35" s="104">
        <v>0</v>
      </c>
      <c r="N35" s="104">
        <v>0</v>
      </c>
      <c r="O35" s="104">
        <v>0</v>
      </c>
      <c r="P35" s="104">
        <v>0</v>
      </c>
      <c r="Q35" s="104">
        <v>0</v>
      </c>
      <c r="R35" s="210"/>
      <c r="S35" s="104">
        <v>17</v>
      </c>
      <c r="T35" s="104">
        <v>2</v>
      </c>
      <c r="U35" s="104">
        <v>0</v>
      </c>
      <c r="V35" s="104">
        <v>0</v>
      </c>
      <c r="W35" s="104">
        <v>60</v>
      </c>
      <c r="X35" s="104">
        <v>2</v>
      </c>
      <c r="Y35" s="210"/>
      <c r="Z35" s="104">
        <v>86</v>
      </c>
      <c r="AA35" s="104">
        <v>7</v>
      </c>
      <c r="AB35" s="104">
        <v>0</v>
      </c>
      <c r="AC35" s="104">
        <v>4</v>
      </c>
      <c r="AD35" s="104">
        <v>4</v>
      </c>
      <c r="AE35" s="104">
        <v>21</v>
      </c>
      <c r="AF35" s="104">
        <v>21</v>
      </c>
      <c r="AG35" s="104">
        <v>3</v>
      </c>
      <c r="AH35" s="104">
        <v>21</v>
      </c>
      <c r="AI35" s="104">
        <v>21</v>
      </c>
      <c r="AJ35" s="104">
        <v>5</v>
      </c>
      <c r="AK35" s="66">
        <v>8</v>
      </c>
      <c r="AL35" s="66">
        <v>12</v>
      </c>
      <c r="AM35" s="104">
        <v>3</v>
      </c>
      <c r="AN35" s="104">
        <v>5</v>
      </c>
      <c r="AO35" s="66">
        <v>4</v>
      </c>
      <c r="AP35" s="66">
        <v>7</v>
      </c>
      <c r="AQ35" s="210"/>
      <c r="AR35" s="104">
        <v>0</v>
      </c>
      <c r="AS35" s="104">
        <v>2</v>
      </c>
      <c r="AT35" s="104">
        <v>0</v>
      </c>
      <c r="AU35" s="104">
        <v>0</v>
      </c>
      <c r="AV35" s="66">
        <v>82</v>
      </c>
      <c r="AW35" s="210"/>
      <c r="AX35" s="104">
        <v>84</v>
      </c>
      <c r="AY35" s="104">
        <v>3</v>
      </c>
      <c r="AZ35" s="210"/>
      <c r="BA35" s="104">
        <v>3</v>
      </c>
      <c r="BB35" s="104">
        <v>0</v>
      </c>
      <c r="BC35" s="104">
        <v>0</v>
      </c>
      <c r="BD35" s="104">
        <v>0</v>
      </c>
      <c r="BE35" s="104">
        <v>0</v>
      </c>
      <c r="BF35" s="210"/>
      <c r="BG35" s="104">
        <v>0</v>
      </c>
      <c r="BH35" s="104">
        <v>111</v>
      </c>
      <c r="BI35" s="104">
        <v>0</v>
      </c>
      <c r="BJ35" s="104">
        <v>0</v>
      </c>
      <c r="BK35" s="104">
        <v>3</v>
      </c>
      <c r="BL35" s="104">
        <v>2024</v>
      </c>
      <c r="BM35" s="104">
        <v>7</v>
      </c>
      <c r="BN35" s="104">
        <v>10949</v>
      </c>
      <c r="BO35" s="104">
        <v>0</v>
      </c>
      <c r="BP35" s="104">
        <v>1</v>
      </c>
      <c r="BQ35" s="104">
        <v>417</v>
      </c>
      <c r="BR35" s="104">
        <v>0</v>
      </c>
      <c r="BS35" s="104">
        <v>0</v>
      </c>
      <c r="BT35" s="210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/>
    </row>
    <row r="36" spans="1:100" s="108" customFormat="1">
      <c r="A36" s="104"/>
      <c r="B36" s="108" t="s">
        <v>1425</v>
      </c>
      <c r="C36" s="108">
        <v>2</v>
      </c>
      <c r="D36" s="108">
        <v>16</v>
      </c>
      <c r="E36" s="108">
        <v>129</v>
      </c>
      <c r="F36" s="104">
        <f t="shared" si="0"/>
        <v>71</v>
      </c>
      <c r="H36" s="210"/>
      <c r="I36" s="108">
        <v>63</v>
      </c>
      <c r="J36" s="108">
        <v>3</v>
      </c>
      <c r="K36" s="108">
        <v>3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210"/>
      <c r="S36" s="108">
        <v>8</v>
      </c>
      <c r="T36" s="108">
        <v>1</v>
      </c>
      <c r="U36" s="108">
        <v>26</v>
      </c>
      <c r="V36" s="108">
        <v>0</v>
      </c>
      <c r="W36" s="108">
        <v>30</v>
      </c>
      <c r="X36" s="108">
        <v>3</v>
      </c>
      <c r="Y36" s="210"/>
      <c r="Z36" s="108">
        <v>73</v>
      </c>
      <c r="AA36" s="108">
        <v>0</v>
      </c>
      <c r="AB36" s="108">
        <v>1</v>
      </c>
      <c r="AC36" s="108">
        <v>1</v>
      </c>
      <c r="AD36" s="108">
        <v>3</v>
      </c>
      <c r="AE36" s="108">
        <v>17</v>
      </c>
      <c r="AF36" s="108">
        <v>7</v>
      </c>
      <c r="AG36" s="108">
        <v>3</v>
      </c>
      <c r="AH36" s="108">
        <v>5</v>
      </c>
      <c r="AI36" s="108">
        <v>11</v>
      </c>
      <c r="AJ36" s="108">
        <v>1</v>
      </c>
      <c r="AK36" s="108">
        <v>3</v>
      </c>
      <c r="AL36" s="108">
        <v>6</v>
      </c>
      <c r="AM36" s="108">
        <v>0</v>
      </c>
      <c r="AN36" s="108">
        <v>0</v>
      </c>
      <c r="AO36" s="108">
        <v>1</v>
      </c>
      <c r="AP36" s="108">
        <v>0</v>
      </c>
      <c r="AQ36" s="210"/>
      <c r="AR36" s="108">
        <v>0</v>
      </c>
      <c r="AS36" s="108">
        <v>1</v>
      </c>
      <c r="AT36" s="108">
        <v>0</v>
      </c>
      <c r="AU36" s="108">
        <v>1</v>
      </c>
      <c r="AV36" s="108">
        <v>69</v>
      </c>
      <c r="AW36" s="210"/>
      <c r="AX36" s="108">
        <v>71</v>
      </c>
      <c r="AY36" s="108">
        <v>2</v>
      </c>
      <c r="AZ36" s="210"/>
      <c r="BA36" s="108">
        <v>2</v>
      </c>
      <c r="BB36" s="108">
        <v>0</v>
      </c>
      <c r="BC36" s="108">
        <v>0</v>
      </c>
      <c r="BD36" s="108">
        <v>0</v>
      </c>
      <c r="BE36" s="108">
        <v>0</v>
      </c>
      <c r="BF36" s="210"/>
      <c r="BG36" s="6">
        <v>1</v>
      </c>
      <c r="BH36" s="108">
        <v>44</v>
      </c>
      <c r="BI36" s="108">
        <v>0</v>
      </c>
      <c r="BJ36" s="108">
        <v>1</v>
      </c>
      <c r="BK36" s="108">
        <v>2</v>
      </c>
      <c r="BL36" s="108">
        <v>61530</v>
      </c>
      <c r="BM36" s="108">
        <v>3</v>
      </c>
      <c r="BN36" s="108">
        <v>29594</v>
      </c>
      <c r="BO36" s="108">
        <v>1</v>
      </c>
      <c r="BP36" s="108">
        <v>0</v>
      </c>
      <c r="BQ36" s="108">
        <v>0</v>
      </c>
      <c r="BR36" s="6">
        <v>0</v>
      </c>
      <c r="BS36" s="6">
        <v>0</v>
      </c>
      <c r="BT36" s="210"/>
    </row>
    <row r="37" spans="1:100" s="104" customFormat="1">
      <c r="B37" s="104" t="s">
        <v>1426</v>
      </c>
      <c r="C37" s="104">
        <v>2</v>
      </c>
      <c r="D37" s="104">
        <v>19</v>
      </c>
      <c r="E37" s="104">
        <v>69</v>
      </c>
      <c r="F37" s="104">
        <f t="shared" si="0"/>
        <v>30</v>
      </c>
      <c r="H37" s="210"/>
      <c r="I37" s="104">
        <v>25</v>
      </c>
      <c r="J37" s="104">
        <v>3</v>
      </c>
      <c r="K37" s="104">
        <v>1</v>
      </c>
      <c r="L37" s="104">
        <v>0</v>
      </c>
      <c r="M37" s="104">
        <v>0</v>
      </c>
      <c r="N37" s="104">
        <v>0</v>
      </c>
      <c r="O37" s="104">
        <v>0</v>
      </c>
      <c r="P37" s="104">
        <v>0</v>
      </c>
      <c r="Q37" s="104">
        <v>0</v>
      </c>
      <c r="R37" s="210"/>
      <c r="S37" s="104">
        <v>12</v>
      </c>
      <c r="T37" s="104">
        <v>0</v>
      </c>
      <c r="U37" s="104">
        <v>0</v>
      </c>
      <c r="V37" s="104">
        <v>0</v>
      </c>
      <c r="W37" s="104">
        <v>14</v>
      </c>
      <c r="X37" s="104">
        <v>0</v>
      </c>
      <c r="Y37" s="210"/>
      <c r="Z37" s="104">
        <v>31</v>
      </c>
      <c r="AA37" s="104">
        <v>2</v>
      </c>
      <c r="AB37" s="104">
        <v>0</v>
      </c>
      <c r="AC37" s="104">
        <v>0</v>
      </c>
      <c r="AD37" s="104">
        <v>0</v>
      </c>
      <c r="AE37" s="104">
        <v>10</v>
      </c>
      <c r="AF37" s="104">
        <v>5</v>
      </c>
      <c r="AG37" s="104">
        <v>4</v>
      </c>
      <c r="AH37" s="104">
        <v>7</v>
      </c>
      <c r="AI37" s="104">
        <v>5</v>
      </c>
      <c r="AJ37" s="104">
        <v>1</v>
      </c>
      <c r="AK37" s="104">
        <v>0</v>
      </c>
      <c r="AL37" s="104">
        <v>2</v>
      </c>
      <c r="AM37" s="104">
        <v>1</v>
      </c>
      <c r="AN37" s="104">
        <v>2</v>
      </c>
      <c r="AO37" s="104">
        <v>3</v>
      </c>
      <c r="AP37" s="104">
        <v>3</v>
      </c>
      <c r="AQ37" s="210"/>
      <c r="AR37" s="104">
        <v>0</v>
      </c>
      <c r="AS37" s="104">
        <v>0</v>
      </c>
      <c r="AT37" s="104">
        <v>0</v>
      </c>
      <c r="AU37" s="104">
        <v>0</v>
      </c>
      <c r="AV37" s="104">
        <v>30</v>
      </c>
      <c r="AW37" s="210"/>
      <c r="AX37" s="104">
        <v>30</v>
      </c>
      <c r="AY37" s="104">
        <v>1</v>
      </c>
      <c r="AZ37" s="210"/>
      <c r="BA37" s="104">
        <v>1</v>
      </c>
      <c r="BB37" s="104">
        <v>0</v>
      </c>
      <c r="BC37" s="104">
        <v>0</v>
      </c>
      <c r="BD37" s="104">
        <v>0</v>
      </c>
      <c r="BE37" s="104">
        <v>0</v>
      </c>
      <c r="BF37" s="210"/>
      <c r="BG37" s="9">
        <v>0</v>
      </c>
      <c r="BH37" s="104">
        <v>16</v>
      </c>
      <c r="BI37" s="104">
        <v>0</v>
      </c>
      <c r="BJ37" s="104">
        <v>0</v>
      </c>
      <c r="BK37" s="104">
        <v>0</v>
      </c>
      <c r="BL37" s="104">
        <v>0</v>
      </c>
      <c r="BM37" s="104">
        <v>0</v>
      </c>
      <c r="BN37" s="104">
        <v>0</v>
      </c>
      <c r="BO37" s="104">
        <v>1</v>
      </c>
      <c r="BP37" s="104">
        <v>0</v>
      </c>
      <c r="BQ37" s="104">
        <v>0</v>
      </c>
      <c r="BR37" s="9">
        <v>1</v>
      </c>
      <c r="BS37" s="9">
        <v>1</v>
      </c>
      <c r="BT37" s="210"/>
    </row>
    <row r="38" spans="1:100" s="66" customFormat="1">
      <c r="A38" s="104"/>
      <c r="B38" s="66" t="s">
        <v>1427</v>
      </c>
      <c r="C38" s="104">
        <v>13</v>
      </c>
      <c r="D38" s="104">
        <v>112</v>
      </c>
      <c r="E38" s="104">
        <v>502</v>
      </c>
      <c r="F38" s="104">
        <f t="shared" si="0"/>
        <v>219</v>
      </c>
      <c r="G38" s="104">
        <v>19</v>
      </c>
      <c r="H38" s="210"/>
      <c r="I38" s="104">
        <v>204</v>
      </c>
      <c r="J38" s="104">
        <v>10</v>
      </c>
      <c r="K38" s="104">
        <v>2</v>
      </c>
      <c r="L38" s="104">
        <v>3</v>
      </c>
      <c r="M38" s="104">
        <v>0</v>
      </c>
      <c r="N38" s="104">
        <v>0</v>
      </c>
      <c r="O38" s="104">
        <v>0</v>
      </c>
      <c r="P38" s="104">
        <v>0</v>
      </c>
      <c r="Q38" s="104">
        <v>0</v>
      </c>
      <c r="R38" s="210"/>
      <c r="S38" s="104">
        <v>52</v>
      </c>
      <c r="T38" s="104">
        <v>2</v>
      </c>
      <c r="U38" s="104">
        <v>28</v>
      </c>
      <c r="V38" s="104">
        <v>4</v>
      </c>
      <c r="W38" s="104">
        <v>133</v>
      </c>
      <c r="X38" s="104">
        <v>5</v>
      </c>
      <c r="Y38" s="210"/>
      <c r="Z38" s="66">
        <v>224</v>
      </c>
      <c r="AA38" s="66">
        <v>15</v>
      </c>
      <c r="AB38" s="66">
        <v>1</v>
      </c>
      <c r="AC38" s="66">
        <v>3</v>
      </c>
      <c r="AD38" s="66">
        <v>5</v>
      </c>
      <c r="AE38" s="66">
        <v>57</v>
      </c>
      <c r="AF38" s="66">
        <v>61</v>
      </c>
      <c r="AG38" s="66">
        <v>10</v>
      </c>
      <c r="AH38" s="66">
        <v>41</v>
      </c>
      <c r="AI38" s="66">
        <v>35</v>
      </c>
      <c r="AJ38" s="66">
        <v>5</v>
      </c>
      <c r="AK38" s="66">
        <v>13</v>
      </c>
      <c r="AL38" s="66">
        <v>26</v>
      </c>
      <c r="AM38" s="66">
        <v>4</v>
      </c>
      <c r="AN38" s="66">
        <v>17</v>
      </c>
      <c r="AO38" s="66">
        <v>7</v>
      </c>
      <c r="AP38" s="66">
        <v>13</v>
      </c>
      <c r="AQ38" s="210"/>
      <c r="AR38" s="104">
        <v>0</v>
      </c>
      <c r="AS38" s="104">
        <v>2</v>
      </c>
      <c r="AT38" s="104">
        <v>0</v>
      </c>
      <c r="AU38" s="104">
        <v>0</v>
      </c>
      <c r="AV38" s="104">
        <v>217</v>
      </c>
      <c r="AW38" s="210"/>
      <c r="AX38" s="104">
        <v>219</v>
      </c>
      <c r="AY38" s="104">
        <v>5</v>
      </c>
      <c r="AZ38" s="210"/>
      <c r="BA38" s="104">
        <v>3</v>
      </c>
      <c r="BB38" s="104">
        <v>2</v>
      </c>
      <c r="BC38" s="104">
        <v>0</v>
      </c>
      <c r="BD38" s="104">
        <v>0</v>
      </c>
      <c r="BE38" s="104">
        <v>0</v>
      </c>
      <c r="BF38" s="210"/>
      <c r="BG38" s="66">
        <v>0</v>
      </c>
      <c r="BH38" s="104">
        <v>221</v>
      </c>
      <c r="BI38" s="104">
        <v>7</v>
      </c>
      <c r="BJ38" s="104">
        <v>0</v>
      </c>
      <c r="BK38" s="104">
        <v>4</v>
      </c>
      <c r="BL38" s="104">
        <v>1465</v>
      </c>
      <c r="BM38" s="104">
        <v>24</v>
      </c>
      <c r="BN38" s="104">
        <v>29935</v>
      </c>
      <c r="BO38" s="104">
        <v>0</v>
      </c>
      <c r="BP38" s="104">
        <v>12</v>
      </c>
      <c r="BQ38" s="104">
        <v>8918</v>
      </c>
      <c r="BR38" s="66">
        <v>0</v>
      </c>
      <c r="BS38" s="66">
        <v>0</v>
      </c>
      <c r="BT38" s="210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</row>
    <row r="39" spans="1:100" s="66" customFormat="1">
      <c r="A39" s="104"/>
      <c r="B39" s="66" t="s">
        <v>1428</v>
      </c>
      <c r="C39" s="104">
        <v>5</v>
      </c>
      <c r="D39" s="104">
        <v>31</v>
      </c>
      <c r="E39" s="104">
        <v>198</v>
      </c>
      <c r="F39" s="104">
        <f t="shared" si="0"/>
        <v>145</v>
      </c>
      <c r="G39" s="104"/>
      <c r="H39" s="210"/>
      <c r="I39" s="104">
        <v>139</v>
      </c>
      <c r="J39" s="104">
        <v>5</v>
      </c>
      <c r="K39" s="104">
        <v>0</v>
      </c>
      <c r="L39" s="104">
        <v>1</v>
      </c>
      <c r="M39" s="104">
        <v>0</v>
      </c>
      <c r="N39" s="104">
        <v>0</v>
      </c>
      <c r="O39" s="104">
        <v>0</v>
      </c>
      <c r="P39" s="104">
        <v>0</v>
      </c>
      <c r="Q39" s="104">
        <v>0</v>
      </c>
      <c r="R39" s="210"/>
      <c r="S39" s="104">
        <v>17</v>
      </c>
      <c r="T39" s="104">
        <v>0</v>
      </c>
      <c r="U39" s="104">
        <v>50</v>
      </c>
      <c r="V39" s="104">
        <v>0</v>
      </c>
      <c r="W39" s="104">
        <v>77</v>
      </c>
      <c r="X39" s="104">
        <v>3</v>
      </c>
      <c r="Y39" s="210"/>
      <c r="Z39" s="66">
        <v>147</v>
      </c>
      <c r="AA39" s="104">
        <v>1</v>
      </c>
      <c r="AB39" s="104">
        <v>0</v>
      </c>
      <c r="AC39" s="104">
        <v>2</v>
      </c>
      <c r="AD39" s="104">
        <v>0</v>
      </c>
      <c r="AE39" s="104">
        <v>9</v>
      </c>
      <c r="AF39" s="104">
        <v>6</v>
      </c>
      <c r="AG39" s="104">
        <v>4</v>
      </c>
      <c r="AH39" s="104">
        <v>11</v>
      </c>
      <c r="AI39" s="104">
        <v>13</v>
      </c>
      <c r="AJ39" s="104">
        <v>0</v>
      </c>
      <c r="AK39" s="104">
        <v>0</v>
      </c>
      <c r="AL39" s="104">
        <v>4</v>
      </c>
      <c r="AM39" s="104">
        <v>0</v>
      </c>
      <c r="AN39" s="104">
        <v>1</v>
      </c>
      <c r="AO39" s="104">
        <v>3</v>
      </c>
      <c r="AP39" s="104">
        <v>1</v>
      </c>
      <c r="AQ39" s="210"/>
      <c r="AR39" s="104">
        <v>0</v>
      </c>
      <c r="AS39" s="104">
        <v>1</v>
      </c>
      <c r="AT39" s="104">
        <v>0</v>
      </c>
      <c r="AU39" s="104">
        <v>1</v>
      </c>
      <c r="AV39" s="104">
        <v>143</v>
      </c>
      <c r="AW39" s="210"/>
      <c r="AX39" s="104">
        <v>145</v>
      </c>
      <c r="AY39" s="104">
        <v>3</v>
      </c>
      <c r="AZ39" s="210"/>
      <c r="BA39" s="104">
        <v>2</v>
      </c>
      <c r="BB39" s="104">
        <v>0</v>
      </c>
      <c r="BC39" s="104">
        <v>0</v>
      </c>
      <c r="BD39" s="104">
        <v>1</v>
      </c>
      <c r="BE39" s="104">
        <v>0</v>
      </c>
      <c r="BF39" s="210"/>
      <c r="BG39" s="104">
        <v>1</v>
      </c>
      <c r="BH39" s="104">
        <v>62</v>
      </c>
      <c r="BI39" s="104">
        <v>6</v>
      </c>
      <c r="BJ39" s="104">
        <v>0</v>
      </c>
      <c r="BK39" s="104">
        <v>0</v>
      </c>
      <c r="BL39" s="104">
        <v>0</v>
      </c>
      <c r="BM39" s="104">
        <v>5</v>
      </c>
      <c r="BN39" s="104">
        <v>3842</v>
      </c>
      <c r="BO39" s="104">
        <v>0</v>
      </c>
      <c r="BP39" s="104">
        <v>2</v>
      </c>
      <c r="BQ39" s="104">
        <v>1387</v>
      </c>
      <c r="BR39" s="104">
        <v>0</v>
      </c>
      <c r="BS39" s="104">
        <v>0</v>
      </c>
      <c r="BT39" s="210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</row>
    <row r="40" spans="1:100" s="104" customFormat="1">
      <c r="B40" s="66" t="s">
        <v>1429</v>
      </c>
      <c r="C40" s="66">
        <v>15</v>
      </c>
      <c r="D40" s="104">
        <v>142</v>
      </c>
      <c r="E40" s="104">
        <v>640</v>
      </c>
      <c r="F40" s="104">
        <f t="shared" ref="F40:F60" si="1">SUM(AX40)</f>
        <v>326</v>
      </c>
      <c r="G40" s="104">
        <v>11</v>
      </c>
      <c r="H40" s="210"/>
      <c r="I40" s="104">
        <v>306</v>
      </c>
      <c r="J40" s="104">
        <v>13</v>
      </c>
      <c r="K40" s="104">
        <v>5</v>
      </c>
      <c r="L40" s="104">
        <v>2</v>
      </c>
      <c r="M40" s="104">
        <v>0</v>
      </c>
      <c r="N40" s="104">
        <v>0</v>
      </c>
      <c r="O40" s="104">
        <v>0</v>
      </c>
      <c r="P40" s="104">
        <v>0</v>
      </c>
      <c r="Q40" s="104">
        <v>0</v>
      </c>
      <c r="R40" s="210"/>
      <c r="S40" s="104">
        <v>61</v>
      </c>
      <c r="T40" s="104">
        <v>2</v>
      </c>
      <c r="U40" s="104">
        <v>7</v>
      </c>
      <c r="V40" s="104">
        <v>1</v>
      </c>
      <c r="W40" s="104">
        <v>253</v>
      </c>
      <c r="X40" s="104">
        <v>5</v>
      </c>
      <c r="Y40" s="210"/>
      <c r="Z40" s="104">
        <v>344</v>
      </c>
      <c r="AA40" s="104">
        <v>8</v>
      </c>
      <c r="AB40" s="104">
        <v>1</v>
      </c>
      <c r="AC40" s="104">
        <v>9</v>
      </c>
      <c r="AD40" s="104">
        <v>15</v>
      </c>
      <c r="AE40" s="104">
        <v>73</v>
      </c>
      <c r="AF40" s="104">
        <v>56</v>
      </c>
      <c r="AG40" s="104">
        <v>13</v>
      </c>
      <c r="AH40" s="104">
        <v>53</v>
      </c>
      <c r="AI40" s="104">
        <v>40</v>
      </c>
      <c r="AJ40" s="104">
        <v>5</v>
      </c>
      <c r="AK40" s="104">
        <v>8</v>
      </c>
      <c r="AL40" s="104">
        <v>26</v>
      </c>
      <c r="AM40" s="104">
        <v>5</v>
      </c>
      <c r="AN40" s="104">
        <v>17</v>
      </c>
      <c r="AO40" s="104">
        <v>12</v>
      </c>
      <c r="AP40" s="104">
        <v>5</v>
      </c>
      <c r="AQ40" s="210"/>
      <c r="AR40" s="104">
        <v>1</v>
      </c>
      <c r="AS40" s="104">
        <v>1</v>
      </c>
      <c r="AT40" s="104">
        <v>1</v>
      </c>
      <c r="AU40" s="104">
        <v>0</v>
      </c>
      <c r="AV40" s="104">
        <v>323</v>
      </c>
      <c r="AW40" s="210"/>
      <c r="AX40" s="104">
        <v>326</v>
      </c>
      <c r="AY40" s="104">
        <v>6</v>
      </c>
      <c r="AZ40" s="210"/>
      <c r="BA40" s="104">
        <v>5</v>
      </c>
      <c r="BB40" s="104">
        <v>1</v>
      </c>
      <c r="BC40" s="104">
        <v>0</v>
      </c>
      <c r="BD40" s="104">
        <v>0</v>
      </c>
      <c r="BE40" s="104">
        <v>0</v>
      </c>
      <c r="BF40" s="210"/>
      <c r="BG40" s="66">
        <v>0</v>
      </c>
      <c r="BH40" s="104">
        <v>191</v>
      </c>
      <c r="BI40" s="104">
        <v>1</v>
      </c>
      <c r="BJ40" s="104">
        <v>0</v>
      </c>
      <c r="BK40" s="104">
        <v>11</v>
      </c>
      <c r="BL40" s="104">
        <v>16594</v>
      </c>
      <c r="BM40" s="104">
        <v>23</v>
      </c>
      <c r="BN40" s="104">
        <v>22124</v>
      </c>
      <c r="BO40" s="104">
        <v>2</v>
      </c>
      <c r="BP40" s="104">
        <v>11</v>
      </c>
      <c r="BQ40" s="104">
        <v>7744</v>
      </c>
      <c r="BR40" s="66">
        <v>1</v>
      </c>
      <c r="BS40" s="66">
        <v>500</v>
      </c>
      <c r="BT40" s="210"/>
    </row>
    <row r="41" spans="1:100" s="104" customFormat="1">
      <c r="B41" s="66" t="s">
        <v>1430</v>
      </c>
      <c r="C41" s="66">
        <v>8</v>
      </c>
      <c r="D41" s="104">
        <v>101</v>
      </c>
      <c r="E41" s="104">
        <v>506</v>
      </c>
      <c r="F41" s="104">
        <f t="shared" si="1"/>
        <v>273</v>
      </c>
      <c r="G41" s="104">
        <v>14</v>
      </c>
      <c r="H41" s="210"/>
      <c r="I41" s="104">
        <v>255</v>
      </c>
      <c r="J41" s="104">
        <v>14</v>
      </c>
      <c r="K41" s="104">
        <v>3</v>
      </c>
      <c r="L41" s="104">
        <v>1</v>
      </c>
      <c r="M41" s="104">
        <v>0</v>
      </c>
      <c r="N41" s="104">
        <v>0</v>
      </c>
      <c r="O41" s="104">
        <v>0</v>
      </c>
      <c r="P41" s="104">
        <v>0</v>
      </c>
      <c r="Q41" s="104">
        <v>0</v>
      </c>
      <c r="R41" s="210"/>
      <c r="S41" s="104">
        <v>50</v>
      </c>
      <c r="T41" s="104">
        <v>0</v>
      </c>
      <c r="U41" s="104">
        <v>37</v>
      </c>
      <c r="V41" s="104">
        <v>0</v>
      </c>
      <c r="W41" s="104">
        <v>182</v>
      </c>
      <c r="X41" s="104">
        <v>5</v>
      </c>
      <c r="Y41" s="210"/>
      <c r="Z41" s="104">
        <v>279</v>
      </c>
      <c r="AA41" s="104">
        <v>7</v>
      </c>
      <c r="AB41" s="104">
        <v>1</v>
      </c>
      <c r="AC41" s="104">
        <v>10</v>
      </c>
      <c r="AD41" s="104">
        <v>4</v>
      </c>
      <c r="AE41" s="104">
        <v>24</v>
      </c>
      <c r="AF41" s="104">
        <v>38</v>
      </c>
      <c r="AG41" s="104">
        <v>12</v>
      </c>
      <c r="AH41" s="104">
        <v>40</v>
      </c>
      <c r="AI41" s="104">
        <v>31</v>
      </c>
      <c r="AJ41" s="104">
        <v>9</v>
      </c>
      <c r="AK41" s="104">
        <v>20</v>
      </c>
      <c r="AL41" s="104">
        <v>33</v>
      </c>
      <c r="AM41" s="104">
        <v>6</v>
      </c>
      <c r="AN41" s="104">
        <v>20</v>
      </c>
      <c r="AO41" s="104">
        <v>9</v>
      </c>
      <c r="AP41" s="104">
        <v>6</v>
      </c>
      <c r="AQ41" s="210"/>
      <c r="AR41" s="104">
        <v>0</v>
      </c>
      <c r="AS41" s="104">
        <v>0</v>
      </c>
      <c r="AT41" s="104">
        <v>2</v>
      </c>
      <c r="AU41" s="104">
        <v>0</v>
      </c>
      <c r="AV41" s="104">
        <v>271</v>
      </c>
      <c r="AW41" s="210"/>
      <c r="AX41" s="104">
        <v>273</v>
      </c>
      <c r="AY41" s="104">
        <v>4</v>
      </c>
      <c r="AZ41" s="210"/>
      <c r="BA41" s="104">
        <v>4</v>
      </c>
      <c r="BB41" s="104">
        <v>0</v>
      </c>
      <c r="BC41" s="104">
        <v>0</v>
      </c>
      <c r="BD41" s="104">
        <v>0</v>
      </c>
      <c r="BE41" s="104">
        <v>0</v>
      </c>
      <c r="BF41" s="210"/>
      <c r="BG41" s="104">
        <v>0</v>
      </c>
      <c r="BH41" s="104">
        <v>168</v>
      </c>
      <c r="BI41" s="104">
        <v>5</v>
      </c>
      <c r="BJ41" s="104">
        <v>0</v>
      </c>
      <c r="BK41" s="104">
        <v>11</v>
      </c>
      <c r="BL41" s="104">
        <v>4560</v>
      </c>
      <c r="BM41" s="104">
        <v>21</v>
      </c>
      <c r="BN41" s="104">
        <v>33549</v>
      </c>
      <c r="BO41" s="104">
        <v>0</v>
      </c>
      <c r="BP41" s="104">
        <v>12</v>
      </c>
      <c r="BQ41" s="104">
        <v>10237</v>
      </c>
      <c r="BR41" s="104">
        <v>0</v>
      </c>
      <c r="BS41" s="104">
        <v>0</v>
      </c>
      <c r="BT41" s="210"/>
    </row>
    <row r="42" spans="1:100" s="104" customFormat="1">
      <c r="B42" s="104" t="s">
        <v>1431</v>
      </c>
      <c r="C42" s="104">
        <v>2</v>
      </c>
      <c r="D42" s="104">
        <v>36</v>
      </c>
      <c r="E42" s="104">
        <v>124</v>
      </c>
      <c r="F42" s="104">
        <f t="shared" si="1"/>
        <v>65</v>
      </c>
      <c r="H42" s="210"/>
      <c r="I42" s="104">
        <v>58</v>
      </c>
      <c r="J42" s="104">
        <v>2</v>
      </c>
      <c r="K42" s="104">
        <v>2</v>
      </c>
      <c r="L42" s="104">
        <v>0</v>
      </c>
      <c r="M42" s="104">
        <v>0</v>
      </c>
      <c r="N42" s="104">
        <v>0</v>
      </c>
      <c r="O42" s="104">
        <v>0</v>
      </c>
      <c r="P42" s="104">
        <v>0</v>
      </c>
      <c r="Q42" s="104">
        <v>0</v>
      </c>
      <c r="R42" s="210"/>
      <c r="S42" s="104">
        <v>11</v>
      </c>
      <c r="T42" s="104">
        <v>0</v>
      </c>
      <c r="U42" s="104">
        <v>0</v>
      </c>
      <c r="V42" s="104">
        <v>0</v>
      </c>
      <c r="W42" s="104">
        <v>52</v>
      </c>
      <c r="X42" s="104">
        <v>0</v>
      </c>
      <c r="Y42" s="210"/>
      <c r="Z42" s="104">
        <v>66</v>
      </c>
      <c r="AA42" s="104">
        <v>3</v>
      </c>
      <c r="AB42" s="104">
        <v>0</v>
      </c>
      <c r="AC42" s="104">
        <v>2</v>
      </c>
      <c r="AD42" s="104">
        <v>2</v>
      </c>
      <c r="AE42" s="104">
        <v>10</v>
      </c>
      <c r="AF42" s="104">
        <v>6</v>
      </c>
      <c r="AG42" s="104">
        <v>2</v>
      </c>
      <c r="AH42" s="104">
        <v>5</v>
      </c>
      <c r="AI42" s="104">
        <v>8</v>
      </c>
      <c r="AJ42" s="104">
        <v>4</v>
      </c>
      <c r="AK42" s="104">
        <v>7</v>
      </c>
      <c r="AL42" s="104">
        <v>5</v>
      </c>
      <c r="AM42" s="104">
        <v>2</v>
      </c>
      <c r="AN42" s="104">
        <v>4</v>
      </c>
      <c r="AO42" s="104">
        <v>2</v>
      </c>
      <c r="AP42" s="104">
        <v>2</v>
      </c>
      <c r="AQ42" s="210"/>
      <c r="AR42" s="104">
        <v>0</v>
      </c>
      <c r="AS42" s="104">
        <v>1</v>
      </c>
      <c r="AT42" s="104">
        <v>0</v>
      </c>
      <c r="AU42" s="104">
        <v>0</v>
      </c>
      <c r="AV42" s="104">
        <v>64</v>
      </c>
      <c r="AW42" s="210"/>
      <c r="AX42" s="104">
        <v>65</v>
      </c>
      <c r="AY42" s="104">
        <v>2</v>
      </c>
      <c r="AZ42" s="210"/>
      <c r="BA42" s="104">
        <v>2</v>
      </c>
      <c r="BB42" s="104">
        <v>0</v>
      </c>
      <c r="BC42" s="104">
        <v>0</v>
      </c>
      <c r="BD42" s="104">
        <v>0</v>
      </c>
      <c r="BE42" s="104">
        <v>0</v>
      </c>
      <c r="BF42" s="210"/>
      <c r="BG42" s="66">
        <v>0</v>
      </c>
      <c r="BH42" s="104">
        <v>51</v>
      </c>
      <c r="BI42" s="104">
        <v>0</v>
      </c>
      <c r="BJ42" s="104">
        <v>0</v>
      </c>
      <c r="BK42" s="104">
        <v>0</v>
      </c>
      <c r="BL42" s="104">
        <v>0</v>
      </c>
      <c r="BM42" s="104">
        <v>0</v>
      </c>
      <c r="BN42" s="104">
        <v>0</v>
      </c>
      <c r="BO42" s="104">
        <v>0</v>
      </c>
      <c r="BP42" s="66">
        <v>1</v>
      </c>
      <c r="BQ42" s="66">
        <v>976</v>
      </c>
      <c r="BR42" s="66">
        <v>0</v>
      </c>
      <c r="BS42" s="66">
        <v>0</v>
      </c>
      <c r="BT42" s="210"/>
    </row>
    <row r="43" spans="1:100" s="104" customFormat="1">
      <c r="B43" s="66" t="s">
        <v>1432</v>
      </c>
      <c r="C43" s="104">
        <v>26</v>
      </c>
      <c r="D43" s="104">
        <v>208</v>
      </c>
      <c r="E43" s="104">
        <v>322</v>
      </c>
      <c r="F43" s="104">
        <f t="shared" si="1"/>
        <v>272</v>
      </c>
      <c r="G43" s="104">
        <v>15</v>
      </c>
      <c r="H43" s="210"/>
      <c r="I43" s="104">
        <v>241</v>
      </c>
      <c r="J43" s="104">
        <v>24</v>
      </c>
      <c r="K43" s="104">
        <v>5</v>
      </c>
      <c r="L43" s="104">
        <v>2</v>
      </c>
      <c r="M43" s="104">
        <v>0</v>
      </c>
      <c r="N43" s="104">
        <v>0</v>
      </c>
      <c r="O43" s="104">
        <v>0</v>
      </c>
      <c r="P43" s="104">
        <v>0</v>
      </c>
      <c r="Q43" s="104">
        <v>0</v>
      </c>
      <c r="R43" s="210"/>
      <c r="S43" s="104">
        <v>80</v>
      </c>
      <c r="T43" s="104">
        <v>3</v>
      </c>
      <c r="U43" s="104">
        <v>1</v>
      </c>
      <c r="V43" s="104">
        <v>0</v>
      </c>
      <c r="W43" s="104">
        <v>184</v>
      </c>
      <c r="X43" s="104">
        <v>7</v>
      </c>
      <c r="Y43" s="210"/>
      <c r="Z43" s="104">
        <v>284</v>
      </c>
      <c r="AA43" s="104">
        <v>17</v>
      </c>
      <c r="AB43" s="104">
        <v>5</v>
      </c>
      <c r="AC43" s="104">
        <v>8</v>
      </c>
      <c r="AD43" s="104">
        <v>8</v>
      </c>
      <c r="AE43" s="104">
        <v>74</v>
      </c>
      <c r="AF43" s="104">
        <v>74</v>
      </c>
      <c r="AG43" s="104">
        <v>12</v>
      </c>
      <c r="AH43" s="104">
        <v>75</v>
      </c>
      <c r="AI43" s="104">
        <v>56</v>
      </c>
      <c r="AJ43" s="104">
        <v>14</v>
      </c>
      <c r="AK43" s="104">
        <v>16</v>
      </c>
      <c r="AL43" s="104">
        <v>53</v>
      </c>
      <c r="AM43" s="104">
        <v>5</v>
      </c>
      <c r="AN43" s="104">
        <v>18</v>
      </c>
      <c r="AO43" s="104">
        <v>11</v>
      </c>
      <c r="AP43" s="104">
        <v>13</v>
      </c>
      <c r="AQ43" s="210"/>
      <c r="AR43" s="104">
        <v>0</v>
      </c>
      <c r="AS43" s="104">
        <v>1</v>
      </c>
      <c r="AT43" s="104">
        <v>1</v>
      </c>
      <c r="AU43" s="104">
        <v>0</v>
      </c>
      <c r="AV43" s="104">
        <v>270</v>
      </c>
      <c r="AW43" s="210"/>
      <c r="AX43" s="104">
        <v>272</v>
      </c>
      <c r="AY43" s="104">
        <v>6</v>
      </c>
      <c r="AZ43" s="210"/>
      <c r="BA43" s="104">
        <v>5</v>
      </c>
      <c r="BB43" s="104">
        <v>1</v>
      </c>
      <c r="BC43" s="104">
        <v>0</v>
      </c>
      <c r="BD43" s="104">
        <v>0</v>
      </c>
      <c r="BE43" s="104">
        <v>0</v>
      </c>
      <c r="BF43" s="210"/>
      <c r="BG43" s="9">
        <v>0</v>
      </c>
      <c r="BH43" s="104">
        <v>303</v>
      </c>
      <c r="BI43" s="104">
        <v>6</v>
      </c>
      <c r="BJ43" s="104">
        <v>0</v>
      </c>
      <c r="BK43" s="104">
        <v>10</v>
      </c>
      <c r="BL43" s="104">
        <v>1978</v>
      </c>
      <c r="BM43" s="104">
        <v>25</v>
      </c>
      <c r="BN43" s="104">
        <v>44768</v>
      </c>
      <c r="BO43" s="104">
        <v>2</v>
      </c>
      <c r="BP43" s="104">
        <v>3</v>
      </c>
      <c r="BQ43" s="104">
        <v>1307</v>
      </c>
      <c r="BR43" s="9">
        <v>0</v>
      </c>
      <c r="BS43" s="9">
        <v>0</v>
      </c>
      <c r="BT43" s="210"/>
      <c r="CT43" s="66"/>
      <c r="CU43" s="66"/>
      <c r="CV43" s="66"/>
    </row>
    <row r="44" spans="1:100" s="65" customFormat="1">
      <c r="A44" s="104"/>
      <c r="B44" s="104" t="s">
        <v>1433</v>
      </c>
      <c r="C44" s="66">
        <v>15</v>
      </c>
      <c r="D44" s="104">
        <v>201</v>
      </c>
      <c r="E44" s="104">
        <v>846</v>
      </c>
      <c r="F44" s="104">
        <f t="shared" si="1"/>
        <v>479</v>
      </c>
      <c r="G44" s="104">
        <v>4</v>
      </c>
      <c r="H44" s="210"/>
      <c r="I44" s="104">
        <v>449</v>
      </c>
      <c r="J44" s="104">
        <v>16</v>
      </c>
      <c r="K44" s="104">
        <v>4</v>
      </c>
      <c r="L44" s="104">
        <v>3</v>
      </c>
      <c r="M44" s="105">
        <v>1</v>
      </c>
      <c r="N44" s="104">
        <v>0</v>
      </c>
      <c r="O44" s="104">
        <v>0</v>
      </c>
      <c r="P44" s="104">
        <v>0</v>
      </c>
      <c r="Q44" s="104">
        <v>0</v>
      </c>
      <c r="R44" s="210"/>
      <c r="S44" s="104">
        <v>51</v>
      </c>
      <c r="T44" s="104">
        <v>1</v>
      </c>
      <c r="U44" s="104">
        <v>24</v>
      </c>
      <c r="V44" s="104">
        <v>1</v>
      </c>
      <c r="W44" s="104">
        <v>384</v>
      </c>
      <c r="X44" s="104">
        <v>10</v>
      </c>
      <c r="Y44" s="210"/>
      <c r="Z44" s="66">
        <v>493</v>
      </c>
      <c r="AA44" s="66">
        <v>8</v>
      </c>
      <c r="AB44" s="66">
        <v>1</v>
      </c>
      <c r="AC44" s="104">
        <v>13</v>
      </c>
      <c r="AD44" s="66">
        <v>7</v>
      </c>
      <c r="AE44" s="104">
        <v>36</v>
      </c>
      <c r="AF44" s="66">
        <v>63</v>
      </c>
      <c r="AG44" s="104">
        <v>11</v>
      </c>
      <c r="AH44" s="66">
        <v>72</v>
      </c>
      <c r="AI44" s="66">
        <v>64</v>
      </c>
      <c r="AJ44" s="104">
        <v>10</v>
      </c>
      <c r="AK44" s="66">
        <v>12</v>
      </c>
      <c r="AL44" s="104">
        <v>45</v>
      </c>
      <c r="AM44" s="66">
        <v>16</v>
      </c>
      <c r="AN44" s="66">
        <v>32</v>
      </c>
      <c r="AO44" s="104">
        <v>6</v>
      </c>
      <c r="AP44" s="104">
        <v>9</v>
      </c>
      <c r="AQ44" s="210"/>
      <c r="AR44" s="104">
        <v>0</v>
      </c>
      <c r="AS44" s="104">
        <v>1</v>
      </c>
      <c r="AT44" s="104">
        <v>0</v>
      </c>
      <c r="AU44" s="104">
        <v>1</v>
      </c>
      <c r="AV44" s="104">
        <v>477</v>
      </c>
      <c r="AW44" s="210"/>
      <c r="AX44" s="104">
        <v>479</v>
      </c>
      <c r="AY44" s="104">
        <v>1</v>
      </c>
      <c r="AZ44" s="210"/>
      <c r="BA44" s="104">
        <v>1</v>
      </c>
      <c r="BB44" s="104">
        <v>0</v>
      </c>
      <c r="BC44" s="104">
        <v>0</v>
      </c>
      <c r="BD44" s="104">
        <v>1</v>
      </c>
      <c r="BE44" s="104">
        <v>0</v>
      </c>
      <c r="BF44" s="210"/>
      <c r="BG44" s="66">
        <v>1</v>
      </c>
      <c r="BH44" s="66">
        <v>235</v>
      </c>
      <c r="BI44" s="66">
        <v>2</v>
      </c>
      <c r="BJ44" s="104">
        <v>0</v>
      </c>
      <c r="BK44" s="66">
        <v>39</v>
      </c>
      <c r="BL44" s="66">
        <v>31354</v>
      </c>
      <c r="BM44" s="66">
        <v>91</v>
      </c>
      <c r="BN44" s="66">
        <v>89200</v>
      </c>
      <c r="BO44" s="104">
        <v>1</v>
      </c>
      <c r="BP44" s="104">
        <v>25</v>
      </c>
      <c r="BQ44" s="104">
        <v>18640</v>
      </c>
      <c r="BR44" s="104">
        <v>0</v>
      </c>
      <c r="BS44" s="104">
        <v>0</v>
      </c>
      <c r="BT44" s="210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/>
    </row>
    <row r="45" spans="1:100" s="66" customFormat="1">
      <c r="A45" s="104"/>
      <c r="B45" s="104" t="s">
        <v>1434</v>
      </c>
      <c r="C45" s="104">
        <v>7</v>
      </c>
      <c r="D45" s="104">
        <v>90</v>
      </c>
      <c r="E45" s="104">
        <v>435</v>
      </c>
      <c r="F45" s="104">
        <f t="shared" si="1"/>
        <v>207</v>
      </c>
      <c r="G45" s="104">
        <v>22</v>
      </c>
      <c r="H45" s="210"/>
      <c r="I45" s="104">
        <v>195</v>
      </c>
      <c r="J45" s="104">
        <v>4</v>
      </c>
      <c r="K45" s="104">
        <v>3</v>
      </c>
      <c r="L45" s="104">
        <v>4</v>
      </c>
      <c r="M45" s="104">
        <v>0</v>
      </c>
      <c r="N45" s="104">
        <v>0</v>
      </c>
      <c r="O45" s="104">
        <v>0</v>
      </c>
      <c r="P45" s="104">
        <v>0</v>
      </c>
      <c r="Q45" s="104">
        <v>0</v>
      </c>
      <c r="R45" s="210"/>
      <c r="S45" s="104">
        <v>39</v>
      </c>
      <c r="T45" s="104">
        <v>0</v>
      </c>
      <c r="U45" s="104">
        <v>19</v>
      </c>
      <c r="V45" s="104">
        <v>3</v>
      </c>
      <c r="W45" s="104">
        <v>146</v>
      </c>
      <c r="X45" s="104">
        <v>3</v>
      </c>
      <c r="Y45" s="210"/>
      <c r="Z45" s="104">
        <v>211</v>
      </c>
      <c r="AA45" s="104">
        <v>11</v>
      </c>
      <c r="AB45" s="104">
        <v>3</v>
      </c>
      <c r="AC45" s="104">
        <v>2</v>
      </c>
      <c r="AD45" s="104">
        <v>10</v>
      </c>
      <c r="AE45" s="104">
        <v>36</v>
      </c>
      <c r="AF45" s="104">
        <v>48</v>
      </c>
      <c r="AG45" s="104">
        <v>14</v>
      </c>
      <c r="AH45" s="104">
        <v>40</v>
      </c>
      <c r="AI45" s="104">
        <v>37</v>
      </c>
      <c r="AJ45" s="104">
        <v>6</v>
      </c>
      <c r="AK45" s="104">
        <v>7</v>
      </c>
      <c r="AL45" s="104">
        <v>24</v>
      </c>
      <c r="AM45" s="104">
        <v>2</v>
      </c>
      <c r="AN45" s="104">
        <v>11</v>
      </c>
      <c r="AO45" s="104">
        <v>9</v>
      </c>
      <c r="AP45" s="104">
        <v>6</v>
      </c>
      <c r="AQ45" s="210"/>
      <c r="AR45" s="104">
        <v>0</v>
      </c>
      <c r="AS45" s="104">
        <v>2</v>
      </c>
      <c r="AT45" s="104">
        <v>0</v>
      </c>
      <c r="AU45" s="104">
        <v>0</v>
      </c>
      <c r="AV45" s="104">
        <v>205</v>
      </c>
      <c r="AW45" s="210"/>
      <c r="AX45" s="104">
        <v>207</v>
      </c>
      <c r="AY45" s="104">
        <v>7</v>
      </c>
      <c r="AZ45" s="210"/>
      <c r="BA45" s="104">
        <v>5</v>
      </c>
      <c r="BB45" s="104">
        <v>2</v>
      </c>
      <c r="BC45" s="104">
        <v>0</v>
      </c>
      <c r="BD45" s="104">
        <v>0</v>
      </c>
      <c r="BE45" s="104">
        <v>0</v>
      </c>
      <c r="BF45" s="210"/>
      <c r="BG45" s="9">
        <v>0</v>
      </c>
      <c r="BH45" s="104">
        <v>157</v>
      </c>
      <c r="BI45" s="104">
        <v>4</v>
      </c>
      <c r="BJ45" s="104">
        <v>0</v>
      </c>
      <c r="BK45" s="104">
        <v>4</v>
      </c>
      <c r="BL45" s="104">
        <v>1238</v>
      </c>
      <c r="BM45" s="104">
        <v>12</v>
      </c>
      <c r="BN45" s="104">
        <v>11951</v>
      </c>
      <c r="BO45" s="104">
        <v>0</v>
      </c>
      <c r="BP45" s="104">
        <v>6</v>
      </c>
      <c r="BQ45" s="104">
        <v>5322</v>
      </c>
      <c r="BR45" s="9">
        <v>0</v>
      </c>
      <c r="BS45" s="9">
        <v>0</v>
      </c>
      <c r="BT45" s="210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</row>
    <row r="46" spans="1:100" s="104" customFormat="1">
      <c r="B46" s="66" t="s">
        <v>1435</v>
      </c>
      <c r="C46" s="104">
        <v>24</v>
      </c>
      <c r="D46" s="104">
        <v>190</v>
      </c>
      <c r="E46" s="104">
        <v>817</v>
      </c>
      <c r="F46" s="104">
        <f t="shared" si="1"/>
        <v>376</v>
      </c>
      <c r="G46" s="104">
        <v>9</v>
      </c>
      <c r="H46" s="210"/>
      <c r="I46" s="104">
        <v>344</v>
      </c>
      <c r="J46" s="104">
        <v>27</v>
      </c>
      <c r="K46" s="104">
        <v>4</v>
      </c>
      <c r="L46" s="104">
        <v>2</v>
      </c>
      <c r="M46" s="104">
        <v>0</v>
      </c>
      <c r="N46" s="104">
        <v>0</v>
      </c>
      <c r="O46" s="104">
        <v>0</v>
      </c>
      <c r="P46" s="104">
        <v>0</v>
      </c>
      <c r="Q46" s="104">
        <v>0</v>
      </c>
      <c r="R46" s="210"/>
      <c r="S46" s="104">
        <v>104</v>
      </c>
      <c r="T46" s="104">
        <v>4</v>
      </c>
      <c r="U46" s="104">
        <v>3</v>
      </c>
      <c r="V46" s="104">
        <v>0</v>
      </c>
      <c r="W46" s="104">
        <v>264</v>
      </c>
      <c r="X46" s="104">
        <v>6</v>
      </c>
      <c r="Y46" s="210"/>
      <c r="Z46" s="104">
        <v>386</v>
      </c>
      <c r="AA46" s="104">
        <v>17</v>
      </c>
      <c r="AB46" s="104">
        <v>3</v>
      </c>
      <c r="AC46" s="104">
        <v>14</v>
      </c>
      <c r="AD46" s="104">
        <v>13</v>
      </c>
      <c r="AE46" s="104">
        <v>68</v>
      </c>
      <c r="AF46" s="104">
        <v>93</v>
      </c>
      <c r="AG46" s="104">
        <v>24</v>
      </c>
      <c r="AH46" s="104">
        <v>92</v>
      </c>
      <c r="AI46" s="104">
        <v>72</v>
      </c>
      <c r="AJ46" s="104">
        <v>13</v>
      </c>
      <c r="AK46" s="104">
        <v>16</v>
      </c>
      <c r="AL46" s="104">
        <v>52</v>
      </c>
      <c r="AM46" s="104">
        <v>7</v>
      </c>
      <c r="AN46" s="104">
        <v>27</v>
      </c>
      <c r="AO46" s="104">
        <v>18</v>
      </c>
      <c r="AP46" s="104">
        <v>13</v>
      </c>
      <c r="AQ46" s="210"/>
      <c r="AR46" s="104">
        <v>0</v>
      </c>
      <c r="AS46" s="104">
        <v>4</v>
      </c>
      <c r="AT46" s="104">
        <v>0</v>
      </c>
      <c r="AU46" s="104">
        <v>0</v>
      </c>
      <c r="AV46" s="104">
        <v>372</v>
      </c>
      <c r="AW46" s="210"/>
      <c r="AX46" s="104">
        <v>376</v>
      </c>
      <c r="AY46" s="104">
        <v>6</v>
      </c>
      <c r="AZ46" s="210"/>
      <c r="BA46" s="104">
        <v>4</v>
      </c>
      <c r="BB46" s="104">
        <v>2</v>
      </c>
      <c r="BC46" s="104">
        <v>0</v>
      </c>
      <c r="BD46" s="104">
        <v>0</v>
      </c>
      <c r="BE46" s="104">
        <v>0</v>
      </c>
      <c r="BF46" s="210"/>
      <c r="BG46" s="104">
        <v>1</v>
      </c>
      <c r="BH46" s="104">
        <v>345</v>
      </c>
      <c r="BI46" s="104">
        <v>10</v>
      </c>
      <c r="BJ46" s="104">
        <v>0</v>
      </c>
      <c r="BK46" s="104">
        <v>10</v>
      </c>
      <c r="BL46" s="104">
        <v>4974</v>
      </c>
      <c r="BM46" s="104">
        <v>33</v>
      </c>
      <c r="BN46" s="104">
        <v>38981</v>
      </c>
      <c r="BO46" s="104">
        <v>2</v>
      </c>
      <c r="BP46" s="104">
        <v>14</v>
      </c>
      <c r="BQ46" s="104">
        <v>7872</v>
      </c>
      <c r="BR46" s="104">
        <v>0</v>
      </c>
      <c r="BS46" s="104">
        <v>0</v>
      </c>
      <c r="BT46" s="210"/>
    </row>
    <row r="47" spans="1:100" s="66" customFormat="1">
      <c r="A47" s="104"/>
      <c r="B47" s="66" t="s">
        <v>1436</v>
      </c>
      <c r="C47" s="104">
        <v>0</v>
      </c>
      <c r="D47" s="104">
        <v>0</v>
      </c>
      <c r="E47" s="104">
        <v>193</v>
      </c>
      <c r="F47" s="104">
        <f t="shared" si="1"/>
        <v>193</v>
      </c>
      <c r="G47" s="104">
        <v>25</v>
      </c>
      <c r="H47" s="210"/>
      <c r="I47" s="104">
        <v>193</v>
      </c>
      <c r="J47" s="104">
        <v>0</v>
      </c>
      <c r="K47" s="104">
        <v>0</v>
      </c>
      <c r="L47" s="104">
        <v>0</v>
      </c>
      <c r="M47" s="104">
        <v>0</v>
      </c>
      <c r="N47" s="104">
        <v>0</v>
      </c>
      <c r="O47" s="104">
        <v>0</v>
      </c>
      <c r="P47" s="104">
        <v>0</v>
      </c>
      <c r="Q47" s="104">
        <v>0</v>
      </c>
      <c r="R47" s="210"/>
      <c r="S47" s="104">
        <v>0</v>
      </c>
      <c r="T47" s="104">
        <v>0</v>
      </c>
      <c r="U47" s="104">
        <v>175</v>
      </c>
      <c r="V47" s="104">
        <v>0</v>
      </c>
      <c r="W47" s="104">
        <v>0</v>
      </c>
      <c r="X47" s="104">
        <v>20</v>
      </c>
      <c r="Y47" s="210"/>
      <c r="Z47" s="104">
        <v>193</v>
      </c>
      <c r="AA47" s="104">
        <v>0</v>
      </c>
      <c r="AB47" s="104">
        <v>0</v>
      </c>
      <c r="AC47" s="104">
        <v>0</v>
      </c>
      <c r="AD47" s="104">
        <v>0</v>
      </c>
      <c r="AE47" s="104">
        <v>0</v>
      </c>
      <c r="AF47" s="104">
        <v>0</v>
      </c>
      <c r="AG47" s="104">
        <v>0</v>
      </c>
      <c r="AH47" s="104">
        <v>0</v>
      </c>
      <c r="AI47" s="104">
        <v>0</v>
      </c>
      <c r="AJ47" s="104">
        <v>0</v>
      </c>
      <c r="AK47" s="104">
        <v>0</v>
      </c>
      <c r="AL47" s="104">
        <v>0</v>
      </c>
      <c r="AM47" s="104">
        <v>0</v>
      </c>
      <c r="AN47" s="104">
        <v>0</v>
      </c>
      <c r="AO47" s="104">
        <v>0</v>
      </c>
      <c r="AP47" s="104">
        <v>0</v>
      </c>
      <c r="AQ47" s="210"/>
      <c r="AR47" s="104">
        <v>0</v>
      </c>
      <c r="AS47" s="104">
        <v>0</v>
      </c>
      <c r="AT47" s="104">
        <v>0</v>
      </c>
      <c r="AU47" s="104">
        <v>0</v>
      </c>
      <c r="AV47" s="104">
        <v>193</v>
      </c>
      <c r="AW47" s="210"/>
      <c r="AX47" s="104">
        <v>193</v>
      </c>
      <c r="AY47" s="104">
        <v>0</v>
      </c>
      <c r="AZ47" s="210"/>
      <c r="BA47" s="104">
        <v>0</v>
      </c>
      <c r="BB47" s="104">
        <v>0</v>
      </c>
      <c r="BC47" s="104">
        <v>0</v>
      </c>
      <c r="BD47" s="104">
        <v>0</v>
      </c>
      <c r="BE47" s="104">
        <v>0</v>
      </c>
      <c r="BF47" s="210"/>
      <c r="BG47" s="104">
        <v>0</v>
      </c>
      <c r="BH47" s="104">
        <v>13</v>
      </c>
      <c r="BI47" s="104">
        <v>0</v>
      </c>
      <c r="BJ47" s="104">
        <v>0</v>
      </c>
      <c r="BK47" s="104">
        <v>0</v>
      </c>
      <c r="BL47" s="104">
        <v>0</v>
      </c>
      <c r="BM47" s="104">
        <v>1</v>
      </c>
      <c r="BN47" s="104">
        <v>1</v>
      </c>
      <c r="BO47" s="104">
        <v>0</v>
      </c>
      <c r="BP47" s="104">
        <v>0</v>
      </c>
      <c r="BQ47" s="104">
        <v>0</v>
      </c>
      <c r="BR47" s="104">
        <v>0</v>
      </c>
      <c r="BS47" s="104">
        <v>0</v>
      </c>
      <c r="BT47" s="210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  <c r="CU47" s="104"/>
      <c r="CV47" s="104"/>
    </row>
    <row r="48" spans="1:100" s="104" customFormat="1">
      <c r="B48" s="66" t="s">
        <v>1437</v>
      </c>
      <c r="C48" s="104">
        <v>1</v>
      </c>
      <c r="D48" s="104">
        <v>2</v>
      </c>
      <c r="E48" s="104">
        <v>25</v>
      </c>
      <c r="F48" s="104">
        <f t="shared" si="1"/>
        <v>23</v>
      </c>
      <c r="H48" s="210"/>
      <c r="I48" s="104">
        <v>22</v>
      </c>
      <c r="J48" s="104">
        <v>0</v>
      </c>
      <c r="K48" s="104">
        <v>0</v>
      </c>
      <c r="L48" s="104">
        <v>0</v>
      </c>
      <c r="M48" s="104">
        <v>0</v>
      </c>
      <c r="N48" s="104">
        <v>0</v>
      </c>
      <c r="O48" s="104">
        <v>0</v>
      </c>
      <c r="P48" s="104">
        <v>0</v>
      </c>
      <c r="Q48" s="104">
        <v>0</v>
      </c>
      <c r="R48" s="210"/>
      <c r="S48" s="104">
        <v>4</v>
      </c>
      <c r="T48" s="104">
        <v>1</v>
      </c>
      <c r="U48" s="104">
        <v>0</v>
      </c>
      <c r="V48" s="104">
        <v>0</v>
      </c>
      <c r="W48" s="104">
        <v>18</v>
      </c>
      <c r="X48" s="104">
        <v>0</v>
      </c>
      <c r="Y48" s="210"/>
      <c r="Z48" s="104">
        <v>23</v>
      </c>
      <c r="AA48" s="104">
        <v>0</v>
      </c>
      <c r="AB48" s="104">
        <v>0</v>
      </c>
      <c r="AC48" s="104">
        <v>0</v>
      </c>
      <c r="AD48" s="104">
        <v>0</v>
      </c>
      <c r="AE48" s="104">
        <v>1</v>
      </c>
      <c r="AF48" s="104">
        <v>1</v>
      </c>
      <c r="AG48" s="104">
        <v>0</v>
      </c>
      <c r="AH48" s="104">
        <v>0</v>
      </c>
      <c r="AI48" s="104">
        <v>0</v>
      </c>
      <c r="AJ48" s="104">
        <v>0</v>
      </c>
      <c r="AK48" s="104">
        <v>0</v>
      </c>
      <c r="AL48" s="104">
        <v>0</v>
      </c>
      <c r="AM48" s="104">
        <v>0</v>
      </c>
      <c r="AN48" s="104">
        <v>0</v>
      </c>
      <c r="AO48" s="104">
        <v>0</v>
      </c>
      <c r="AP48" s="104">
        <v>0</v>
      </c>
      <c r="AQ48" s="210"/>
      <c r="AR48" s="104">
        <v>0</v>
      </c>
      <c r="AS48" s="104">
        <v>0</v>
      </c>
      <c r="AT48" s="104">
        <v>0</v>
      </c>
      <c r="AU48" s="104">
        <v>0</v>
      </c>
      <c r="AV48" s="104">
        <v>23</v>
      </c>
      <c r="AW48" s="210"/>
      <c r="AX48" s="104">
        <v>23</v>
      </c>
      <c r="AY48" s="104">
        <v>0</v>
      </c>
      <c r="AZ48" s="210"/>
      <c r="BA48" s="104">
        <v>0</v>
      </c>
      <c r="BB48" s="104">
        <v>0</v>
      </c>
      <c r="BC48" s="104">
        <v>0</v>
      </c>
      <c r="BD48" s="104">
        <v>0</v>
      </c>
      <c r="BE48" s="104">
        <v>0</v>
      </c>
      <c r="BF48" s="210"/>
      <c r="BG48" s="104">
        <v>0</v>
      </c>
      <c r="BH48" s="104">
        <v>5</v>
      </c>
      <c r="BI48" s="104">
        <v>0</v>
      </c>
      <c r="BJ48" s="104">
        <v>0</v>
      </c>
      <c r="BK48" s="104">
        <v>0</v>
      </c>
      <c r="BL48" s="104">
        <v>0</v>
      </c>
      <c r="BM48" s="104">
        <v>0</v>
      </c>
      <c r="BN48" s="104">
        <v>0</v>
      </c>
      <c r="BO48" s="104">
        <v>0</v>
      </c>
      <c r="BP48" s="66">
        <v>0</v>
      </c>
      <c r="BQ48" s="104">
        <v>0</v>
      </c>
      <c r="BR48" s="66">
        <v>0</v>
      </c>
      <c r="BS48" s="104">
        <v>0</v>
      </c>
      <c r="BT48" s="210"/>
    </row>
    <row r="49" spans="1:100" s="104" customFormat="1">
      <c r="B49" s="66" t="s">
        <v>1438</v>
      </c>
      <c r="C49" s="66">
        <v>4</v>
      </c>
      <c r="D49" s="104">
        <v>35</v>
      </c>
      <c r="E49" s="104">
        <v>176</v>
      </c>
      <c r="F49" s="104">
        <f t="shared" si="1"/>
        <v>86</v>
      </c>
      <c r="H49" s="210"/>
      <c r="I49" s="104">
        <v>79</v>
      </c>
      <c r="J49" s="104">
        <v>3</v>
      </c>
      <c r="K49" s="104">
        <v>1</v>
      </c>
      <c r="L49" s="104">
        <v>1</v>
      </c>
      <c r="M49" s="104">
        <v>0</v>
      </c>
      <c r="N49" s="104">
        <v>0</v>
      </c>
      <c r="O49" s="104">
        <v>0</v>
      </c>
      <c r="P49" s="104">
        <v>0</v>
      </c>
      <c r="Q49" s="104">
        <v>0</v>
      </c>
      <c r="R49" s="210"/>
      <c r="S49" s="104">
        <v>19</v>
      </c>
      <c r="T49" s="104">
        <v>1</v>
      </c>
      <c r="U49" s="104">
        <v>1</v>
      </c>
      <c r="V49" s="104">
        <v>1</v>
      </c>
      <c r="W49" s="104">
        <v>57</v>
      </c>
      <c r="X49" s="104">
        <v>3</v>
      </c>
      <c r="Y49" s="210"/>
      <c r="Z49" s="104">
        <v>91</v>
      </c>
      <c r="AA49" s="104">
        <v>8</v>
      </c>
      <c r="AB49" s="104">
        <v>0</v>
      </c>
      <c r="AC49" s="104">
        <v>2</v>
      </c>
      <c r="AD49" s="104">
        <v>3</v>
      </c>
      <c r="AE49" s="104">
        <v>22</v>
      </c>
      <c r="AF49" s="104">
        <v>7</v>
      </c>
      <c r="AG49" s="104">
        <v>3</v>
      </c>
      <c r="AH49" s="104">
        <v>12</v>
      </c>
      <c r="AI49" s="104">
        <v>14</v>
      </c>
      <c r="AJ49" s="104">
        <v>1</v>
      </c>
      <c r="AK49" s="104">
        <v>2</v>
      </c>
      <c r="AL49" s="104">
        <v>12</v>
      </c>
      <c r="AM49" s="104">
        <v>2</v>
      </c>
      <c r="AN49" s="104">
        <v>1</v>
      </c>
      <c r="AO49" s="104">
        <v>2</v>
      </c>
      <c r="AP49" s="104">
        <v>4</v>
      </c>
      <c r="AQ49" s="210"/>
      <c r="AR49" s="104">
        <v>0</v>
      </c>
      <c r="AS49" s="104">
        <v>1</v>
      </c>
      <c r="AT49" s="104">
        <v>0</v>
      </c>
      <c r="AU49" s="104">
        <v>0</v>
      </c>
      <c r="AV49" s="104">
        <v>85</v>
      </c>
      <c r="AW49" s="210"/>
      <c r="AX49" s="104">
        <v>86</v>
      </c>
      <c r="AY49" s="104">
        <v>3</v>
      </c>
      <c r="AZ49" s="210"/>
      <c r="BA49" s="104">
        <v>2</v>
      </c>
      <c r="BB49" s="104">
        <v>1</v>
      </c>
      <c r="BC49" s="104">
        <v>0</v>
      </c>
      <c r="BD49" s="104">
        <v>0</v>
      </c>
      <c r="BE49" s="104">
        <v>0</v>
      </c>
      <c r="BF49" s="210"/>
      <c r="BG49" s="104">
        <v>0</v>
      </c>
      <c r="BH49" s="104">
        <v>72</v>
      </c>
      <c r="BI49" s="104">
        <v>0</v>
      </c>
      <c r="BJ49" s="104">
        <v>0</v>
      </c>
      <c r="BK49" s="104">
        <v>1</v>
      </c>
      <c r="BL49" s="104">
        <v>232</v>
      </c>
      <c r="BM49" s="104">
        <v>5</v>
      </c>
      <c r="BN49" s="104">
        <v>1744</v>
      </c>
      <c r="BO49" s="104">
        <v>0</v>
      </c>
      <c r="BP49" s="104">
        <v>0</v>
      </c>
      <c r="BQ49" s="104">
        <v>0</v>
      </c>
      <c r="BR49" s="104">
        <v>0</v>
      </c>
      <c r="BS49" s="104">
        <v>0</v>
      </c>
      <c r="BT49" s="210"/>
    </row>
    <row r="50" spans="1:100" s="65" customFormat="1">
      <c r="A50" s="104"/>
      <c r="B50" s="66" t="s">
        <v>1439</v>
      </c>
      <c r="C50" s="66">
        <v>2</v>
      </c>
      <c r="D50" s="104">
        <v>15</v>
      </c>
      <c r="E50" s="104">
        <v>80</v>
      </c>
      <c r="F50" s="104">
        <f t="shared" si="1"/>
        <v>38</v>
      </c>
      <c r="G50" s="104"/>
      <c r="H50" s="210"/>
      <c r="I50" s="104">
        <v>21</v>
      </c>
      <c r="J50" s="104">
        <v>2</v>
      </c>
      <c r="K50" s="104">
        <v>0</v>
      </c>
      <c r="L50" s="104">
        <v>1</v>
      </c>
      <c r="M50" s="104">
        <v>0</v>
      </c>
      <c r="N50" s="104">
        <v>0</v>
      </c>
      <c r="O50" s="104">
        <v>0</v>
      </c>
      <c r="P50" s="104">
        <v>0</v>
      </c>
      <c r="Q50" s="104">
        <v>0</v>
      </c>
      <c r="R50" s="210"/>
      <c r="S50" s="104">
        <v>7</v>
      </c>
      <c r="T50" s="104">
        <v>0</v>
      </c>
      <c r="U50" s="104">
        <v>0</v>
      </c>
      <c r="V50" s="104">
        <v>0</v>
      </c>
      <c r="W50" s="104">
        <v>25</v>
      </c>
      <c r="X50" s="104">
        <v>0</v>
      </c>
      <c r="Y50" s="210"/>
      <c r="Z50" s="104">
        <v>38</v>
      </c>
      <c r="AA50" s="104">
        <v>5</v>
      </c>
      <c r="AB50" s="104">
        <v>1</v>
      </c>
      <c r="AC50" s="104">
        <v>2</v>
      </c>
      <c r="AD50" s="104">
        <v>0</v>
      </c>
      <c r="AE50" s="104">
        <v>5</v>
      </c>
      <c r="AF50" s="104">
        <v>10</v>
      </c>
      <c r="AG50" s="104">
        <v>1</v>
      </c>
      <c r="AH50" s="104">
        <v>9</v>
      </c>
      <c r="AI50" s="104">
        <v>7</v>
      </c>
      <c r="AJ50" s="104">
        <v>0</v>
      </c>
      <c r="AK50" s="104">
        <v>1</v>
      </c>
      <c r="AL50" s="104">
        <v>1</v>
      </c>
      <c r="AM50" s="104">
        <v>0</v>
      </c>
      <c r="AN50" s="104">
        <v>0</v>
      </c>
      <c r="AO50" s="104">
        <v>1</v>
      </c>
      <c r="AP50" s="104">
        <v>1</v>
      </c>
      <c r="AQ50" s="210"/>
      <c r="AR50" s="104">
        <v>0</v>
      </c>
      <c r="AS50" s="104">
        <v>0</v>
      </c>
      <c r="AT50" s="104">
        <v>0</v>
      </c>
      <c r="AU50" s="104">
        <v>0</v>
      </c>
      <c r="AV50" s="104">
        <v>38</v>
      </c>
      <c r="AW50" s="210"/>
      <c r="AX50" s="104">
        <v>38</v>
      </c>
      <c r="AY50" s="104">
        <v>1</v>
      </c>
      <c r="AZ50" s="210"/>
      <c r="BA50" s="104">
        <v>0</v>
      </c>
      <c r="BB50" s="104">
        <v>1</v>
      </c>
      <c r="BC50" s="104">
        <v>0</v>
      </c>
      <c r="BD50" s="104">
        <v>0</v>
      </c>
      <c r="BE50" s="104">
        <v>0</v>
      </c>
      <c r="BF50" s="210"/>
      <c r="BG50" s="104">
        <v>0</v>
      </c>
      <c r="BH50" s="104">
        <v>43</v>
      </c>
      <c r="BI50" s="104">
        <v>0</v>
      </c>
      <c r="BJ50" s="104">
        <v>0</v>
      </c>
      <c r="BK50" s="104">
        <v>0</v>
      </c>
      <c r="BL50" s="104">
        <v>0</v>
      </c>
      <c r="BM50" s="104">
        <v>0</v>
      </c>
      <c r="BN50" s="104">
        <v>0</v>
      </c>
      <c r="BO50" s="104">
        <v>0</v>
      </c>
      <c r="BP50" s="104">
        <v>0</v>
      </c>
      <c r="BQ50" s="104">
        <v>0</v>
      </c>
      <c r="BR50" s="104">
        <v>0</v>
      </c>
      <c r="BS50" s="104">
        <v>0</v>
      </c>
      <c r="BT50" s="210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</row>
    <row r="51" spans="1:100" s="104" customFormat="1">
      <c r="B51" s="104" t="s">
        <v>1440</v>
      </c>
      <c r="C51" s="104">
        <v>21</v>
      </c>
      <c r="D51" s="104">
        <v>131</v>
      </c>
      <c r="E51" s="104">
        <v>464</v>
      </c>
      <c r="F51" s="104">
        <f t="shared" si="1"/>
        <v>210</v>
      </c>
      <c r="G51" s="104">
        <v>20</v>
      </c>
      <c r="H51" s="210"/>
      <c r="I51" s="104">
        <v>195</v>
      </c>
      <c r="J51" s="104">
        <v>8</v>
      </c>
      <c r="K51" s="104">
        <v>3</v>
      </c>
      <c r="L51" s="104">
        <v>2</v>
      </c>
      <c r="M51" s="104">
        <v>0</v>
      </c>
      <c r="N51" s="104">
        <v>0</v>
      </c>
      <c r="O51" s="104">
        <v>0</v>
      </c>
      <c r="P51" s="104">
        <v>0</v>
      </c>
      <c r="Q51" s="104">
        <v>0</v>
      </c>
      <c r="R51" s="210"/>
      <c r="S51" s="104">
        <v>46</v>
      </c>
      <c r="T51" s="104">
        <v>0</v>
      </c>
      <c r="U51" s="104">
        <v>24</v>
      </c>
      <c r="V51" s="104">
        <v>1</v>
      </c>
      <c r="W51" s="104">
        <v>129</v>
      </c>
      <c r="X51" s="104">
        <v>2</v>
      </c>
      <c r="Y51" s="210"/>
      <c r="Z51" s="104">
        <v>219</v>
      </c>
      <c r="AA51" s="104">
        <v>7</v>
      </c>
      <c r="AB51" s="104">
        <v>0</v>
      </c>
      <c r="AC51" s="104">
        <v>4</v>
      </c>
      <c r="AD51" s="104">
        <v>16</v>
      </c>
      <c r="AE51" s="104">
        <v>40</v>
      </c>
      <c r="AF51" s="104">
        <v>39</v>
      </c>
      <c r="AG51" s="104">
        <v>9</v>
      </c>
      <c r="AH51" s="104">
        <v>47</v>
      </c>
      <c r="AI51" s="104">
        <v>34</v>
      </c>
      <c r="AJ51" s="104">
        <v>20</v>
      </c>
      <c r="AK51" s="104">
        <v>20</v>
      </c>
      <c r="AL51" s="104">
        <v>28</v>
      </c>
      <c r="AM51" s="104">
        <v>2</v>
      </c>
      <c r="AN51" s="104">
        <v>17</v>
      </c>
      <c r="AO51" s="104">
        <v>10</v>
      </c>
      <c r="AP51" s="104">
        <v>15</v>
      </c>
      <c r="AQ51" s="210"/>
      <c r="AR51" s="104">
        <v>0</v>
      </c>
      <c r="AS51" s="104">
        <v>0</v>
      </c>
      <c r="AT51" s="104">
        <v>2</v>
      </c>
      <c r="AU51" s="104">
        <v>0</v>
      </c>
      <c r="AV51" s="104">
        <v>208</v>
      </c>
      <c r="AW51" s="210"/>
      <c r="AX51" s="104">
        <v>210</v>
      </c>
      <c r="AY51" s="104">
        <v>2</v>
      </c>
      <c r="AZ51" s="210"/>
      <c r="BA51" s="104">
        <v>1</v>
      </c>
      <c r="BB51" s="104">
        <v>1</v>
      </c>
      <c r="BC51" s="104">
        <v>0</v>
      </c>
      <c r="BD51" s="104">
        <v>1</v>
      </c>
      <c r="BE51" s="104">
        <v>0</v>
      </c>
      <c r="BF51" s="210"/>
      <c r="BG51" s="104">
        <v>3</v>
      </c>
      <c r="BH51" s="104">
        <v>222</v>
      </c>
      <c r="BI51" s="104">
        <v>0</v>
      </c>
      <c r="BJ51" s="104">
        <v>0</v>
      </c>
      <c r="BK51" s="104">
        <v>7</v>
      </c>
      <c r="BL51" s="104">
        <v>2866</v>
      </c>
      <c r="BM51" s="104">
        <v>43</v>
      </c>
      <c r="BN51" s="104">
        <v>33924</v>
      </c>
      <c r="BO51" s="104">
        <v>0</v>
      </c>
      <c r="BP51" s="104">
        <v>6</v>
      </c>
      <c r="BQ51" s="104">
        <v>7650</v>
      </c>
      <c r="BR51" s="104">
        <v>0</v>
      </c>
      <c r="BS51" s="104">
        <v>0</v>
      </c>
      <c r="BT51" s="210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5"/>
      <c r="CU51" s="65"/>
      <c r="CV51" s="65"/>
    </row>
    <row r="52" spans="1:100" s="66" customFormat="1">
      <c r="A52" s="104"/>
      <c r="B52" s="104" t="s">
        <v>1441</v>
      </c>
      <c r="C52" s="105">
        <v>41</v>
      </c>
      <c r="D52" s="104">
        <v>543</v>
      </c>
      <c r="E52" s="104">
        <v>2157</v>
      </c>
      <c r="F52" s="104">
        <f t="shared" si="1"/>
        <v>1090</v>
      </c>
      <c r="G52" s="104">
        <v>2</v>
      </c>
      <c r="H52" s="210"/>
      <c r="I52" s="104">
        <v>1014</v>
      </c>
      <c r="J52" s="104">
        <v>46</v>
      </c>
      <c r="K52" s="104">
        <v>21</v>
      </c>
      <c r="L52" s="104">
        <v>5</v>
      </c>
      <c r="M52" s="104">
        <v>0</v>
      </c>
      <c r="N52" s="104">
        <v>0</v>
      </c>
      <c r="O52" s="104">
        <v>0</v>
      </c>
      <c r="P52" s="104">
        <v>0</v>
      </c>
      <c r="Q52" s="104">
        <v>0</v>
      </c>
      <c r="R52" s="210"/>
      <c r="S52" s="104">
        <v>171</v>
      </c>
      <c r="T52" s="104">
        <v>5</v>
      </c>
      <c r="U52" s="104">
        <v>110</v>
      </c>
      <c r="V52" s="104">
        <v>3</v>
      </c>
      <c r="W52" s="104">
        <v>775</v>
      </c>
      <c r="X52" s="105">
        <v>34</v>
      </c>
      <c r="Y52" s="210"/>
      <c r="Z52" s="104">
        <v>1126</v>
      </c>
      <c r="AA52" s="104">
        <v>21</v>
      </c>
      <c r="AB52" s="104">
        <v>2</v>
      </c>
      <c r="AC52" s="104">
        <v>35</v>
      </c>
      <c r="AD52" s="104">
        <v>28</v>
      </c>
      <c r="AE52" s="104">
        <v>163</v>
      </c>
      <c r="AF52" s="104">
        <v>175</v>
      </c>
      <c r="AG52" s="104">
        <v>59</v>
      </c>
      <c r="AH52" s="104">
        <v>211</v>
      </c>
      <c r="AI52" s="104">
        <v>157</v>
      </c>
      <c r="AJ52" s="104">
        <v>22</v>
      </c>
      <c r="AK52" s="104">
        <v>52</v>
      </c>
      <c r="AL52" s="104">
        <v>121</v>
      </c>
      <c r="AM52" s="104">
        <v>19</v>
      </c>
      <c r="AN52" s="104">
        <v>46</v>
      </c>
      <c r="AO52" s="104">
        <v>53</v>
      </c>
      <c r="AP52" s="104">
        <v>41</v>
      </c>
      <c r="AQ52" s="210"/>
      <c r="AR52" s="104">
        <v>0</v>
      </c>
      <c r="AS52" s="104">
        <v>7</v>
      </c>
      <c r="AT52" s="104">
        <v>3</v>
      </c>
      <c r="AU52" s="104">
        <v>4</v>
      </c>
      <c r="AV52" s="104">
        <v>1076</v>
      </c>
      <c r="AW52" s="210"/>
      <c r="AX52" s="104">
        <v>1090</v>
      </c>
      <c r="AY52" s="104">
        <v>14</v>
      </c>
      <c r="AZ52" s="210"/>
      <c r="BA52" s="104">
        <v>12</v>
      </c>
      <c r="BB52" s="104">
        <v>2</v>
      </c>
      <c r="BC52" s="104">
        <v>0</v>
      </c>
      <c r="BD52" s="104">
        <v>0</v>
      </c>
      <c r="BE52" s="104">
        <v>1</v>
      </c>
      <c r="BF52" s="210"/>
      <c r="BG52" s="104">
        <v>4</v>
      </c>
      <c r="BH52" s="104">
        <v>778</v>
      </c>
      <c r="BI52" s="104">
        <v>11</v>
      </c>
      <c r="BJ52" s="104">
        <v>1</v>
      </c>
      <c r="BK52" s="104">
        <v>35</v>
      </c>
      <c r="BL52" s="104">
        <v>40215</v>
      </c>
      <c r="BM52" s="104">
        <v>51</v>
      </c>
      <c r="BN52" s="104">
        <v>52439</v>
      </c>
      <c r="BO52" s="104">
        <v>2</v>
      </c>
      <c r="BP52" s="104">
        <v>33</v>
      </c>
      <c r="BQ52" s="104">
        <v>25358</v>
      </c>
      <c r="BR52" s="104">
        <v>1</v>
      </c>
      <c r="BS52" s="104">
        <v>768</v>
      </c>
      <c r="BT52" s="210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</row>
    <row r="53" spans="1:100" s="104" customFormat="1">
      <c r="B53" s="104" t="s">
        <v>1442</v>
      </c>
      <c r="C53" s="104">
        <v>2</v>
      </c>
      <c r="D53" s="104">
        <v>19</v>
      </c>
      <c r="E53" s="104">
        <v>98</v>
      </c>
      <c r="F53" s="104">
        <f t="shared" si="1"/>
        <v>48</v>
      </c>
      <c r="H53" s="210"/>
      <c r="I53" s="104">
        <v>44</v>
      </c>
      <c r="J53" s="104">
        <v>4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210"/>
      <c r="S53" s="104">
        <v>4</v>
      </c>
      <c r="T53" s="104">
        <v>0</v>
      </c>
      <c r="U53" s="104">
        <v>13</v>
      </c>
      <c r="V53" s="104">
        <v>1</v>
      </c>
      <c r="W53" s="104">
        <v>24</v>
      </c>
      <c r="X53" s="104">
        <v>0</v>
      </c>
      <c r="Y53" s="210"/>
      <c r="Z53" s="104">
        <v>48</v>
      </c>
      <c r="AA53" s="104">
        <v>0</v>
      </c>
      <c r="AB53" s="104">
        <v>0</v>
      </c>
      <c r="AC53" s="104">
        <v>1</v>
      </c>
      <c r="AD53" s="104">
        <v>3</v>
      </c>
      <c r="AE53" s="104">
        <v>9</v>
      </c>
      <c r="AF53" s="104">
        <v>7</v>
      </c>
      <c r="AG53" s="104">
        <v>0</v>
      </c>
      <c r="AH53" s="104">
        <v>7</v>
      </c>
      <c r="AI53" s="104">
        <v>6</v>
      </c>
      <c r="AJ53" s="104">
        <v>1</v>
      </c>
      <c r="AK53" s="104">
        <v>0</v>
      </c>
      <c r="AL53" s="104">
        <v>8</v>
      </c>
      <c r="AM53" s="104">
        <v>3</v>
      </c>
      <c r="AN53" s="104">
        <v>4</v>
      </c>
      <c r="AO53" s="104">
        <v>3</v>
      </c>
      <c r="AP53" s="104">
        <v>2</v>
      </c>
      <c r="AQ53" s="210"/>
      <c r="AR53" s="104">
        <v>0</v>
      </c>
      <c r="AS53" s="104">
        <v>0</v>
      </c>
      <c r="AT53" s="104">
        <v>0</v>
      </c>
      <c r="AU53" s="104">
        <v>0</v>
      </c>
      <c r="AV53" s="104">
        <v>48</v>
      </c>
      <c r="AW53" s="210"/>
      <c r="AX53" s="104">
        <v>48</v>
      </c>
      <c r="AY53" s="104">
        <v>0</v>
      </c>
      <c r="AZ53" s="210"/>
      <c r="BA53" s="104">
        <v>0</v>
      </c>
      <c r="BB53" s="104">
        <v>0</v>
      </c>
      <c r="BC53" s="104">
        <v>0</v>
      </c>
      <c r="BD53" s="104">
        <v>0</v>
      </c>
      <c r="BE53" s="104">
        <v>0</v>
      </c>
      <c r="BF53" s="210"/>
      <c r="BG53" s="104">
        <v>0</v>
      </c>
      <c r="BH53" s="104">
        <v>15</v>
      </c>
      <c r="BI53" s="104">
        <v>0</v>
      </c>
      <c r="BJ53" s="104">
        <v>0</v>
      </c>
      <c r="BK53" s="104">
        <v>0</v>
      </c>
      <c r="BL53" s="104">
        <v>0</v>
      </c>
      <c r="BM53" s="104">
        <v>0</v>
      </c>
      <c r="BN53" s="104">
        <v>0</v>
      </c>
      <c r="BO53" s="104">
        <v>0</v>
      </c>
      <c r="BP53" s="104">
        <v>0</v>
      </c>
      <c r="BQ53" s="104">
        <v>0</v>
      </c>
      <c r="BR53" s="104">
        <v>0</v>
      </c>
      <c r="BS53" s="104">
        <v>0</v>
      </c>
      <c r="BT53" s="210"/>
      <c r="CT53" s="66"/>
      <c r="CU53" s="66"/>
      <c r="CV53" s="66"/>
    </row>
    <row r="54" spans="1:100" s="104" customFormat="1">
      <c r="B54" s="104" t="s">
        <v>1443</v>
      </c>
      <c r="C54" s="104">
        <v>3</v>
      </c>
      <c r="D54" s="104">
        <v>0</v>
      </c>
      <c r="E54" s="104">
        <v>31</v>
      </c>
      <c r="F54" s="104">
        <f t="shared" si="1"/>
        <v>22</v>
      </c>
      <c r="H54" s="210"/>
      <c r="I54" s="104">
        <v>21</v>
      </c>
      <c r="J54" s="104">
        <v>0</v>
      </c>
      <c r="K54" s="104">
        <v>0</v>
      </c>
      <c r="L54" s="104">
        <v>0</v>
      </c>
      <c r="M54" s="104">
        <v>0</v>
      </c>
      <c r="N54" s="104">
        <v>0</v>
      </c>
      <c r="O54" s="104">
        <v>0</v>
      </c>
      <c r="P54" s="104">
        <v>0</v>
      </c>
      <c r="Q54" s="104">
        <v>0</v>
      </c>
      <c r="R54" s="210"/>
      <c r="S54" s="104">
        <v>7</v>
      </c>
      <c r="T54" s="104">
        <v>0</v>
      </c>
      <c r="U54" s="104">
        <v>0</v>
      </c>
      <c r="V54" s="104">
        <v>0</v>
      </c>
      <c r="W54" s="104">
        <v>13</v>
      </c>
      <c r="X54" s="104">
        <v>1</v>
      </c>
      <c r="Y54" s="210"/>
      <c r="Z54" s="104">
        <v>22</v>
      </c>
      <c r="AA54" s="104">
        <v>0</v>
      </c>
      <c r="AB54" s="104">
        <v>0</v>
      </c>
      <c r="AC54" s="104">
        <v>0</v>
      </c>
      <c r="AD54" s="104">
        <v>0</v>
      </c>
      <c r="AE54" s="104">
        <v>1</v>
      </c>
      <c r="AF54" s="104">
        <v>1</v>
      </c>
      <c r="AG54" s="104">
        <v>2</v>
      </c>
      <c r="AH54" s="104">
        <v>0</v>
      </c>
      <c r="AI54" s="104">
        <v>2</v>
      </c>
      <c r="AJ54" s="104">
        <v>0</v>
      </c>
      <c r="AK54" s="104">
        <v>0</v>
      </c>
      <c r="AL54" s="104">
        <v>1</v>
      </c>
      <c r="AM54" s="104">
        <v>0</v>
      </c>
      <c r="AN54" s="104">
        <v>0</v>
      </c>
      <c r="AO54" s="104">
        <v>1</v>
      </c>
      <c r="AP54" s="104">
        <v>1</v>
      </c>
      <c r="AQ54" s="210"/>
      <c r="AR54" s="104">
        <v>0</v>
      </c>
      <c r="AS54" s="104">
        <v>0</v>
      </c>
      <c r="AT54" s="104">
        <v>0</v>
      </c>
      <c r="AU54" s="104">
        <v>0</v>
      </c>
      <c r="AV54" s="104">
        <v>22</v>
      </c>
      <c r="AW54" s="210"/>
      <c r="AX54" s="104">
        <v>22</v>
      </c>
      <c r="AY54" s="104">
        <v>0</v>
      </c>
      <c r="AZ54" s="210"/>
      <c r="BA54" s="104">
        <v>0</v>
      </c>
      <c r="BB54" s="104">
        <v>0</v>
      </c>
      <c r="BC54" s="104">
        <v>0</v>
      </c>
      <c r="BD54" s="104">
        <v>0</v>
      </c>
      <c r="BE54" s="104">
        <v>0</v>
      </c>
      <c r="BF54" s="210"/>
      <c r="BG54" s="104">
        <v>0</v>
      </c>
      <c r="BH54" s="104">
        <v>11</v>
      </c>
      <c r="BI54" s="104">
        <v>0</v>
      </c>
      <c r="BJ54" s="104">
        <v>0</v>
      </c>
      <c r="BK54" s="104">
        <v>0</v>
      </c>
      <c r="BL54" s="104">
        <v>0</v>
      </c>
      <c r="BM54" s="104">
        <v>0</v>
      </c>
      <c r="BN54" s="104">
        <v>0</v>
      </c>
      <c r="BO54" s="104">
        <v>0</v>
      </c>
      <c r="BP54" s="104">
        <v>0</v>
      </c>
      <c r="BQ54" s="104">
        <v>0</v>
      </c>
      <c r="BR54" s="104">
        <v>0</v>
      </c>
      <c r="BS54" s="104">
        <v>0</v>
      </c>
      <c r="BT54" s="210"/>
      <c r="CT54" s="66"/>
      <c r="CU54" s="66"/>
      <c r="CV54" s="66"/>
    </row>
    <row r="55" spans="1:100" s="66" customFormat="1">
      <c r="A55" s="104"/>
      <c r="B55" s="104" t="s">
        <v>1444</v>
      </c>
      <c r="C55" s="104">
        <v>0</v>
      </c>
      <c r="D55" s="104">
        <v>0</v>
      </c>
      <c r="E55" s="104">
        <v>5</v>
      </c>
      <c r="F55" s="104">
        <f t="shared" si="1"/>
        <v>5</v>
      </c>
      <c r="G55" s="104"/>
      <c r="H55" s="210"/>
      <c r="I55" s="104">
        <v>5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210"/>
      <c r="S55" s="104">
        <v>0</v>
      </c>
      <c r="T55" s="104">
        <v>0</v>
      </c>
      <c r="U55" s="104">
        <v>0</v>
      </c>
      <c r="V55" s="104">
        <v>0</v>
      </c>
      <c r="W55" s="104">
        <v>5</v>
      </c>
      <c r="X55" s="104">
        <v>0</v>
      </c>
      <c r="Y55" s="210"/>
      <c r="Z55" s="104">
        <v>5</v>
      </c>
      <c r="AA55" s="104">
        <v>0</v>
      </c>
      <c r="AB55" s="104">
        <v>0</v>
      </c>
      <c r="AC55" s="104">
        <v>0</v>
      </c>
      <c r="AD55" s="104">
        <v>0</v>
      </c>
      <c r="AE55" s="104">
        <v>0</v>
      </c>
      <c r="AF55" s="104">
        <v>0</v>
      </c>
      <c r="AG55" s="104">
        <v>0</v>
      </c>
      <c r="AH55" s="104">
        <v>0</v>
      </c>
      <c r="AI55" s="104">
        <v>0</v>
      </c>
      <c r="AJ55" s="104">
        <v>0</v>
      </c>
      <c r="AK55" s="104">
        <v>0</v>
      </c>
      <c r="AL55" s="104">
        <v>0</v>
      </c>
      <c r="AM55" s="104">
        <v>0</v>
      </c>
      <c r="AN55" s="104">
        <v>0</v>
      </c>
      <c r="AO55" s="104">
        <v>0</v>
      </c>
      <c r="AP55" s="104">
        <v>0</v>
      </c>
      <c r="AQ55" s="210"/>
      <c r="AR55" s="104">
        <v>0</v>
      </c>
      <c r="AS55" s="104">
        <v>0</v>
      </c>
      <c r="AT55" s="104">
        <v>0</v>
      </c>
      <c r="AU55" s="104">
        <v>0</v>
      </c>
      <c r="AV55" s="104">
        <v>5</v>
      </c>
      <c r="AW55" s="210"/>
      <c r="AX55" s="104">
        <v>5</v>
      </c>
      <c r="AY55" s="104">
        <v>0</v>
      </c>
      <c r="AZ55" s="210"/>
      <c r="BA55" s="104">
        <v>0</v>
      </c>
      <c r="BB55" s="104">
        <v>0</v>
      </c>
      <c r="BC55" s="104">
        <v>0</v>
      </c>
      <c r="BD55" s="104">
        <v>0</v>
      </c>
      <c r="BE55" s="104">
        <v>0</v>
      </c>
      <c r="BF55" s="210"/>
      <c r="BG55" s="9">
        <v>0</v>
      </c>
      <c r="BH55" s="104">
        <v>0</v>
      </c>
      <c r="BI55" s="104">
        <v>0</v>
      </c>
      <c r="BJ55" s="104">
        <v>0</v>
      </c>
      <c r="BK55" s="104">
        <v>0</v>
      </c>
      <c r="BL55" s="104">
        <v>0</v>
      </c>
      <c r="BM55" s="104">
        <v>0</v>
      </c>
      <c r="BN55" s="104">
        <v>0</v>
      </c>
      <c r="BO55" s="104">
        <v>0</v>
      </c>
      <c r="BP55" s="104">
        <v>0</v>
      </c>
      <c r="BQ55" s="104">
        <v>0</v>
      </c>
      <c r="BR55" s="104">
        <v>0</v>
      </c>
      <c r="BS55" s="9">
        <v>0</v>
      </c>
      <c r="BT55" s="210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</row>
    <row r="56" spans="1:100" s="104" customFormat="1">
      <c r="B56" s="66" t="s">
        <v>1445</v>
      </c>
      <c r="C56" s="66">
        <v>11</v>
      </c>
      <c r="D56" s="104">
        <v>118</v>
      </c>
      <c r="E56" s="104">
        <v>481</v>
      </c>
      <c r="F56" s="104">
        <f t="shared" si="1"/>
        <v>208</v>
      </c>
      <c r="G56" s="104">
        <v>21</v>
      </c>
      <c r="H56" s="210"/>
      <c r="I56" s="104">
        <v>191</v>
      </c>
      <c r="J56" s="104">
        <v>10</v>
      </c>
      <c r="K56" s="104">
        <v>4</v>
      </c>
      <c r="L56" s="104">
        <v>2</v>
      </c>
      <c r="M56" s="104">
        <v>0</v>
      </c>
      <c r="N56" s="104">
        <v>0</v>
      </c>
      <c r="O56" s="104">
        <v>0</v>
      </c>
      <c r="P56" s="104">
        <v>0</v>
      </c>
      <c r="Q56" s="104">
        <v>0</v>
      </c>
      <c r="R56" s="210"/>
      <c r="S56" s="104">
        <v>42</v>
      </c>
      <c r="T56" s="104">
        <v>2</v>
      </c>
      <c r="U56" s="104">
        <v>6</v>
      </c>
      <c r="V56" s="104">
        <v>1</v>
      </c>
      <c r="W56" s="104">
        <v>150</v>
      </c>
      <c r="X56" s="104">
        <v>9</v>
      </c>
      <c r="Y56" s="210"/>
      <c r="Z56" s="104">
        <v>211</v>
      </c>
      <c r="AA56" s="104">
        <v>8</v>
      </c>
      <c r="AB56" s="104">
        <v>1</v>
      </c>
      <c r="AC56" s="104">
        <v>3</v>
      </c>
      <c r="AD56" s="104">
        <v>8</v>
      </c>
      <c r="AE56" s="104">
        <v>41</v>
      </c>
      <c r="AF56" s="104">
        <v>59</v>
      </c>
      <c r="AG56" s="104">
        <v>18</v>
      </c>
      <c r="AH56" s="104">
        <v>59</v>
      </c>
      <c r="AI56" s="104">
        <v>28</v>
      </c>
      <c r="AJ56" s="104">
        <v>5</v>
      </c>
      <c r="AK56" s="104">
        <v>14</v>
      </c>
      <c r="AL56" s="104">
        <v>32</v>
      </c>
      <c r="AM56" s="104">
        <v>8</v>
      </c>
      <c r="AN56" s="104">
        <v>12</v>
      </c>
      <c r="AO56" s="104">
        <v>17</v>
      </c>
      <c r="AP56" s="104">
        <v>16</v>
      </c>
      <c r="AQ56" s="210"/>
      <c r="AR56" s="104">
        <v>0</v>
      </c>
      <c r="AS56" s="104">
        <v>4</v>
      </c>
      <c r="AT56" s="104">
        <v>0</v>
      </c>
      <c r="AU56" s="104">
        <v>0</v>
      </c>
      <c r="AV56" s="104">
        <v>204</v>
      </c>
      <c r="AW56" s="210"/>
      <c r="AX56" s="104">
        <v>208</v>
      </c>
      <c r="AY56" s="104">
        <v>4</v>
      </c>
      <c r="AZ56" s="210"/>
      <c r="BA56" s="104">
        <v>4</v>
      </c>
      <c r="BB56" s="104">
        <v>0</v>
      </c>
      <c r="BC56" s="104">
        <v>0</v>
      </c>
      <c r="BD56" s="104">
        <v>0</v>
      </c>
      <c r="BE56" s="104">
        <v>0</v>
      </c>
      <c r="BF56" s="210"/>
      <c r="BG56" s="66">
        <v>0</v>
      </c>
      <c r="BH56" s="104">
        <v>250</v>
      </c>
      <c r="BI56" s="104">
        <v>12</v>
      </c>
      <c r="BJ56" s="104">
        <v>0</v>
      </c>
      <c r="BK56" s="104">
        <v>6</v>
      </c>
      <c r="BL56" s="104">
        <v>1810</v>
      </c>
      <c r="BM56" s="104">
        <v>24</v>
      </c>
      <c r="BN56" s="104">
        <v>22634</v>
      </c>
      <c r="BO56" s="104">
        <v>2</v>
      </c>
      <c r="BP56" s="104">
        <v>7</v>
      </c>
      <c r="BQ56" s="104">
        <v>3576</v>
      </c>
      <c r="BR56" s="66">
        <v>1</v>
      </c>
      <c r="BS56" s="66">
        <v>500</v>
      </c>
      <c r="BT56" s="210"/>
    </row>
    <row r="57" spans="1:100" s="65" customFormat="1">
      <c r="A57" s="104"/>
      <c r="B57" s="104" t="s">
        <v>1446</v>
      </c>
      <c r="C57" s="104">
        <v>29</v>
      </c>
      <c r="D57" s="104">
        <v>388</v>
      </c>
      <c r="E57" s="104">
        <v>1101</v>
      </c>
      <c r="F57" s="104">
        <f t="shared" si="1"/>
        <v>393</v>
      </c>
      <c r="G57" s="104">
        <v>8</v>
      </c>
      <c r="H57" s="210"/>
      <c r="I57" s="104">
        <v>352</v>
      </c>
      <c r="J57" s="104">
        <v>22</v>
      </c>
      <c r="K57" s="104">
        <v>8</v>
      </c>
      <c r="L57" s="104">
        <v>10</v>
      </c>
      <c r="M57" s="105">
        <v>2</v>
      </c>
      <c r="N57" s="104">
        <v>0</v>
      </c>
      <c r="O57" s="104">
        <v>0</v>
      </c>
      <c r="P57" s="104">
        <v>0</v>
      </c>
      <c r="Q57" s="104">
        <v>0</v>
      </c>
      <c r="R57" s="210"/>
      <c r="S57" s="104">
        <v>88</v>
      </c>
      <c r="T57" s="104">
        <v>0</v>
      </c>
      <c r="U57" s="104">
        <v>31</v>
      </c>
      <c r="V57" s="104">
        <v>6</v>
      </c>
      <c r="W57" s="104">
        <v>257</v>
      </c>
      <c r="X57" s="104">
        <v>12</v>
      </c>
      <c r="Y57" s="210"/>
      <c r="Z57" s="104">
        <v>412</v>
      </c>
      <c r="AA57" s="104">
        <v>40</v>
      </c>
      <c r="AB57" s="104">
        <v>11</v>
      </c>
      <c r="AC57" s="104">
        <v>26</v>
      </c>
      <c r="AD57" s="104">
        <v>22</v>
      </c>
      <c r="AE57" s="104">
        <v>100</v>
      </c>
      <c r="AF57" s="104">
        <v>127</v>
      </c>
      <c r="AG57" s="104">
        <v>44</v>
      </c>
      <c r="AH57" s="104">
        <v>131</v>
      </c>
      <c r="AI57" s="104">
        <v>105</v>
      </c>
      <c r="AJ57" s="104">
        <v>20</v>
      </c>
      <c r="AK57" s="104">
        <v>50</v>
      </c>
      <c r="AL57" s="104">
        <v>62</v>
      </c>
      <c r="AM57" s="104">
        <v>22</v>
      </c>
      <c r="AN57" s="104">
        <v>59</v>
      </c>
      <c r="AO57" s="104">
        <v>37</v>
      </c>
      <c r="AP57" s="104">
        <v>20</v>
      </c>
      <c r="AQ57" s="210"/>
      <c r="AR57" s="104">
        <v>5</v>
      </c>
      <c r="AS57" s="104">
        <v>5</v>
      </c>
      <c r="AT57" s="104">
        <v>2</v>
      </c>
      <c r="AU57" s="104">
        <v>1</v>
      </c>
      <c r="AV57" s="104">
        <v>380</v>
      </c>
      <c r="AW57" s="210"/>
      <c r="AX57" s="104">
        <v>393</v>
      </c>
      <c r="AY57" s="104">
        <v>15</v>
      </c>
      <c r="AZ57" s="210"/>
      <c r="BA57" s="104">
        <v>14</v>
      </c>
      <c r="BB57" s="104">
        <v>1</v>
      </c>
      <c r="BC57" s="104">
        <v>0</v>
      </c>
      <c r="BD57" s="104">
        <v>0</v>
      </c>
      <c r="BE57" s="105">
        <v>2</v>
      </c>
      <c r="BF57" s="210"/>
      <c r="BG57" s="9">
        <v>4</v>
      </c>
      <c r="BH57" s="104">
        <v>492</v>
      </c>
      <c r="BI57" s="104">
        <v>5</v>
      </c>
      <c r="BJ57" s="104">
        <v>1</v>
      </c>
      <c r="BK57" s="104">
        <v>34</v>
      </c>
      <c r="BL57" s="104">
        <v>27612</v>
      </c>
      <c r="BM57" s="104">
        <v>83</v>
      </c>
      <c r="BN57" s="104">
        <v>105060</v>
      </c>
      <c r="BO57" s="104">
        <v>2</v>
      </c>
      <c r="BP57" s="9">
        <v>36</v>
      </c>
      <c r="BQ57" s="9">
        <v>25781</v>
      </c>
      <c r="BR57" s="9">
        <v>1</v>
      </c>
      <c r="BS57" s="9">
        <v>500</v>
      </c>
      <c r="BT57" s="210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4"/>
      <c r="CN57" s="104"/>
      <c r="CO57" s="104"/>
      <c r="CP57" s="104"/>
      <c r="CQ57" s="104"/>
      <c r="CR57" s="104"/>
      <c r="CS57" s="104"/>
      <c r="CT57" s="104"/>
      <c r="CU57" s="104"/>
      <c r="CV57" s="104"/>
    </row>
    <row r="58" spans="1:100" s="66" customFormat="1">
      <c r="A58" s="104"/>
      <c r="B58" s="104" t="s">
        <v>1447</v>
      </c>
      <c r="C58" s="104">
        <v>0</v>
      </c>
      <c r="D58" s="104">
        <v>0</v>
      </c>
      <c r="E58" s="104">
        <v>113</v>
      </c>
      <c r="F58" s="104">
        <f t="shared" si="1"/>
        <v>113</v>
      </c>
      <c r="G58" s="104"/>
      <c r="H58" s="210"/>
      <c r="I58" s="104">
        <v>0</v>
      </c>
      <c r="J58" s="104">
        <v>0</v>
      </c>
      <c r="K58" s="104">
        <v>0</v>
      </c>
      <c r="L58" s="104">
        <v>0</v>
      </c>
      <c r="M58" s="104">
        <v>0</v>
      </c>
      <c r="N58" s="104">
        <v>0</v>
      </c>
      <c r="O58" s="104">
        <v>0</v>
      </c>
      <c r="P58" s="104">
        <v>0</v>
      </c>
      <c r="Q58" s="104">
        <v>0</v>
      </c>
      <c r="R58" s="210"/>
      <c r="S58" s="104">
        <v>0</v>
      </c>
      <c r="T58" s="104">
        <v>0</v>
      </c>
      <c r="U58" s="104">
        <v>0</v>
      </c>
      <c r="V58" s="104">
        <v>0</v>
      </c>
      <c r="W58" s="104">
        <v>0</v>
      </c>
      <c r="X58" s="104">
        <v>0</v>
      </c>
      <c r="Y58" s="210"/>
      <c r="Z58" s="104">
        <v>113</v>
      </c>
      <c r="AA58" s="104">
        <v>0</v>
      </c>
      <c r="AB58" s="104">
        <v>0</v>
      </c>
      <c r="AC58" s="104">
        <v>0</v>
      </c>
      <c r="AD58" s="104">
        <v>0</v>
      </c>
      <c r="AE58" s="104">
        <v>0</v>
      </c>
      <c r="AF58" s="104">
        <v>0</v>
      </c>
      <c r="AG58" s="104">
        <v>0</v>
      </c>
      <c r="AH58" s="104">
        <v>0</v>
      </c>
      <c r="AI58" s="104">
        <v>0</v>
      </c>
      <c r="AJ58" s="104">
        <v>0</v>
      </c>
      <c r="AK58" s="104">
        <v>0</v>
      </c>
      <c r="AL58" s="104">
        <v>0</v>
      </c>
      <c r="AM58" s="104">
        <v>0</v>
      </c>
      <c r="AN58" s="104">
        <v>0</v>
      </c>
      <c r="AO58" s="104">
        <v>0</v>
      </c>
      <c r="AP58" s="104">
        <v>0</v>
      </c>
      <c r="AQ58" s="210"/>
      <c r="AR58" s="104">
        <v>0</v>
      </c>
      <c r="AS58" s="104">
        <v>0</v>
      </c>
      <c r="AT58" s="104">
        <v>0</v>
      </c>
      <c r="AU58" s="104">
        <v>0</v>
      </c>
      <c r="AV58" s="104">
        <v>113</v>
      </c>
      <c r="AW58" s="210"/>
      <c r="AX58" s="104">
        <v>113</v>
      </c>
      <c r="AY58" s="104">
        <v>0</v>
      </c>
      <c r="AZ58" s="210"/>
      <c r="BA58" s="104">
        <v>0</v>
      </c>
      <c r="BB58" s="104">
        <v>0</v>
      </c>
      <c r="BC58" s="104">
        <v>0</v>
      </c>
      <c r="BD58" s="104">
        <v>0</v>
      </c>
      <c r="BE58" s="104">
        <v>0</v>
      </c>
      <c r="BF58" s="210"/>
      <c r="BG58" s="104">
        <v>0</v>
      </c>
      <c r="BH58" s="104">
        <v>29</v>
      </c>
      <c r="BI58" s="104">
        <v>0</v>
      </c>
      <c r="BJ58" s="104">
        <v>0</v>
      </c>
      <c r="BK58" s="104">
        <v>0</v>
      </c>
      <c r="BL58" s="104">
        <v>0</v>
      </c>
      <c r="BM58" s="104">
        <v>0</v>
      </c>
      <c r="BN58" s="104">
        <v>0</v>
      </c>
      <c r="BO58" s="104">
        <v>0</v>
      </c>
      <c r="BP58" s="104">
        <v>0</v>
      </c>
      <c r="BQ58" s="104">
        <v>0</v>
      </c>
      <c r="BR58" s="104">
        <v>0</v>
      </c>
      <c r="BS58" s="104">
        <v>0</v>
      </c>
      <c r="BT58" s="210"/>
      <c r="BU58" s="104"/>
      <c r="BV58" s="104"/>
      <c r="BW58" s="104"/>
      <c r="BX58" s="104"/>
      <c r="BY58" s="104"/>
      <c r="BZ58" s="104"/>
      <c r="CA58" s="104"/>
      <c r="CB58" s="104"/>
      <c r="CC58" s="104"/>
      <c r="CD58" s="104"/>
      <c r="CE58" s="104"/>
      <c r="CF58" s="104"/>
      <c r="CG58" s="104"/>
      <c r="CH58" s="104"/>
      <c r="CI58" s="104"/>
      <c r="CJ58" s="104"/>
      <c r="CK58" s="104"/>
      <c r="CL58" s="104"/>
      <c r="CM58" s="104"/>
      <c r="CN58" s="104"/>
      <c r="CO58" s="104"/>
      <c r="CP58" s="104"/>
      <c r="CQ58" s="104"/>
      <c r="CR58" s="104"/>
      <c r="CS58" s="104"/>
      <c r="CT58" s="104"/>
      <c r="CU58" s="104"/>
      <c r="CV58" s="104"/>
    </row>
    <row r="59" spans="1:100" s="65" customFormat="1">
      <c r="A59" s="104"/>
      <c r="B59" s="104" t="s">
        <v>1448</v>
      </c>
      <c r="C59" s="104">
        <v>24</v>
      </c>
      <c r="D59" s="104">
        <v>139</v>
      </c>
      <c r="E59" s="104">
        <v>465</v>
      </c>
      <c r="F59" s="104">
        <f t="shared" si="1"/>
        <v>173</v>
      </c>
      <c r="G59" s="104"/>
      <c r="H59" s="210"/>
      <c r="I59" s="104">
        <v>158</v>
      </c>
      <c r="J59" s="104">
        <v>8</v>
      </c>
      <c r="K59" s="104">
        <v>5</v>
      </c>
      <c r="L59" s="104">
        <v>1</v>
      </c>
      <c r="M59" s="104">
        <v>0</v>
      </c>
      <c r="N59" s="104">
        <v>0</v>
      </c>
      <c r="O59" s="104">
        <v>0</v>
      </c>
      <c r="P59" s="104">
        <v>0</v>
      </c>
      <c r="Q59" s="104">
        <v>0</v>
      </c>
      <c r="R59" s="210"/>
      <c r="S59" s="104">
        <v>52</v>
      </c>
      <c r="T59" s="104">
        <v>1</v>
      </c>
      <c r="U59" s="104">
        <v>4</v>
      </c>
      <c r="V59" s="104">
        <v>4</v>
      </c>
      <c r="W59" s="104">
        <v>103</v>
      </c>
      <c r="X59" s="104">
        <v>8</v>
      </c>
      <c r="Y59" s="210"/>
      <c r="Z59" s="104">
        <v>182</v>
      </c>
      <c r="AA59" s="104">
        <v>8</v>
      </c>
      <c r="AB59" s="104">
        <v>3</v>
      </c>
      <c r="AC59" s="104">
        <v>9</v>
      </c>
      <c r="AD59" s="104">
        <v>8</v>
      </c>
      <c r="AE59" s="104">
        <v>36</v>
      </c>
      <c r="AF59" s="104">
        <v>56</v>
      </c>
      <c r="AG59" s="104">
        <v>12</v>
      </c>
      <c r="AH59" s="104">
        <v>62</v>
      </c>
      <c r="AI59" s="104">
        <v>44</v>
      </c>
      <c r="AJ59" s="104">
        <v>5</v>
      </c>
      <c r="AK59" s="104">
        <v>14</v>
      </c>
      <c r="AL59" s="104">
        <v>32</v>
      </c>
      <c r="AM59" s="104">
        <v>7</v>
      </c>
      <c r="AN59" s="104">
        <v>18</v>
      </c>
      <c r="AO59" s="104">
        <v>12</v>
      </c>
      <c r="AP59" s="104">
        <v>13</v>
      </c>
      <c r="AQ59" s="210"/>
      <c r="AR59" s="104">
        <v>0</v>
      </c>
      <c r="AS59" s="104">
        <v>0</v>
      </c>
      <c r="AT59" s="104">
        <v>2</v>
      </c>
      <c r="AU59" s="104">
        <v>0</v>
      </c>
      <c r="AV59" s="104">
        <v>171</v>
      </c>
      <c r="AW59" s="210"/>
      <c r="AX59" s="104">
        <v>173</v>
      </c>
      <c r="AY59" s="104">
        <v>4</v>
      </c>
      <c r="AZ59" s="210"/>
      <c r="BA59" s="104">
        <v>4</v>
      </c>
      <c r="BB59" s="104">
        <v>0</v>
      </c>
      <c r="BC59" s="104">
        <v>0</v>
      </c>
      <c r="BD59" s="104">
        <v>0</v>
      </c>
      <c r="BE59" s="104">
        <v>0</v>
      </c>
      <c r="BF59" s="210"/>
      <c r="BG59" s="9">
        <v>5</v>
      </c>
      <c r="BH59" s="104">
        <v>234</v>
      </c>
      <c r="BI59" s="104">
        <v>6</v>
      </c>
      <c r="BJ59" s="104">
        <v>0</v>
      </c>
      <c r="BK59" s="104">
        <v>18</v>
      </c>
      <c r="BL59" s="104">
        <v>69860</v>
      </c>
      <c r="BM59" s="104">
        <v>50</v>
      </c>
      <c r="BN59" s="104">
        <v>44222</v>
      </c>
      <c r="BO59" s="104">
        <v>6</v>
      </c>
      <c r="BP59" s="104">
        <v>5</v>
      </c>
      <c r="BQ59" s="104">
        <v>1564</v>
      </c>
      <c r="BR59" s="104">
        <v>0</v>
      </c>
      <c r="BS59" s="104">
        <v>0</v>
      </c>
      <c r="BT59" s="210"/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/>
      <c r="CI59" s="104"/>
      <c r="CJ59" s="104"/>
      <c r="CK59" s="104"/>
      <c r="CL59" s="104"/>
      <c r="CM59" s="104"/>
      <c r="CN59" s="104"/>
      <c r="CO59" s="104"/>
      <c r="CP59" s="104"/>
      <c r="CQ59" s="104"/>
      <c r="CR59" s="104"/>
      <c r="CS59" s="104"/>
      <c r="CT59" s="104"/>
      <c r="CU59" s="104"/>
      <c r="CV59" s="104"/>
    </row>
    <row r="60" spans="1:100" s="104" customFormat="1">
      <c r="B60" s="104" t="s">
        <v>1449</v>
      </c>
      <c r="C60" s="104">
        <v>2</v>
      </c>
      <c r="D60" s="104">
        <v>7</v>
      </c>
      <c r="E60" s="104">
        <v>78</v>
      </c>
      <c r="F60" s="104">
        <f t="shared" si="1"/>
        <v>41</v>
      </c>
      <c r="H60" s="210"/>
      <c r="I60" s="104">
        <v>34</v>
      </c>
      <c r="J60" s="104">
        <v>0</v>
      </c>
      <c r="K60" s="104">
        <v>1</v>
      </c>
      <c r="L60" s="104">
        <v>0</v>
      </c>
      <c r="M60" s="104">
        <v>0</v>
      </c>
      <c r="N60" s="104">
        <v>0</v>
      </c>
      <c r="O60" s="104">
        <v>0</v>
      </c>
      <c r="P60" s="104">
        <v>0</v>
      </c>
      <c r="Q60" s="104">
        <v>0</v>
      </c>
      <c r="R60" s="210"/>
      <c r="S60" s="104">
        <v>7</v>
      </c>
      <c r="T60" s="104">
        <v>0</v>
      </c>
      <c r="U60" s="104">
        <v>3</v>
      </c>
      <c r="V60" s="104">
        <v>0</v>
      </c>
      <c r="W60" s="104">
        <v>22</v>
      </c>
      <c r="X60" s="104">
        <v>2</v>
      </c>
      <c r="Y60" s="210"/>
      <c r="Z60" s="104">
        <v>43</v>
      </c>
      <c r="AA60" s="104">
        <v>0</v>
      </c>
      <c r="AB60" s="104">
        <v>0</v>
      </c>
      <c r="AC60" s="104">
        <v>0</v>
      </c>
      <c r="AD60" s="104">
        <v>2</v>
      </c>
      <c r="AE60" s="104">
        <v>9</v>
      </c>
      <c r="AF60" s="104">
        <v>5</v>
      </c>
      <c r="AG60" s="104">
        <v>0</v>
      </c>
      <c r="AH60" s="104">
        <v>5</v>
      </c>
      <c r="AI60" s="104">
        <v>3</v>
      </c>
      <c r="AJ60" s="104">
        <v>1</v>
      </c>
      <c r="AK60" s="104">
        <v>4</v>
      </c>
      <c r="AL60" s="104">
        <v>3</v>
      </c>
      <c r="AM60" s="104">
        <v>2</v>
      </c>
      <c r="AN60" s="104">
        <v>3</v>
      </c>
      <c r="AO60" s="104">
        <v>2</v>
      </c>
      <c r="AP60" s="104">
        <v>0</v>
      </c>
      <c r="AQ60" s="210"/>
      <c r="AR60" s="104">
        <v>0</v>
      </c>
      <c r="AS60" s="104">
        <v>0</v>
      </c>
      <c r="AT60" s="104">
        <v>0</v>
      </c>
      <c r="AU60" s="104">
        <v>0</v>
      </c>
      <c r="AV60" s="104">
        <v>41</v>
      </c>
      <c r="AW60" s="210"/>
      <c r="AX60" s="104">
        <v>41</v>
      </c>
      <c r="AY60" s="104">
        <v>0</v>
      </c>
      <c r="AZ60" s="210"/>
      <c r="BA60" s="104">
        <v>0</v>
      </c>
      <c r="BB60" s="104">
        <v>0</v>
      </c>
      <c r="BC60" s="104">
        <v>0</v>
      </c>
      <c r="BD60" s="104">
        <v>0</v>
      </c>
      <c r="BE60" s="104">
        <v>0</v>
      </c>
      <c r="BF60" s="210"/>
      <c r="BG60" s="9">
        <v>0</v>
      </c>
      <c r="BH60" s="104">
        <v>14</v>
      </c>
      <c r="BI60" s="104">
        <v>0</v>
      </c>
      <c r="BJ60" s="104">
        <v>0</v>
      </c>
      <c r="BK60" s="104">
        <v>0</v>
      </c>
      <c r="BL60" s="104">
        <v>0</v>
      </c>
      <c r="BM60" s="104">
        <v>0</v>
      </c>
      <c r="BN60" s="104">
        <v>0</v>
      </c>
      <c r="BO60" s="104">
        <v>0</v>
      </c>
      <c r="BP60" s="9">
        <v>0</v>
      </c>
      <c r="BQ60" s="9">
        <v>0</v>
      </c>
      <c r="BR60" s="9">
        <v>0</v>
      </c>
      <c r="BS60" s="9">
        <v>0</v>
      </c>
      <c r="BT60" s="210"/>
    </row>
    <row r="61" spans="1:100" s="110" customFormat="1">
      <c r="B61" s="110" t="s">
        <v>1531</v>
      </c>
      <c r="C61" s="110">
        <f>SUM(C8:C60)</f>
        <v>535</v>
      </c>
      <c r="D61" s="110">
        <f>SUM(D8:D60)</f>
        <v>5892</v>
      </c>
      <c r="E61" s="110">
        <f>SUM(E8:E60)</f>
        <v>23335</v>
      </c>
      <c r="F61" s="110">
        <f>SUM(F8:F60)</f>
        <v>11427</v>
      </c>
      <c r="H61" s="210"/>
      <c r="I61" s="110">
        <f t="shared" ref="I61:Q61" si="2">SUM(I8:I60)</f>
        <v>10542</v>
      </c>
      <c r="J61" s="110">
        <f t="shared" si="2"/>
        <v>451</v>
      </c>
      <c r="K61" s="110">
        <f t="shared" si="2"/>
        <v>182</v>
      </c>
      <c r="L61" s="110">
        <f t="shared" si="2"/>
        <v>86</v>
      </c>
      <c r="M61" s="110">
        <f t="shared" si="2"/>
        <v>8</v>
      </c>
      <c r="N61" s="110">
        <f t="shared" si="2"/>
        <v>2</v>
      </c>
      <c r="O61" s="110">
        <f t="shared" si="2"/>
        <v>0</v>
      </c>
      <c r="P61" s="110">
        <f t="shared" si="2"/>
        <v>0</v>
      </c>
      <c r="Q61" s="110">
        <f t="shared" si="2"/>
        <v>0</v>
      </c>
      <c r="R61" s="210"/>
      <c r="S61" s="110">
        <f t="shared" ref="S61:X61" si="3">SUM(S8:S60)</f>
        <v>2055</v>
      </c>
      <c r="T61" s="110">
        <f t="shared" si="3"/>
        <v>53</v>
      </c>
      <c r="U61" s="110">
        <f t="shared" si="3"/>
        <v>1296</v>
      </c>
      <c r="V61" s="110">
        <f t="shared" si="3"/>
        <v>76</v>
      </c>
      <c r="W61" s="110">
        <f t="shared" si="3"/>
        <v>7472</v>
      </c>
      <c r="X61" s="110">
        <f t="shared" si="3"/>
        <v>333</v>
      </c>
      <c r="Y61" s="210"/>
      <c r="Z61" s="110">
        <f t="shared" ref="Z61:AP61" si="4">SUM(Z8:Z60)</f>
        <v>11821</v>
      </c>
      <c r="AA61" s="110">
        <f t="shared" si="4"/>
        <v>437</v>
      </c>
      <c r="AB61" s="110">
        <f t="shared" si="4"/>
        <v>66</v>
      </c>
      <c r="AC61" s="110">
        <f t="shared" si="4"/>
        <v>324</v>
      </c>
      <c r="AD61" s="110">
        <f t="shared" si="4"/>
        <v>376</v>
      </c>
      <c r="AE61" s="110">
        <f t="shared" si="4"/>
        <v>1839</v>
      </c>
      <c r="AF61" s="110">
        <f t="shared" si="4"/>
        <v>2239</v>
      </c>
      <c r="AG61" s="110">
        <f t="shared" si="4"/>
        <v>607</v>
      </c>
      <c r="AH61" s="110">
        <f t="shared" si="4"/>
        <v>2231</v>
      </c>
      <c r="AI61" s="110">
        <f t="shared" si="4"/>
        <v>1787</v>
      </c>
      <c r="AJ61" s="110">
        <f t="shared" si="4"/>
        <v>380</v>
      </c>
      <c r="AK61" s="110">
        <f t="shared" si="4"/>
        <v>627</v>
      </c>
      <c r="AL61" s="110">
        <f t="shared" si="4"/>
        <v>1303</v>
      </c>
      <c r="AM61" s="110">
        <f t="shared" si="4"/>
        <v>257</v>
      </c>
      <c r="AN61" s="110">
        <f t="shared" si="4"/>
        <v>642</v>
      </c>
      <c r="AO61" s="110">
        <f t="shared" si="4"/>
        <v>467</v>
      </c>
      <c r="AP61" s="110">
        <f t="shared" si="4"/>
        <v>471</v>
      </c>
      <c r="AQ61" s="210"/>
      <c r="AR61" s="110">
        <f>SUM(AR8:AR60)</f>
        <v>7</v>
      </c>
      <c r="AS61" s="110">
        <f>SUM(AS8:AS60)</f>
        <v>73</v>
      </c>
      <c r="AT61" s="110">
        <f>SUM(AT8:AT60)</f>
        <v>31</v>
      </c>
      <c r="AU61" s="110">
        <f>SUM(AU8:AU60)</f>
        <v>22</v>
      </c>
      <c r="AV61" s="110">
        <f>SUM(AV8:AV60)</f>
        <v>11294</v>
      </c>
      <c r="AW61" s="210"/>
      <c r="AX61" s="110">
        <f>SUM(AX8:AX60)</f>
        <v>11427</v>
      </c>
      <c r="AY61" s="110">
        <f>SUM(AY8:AY60)</f>
        <v>187</v>
      </c>
      <c r="AZ61" s="210"/>
      <c r="BA61" s="110">
        <f>SUM(BA8:BA60)</f>
        <v>153</v>
      </c>
      <c r="BB61" s="110">
        <f>SUM(BB8:BB60)</f>
        <v>29</v>
      </c>
      <c r="BC61" s="110">
        <f>SUM(BC8:BC60)</f>
        <v>4</v>
      </c>
      <c r="BD61" s="110">
        <f>SUM(BD8:BD60)</f>
        <v>9</v>
      </c>
      <c r="BE61" s="110">
        <f>SUM(BE8:BE60)</f>
        <v>9</v>
      </c>
      <c r="BF61" s="210"/>
      <c r="BG61" s="110">
        <f t="shared" ref="BG61:BS61" si="5">SUM(BG8:BG60)</f>
        <v>53</v>
      </c>
      <c r="BH61" s="110">
        <f t="shared" si="5"/>
        <v>9040</v>
      </c>
      <c r="BI61" s="110">
        <f t="shared" si="5"/>
        <v>137</v>
      </c>
      <c r="BJ61" s="110">
        <f t="shared" si="5"/>
        <v>13</v>
      </c>
      <c r="BK61" s="110">
        <f t="shared" si="5"/>
        <v>411</v>
      </c>
      <c r="BL61" s="110">
        <f t="shared" si="5"/>
        <v>622726</v>
      </c>
      <c r="BM61" s="110">
        <f t="shared" si="5"/>
        <v>1114</v>
      </c>
      <c r="BN61" s="110">
        <f t="shared" si="5"/>
        <v>1522310</v>
      </c>
      <c r="BO61" s="110">
        <f t="shared" si="5"/>
        <v>61</v>
      </c>
      <c r="BP61" s="110">
        <f t="shared" si="5"/>
        <v>348</v>
      </c>
      <c r="BQ61" s="110">
        <f t="shared" si="5"/>
        <v>378935</v>
      </c>
      <c r="BR61" s="110">
        <f t="shared" si="5"/>
        <v>16</v>
      </c>
      <c r="BS61" s="110">
        <f t="shared" si="5"/>
        <v>5069</v>
      </c>
      <c r="BT61" s="210"/>
    </row>
    <row r="62" spans="1:100" s="104" customFormat="1">
      <c r="H62" s="210"/>
      <c r="R62" s="210"/>
      <c r="Y62" s="210"/>
      <c r="AQ62" s="210"/>
      <c r="AW62" s="210"/>
      <c r="AZ62" s="210"/>
      <c r="BF62" s="210"/>
      <c r="BG62" s="9"/>
      <c r="BP62" s="9"/>
      <c r="BQ62" s="9"/>
      <c r="BR62" s="9"/>
      <c r="BS62" s="9"/>
      <c r="BT62" s="210"/>
    </row>
    <row r="63" spans="1:100" s="104" customFormat="1">
      <c r="B63" s="111" t="s">
        <v>1450</v>
      </c>
      <c r="H63" s="210"/>
      <c r="R63" s="210"/>
      <c r="Y63" s="210"/>
      <c r="AQ63" s="210"/>
      <c r="AW63" s="210"/>
      <c r="AZ63" s="210"/>
      <c r="BF63" s="210"/>
      <c r="BG63" s="9"/>
      <c r="BP63" s="9"/>
      <c r="BQ63" s="9"/>
      <c r="BR63" s="9"/>
      <c r="BS63" s="9"/>
      <c r="BT63" s="210"/>
    </row>
    <row r="64" spans="1:100" s="66" customFormat="1">
      <c r="A64" s="103"/>
      <c r="B64" s="104" t="s">
        <v>1451</v>
      </c>
      <c r="C64" s="66">
        <v>0</v>
      </c>
      <c r="D64" s="66">
        <v>0</v>
      </c>
      <c r="E64" s="66">
        <v>118</v>
      </c>
      <c r="F64" s="104">
        <v>117</v>
      </c>
      <c r="G64" s="104">
        <v>0</v>
      </c>
      <c r="H64" s="210"/>
      <c r="I64" s="104">
        <v>117</v>
      </c>
      <c r="J64" s="104">
        <v>1</v>
      </c>
      <c r="K64" s="104">
        <v>0</v>
      </c>
      <c r="L64" s="104">
        <v>0</v>
      </c>
      <c r="M64" s="104">
        <v>0</v>
      </c>
      <c r="N64" s="104">
        <v>0</v>
      </c>
      <c r="O64" s="104">
        <v>0</v>
      </c>
      <c r="P64" s="104">
        <v>0</v>
      </c>
      <c r="Q64" s="104">
        <v>0</v>
      </c>
      <c r="R64" s="210"/>
      <c r="S64" s="104">
        <v>0</v>
      </c>
      <c r="T64" s="104">
        <v>0</v>
      </c>
      <c r="U64" s="104">
        <v>118</v>
      </c>
      <c r="V64" s="104">
        <v>0</v>
      </c>
      <c r="W64" s="104">
        <v>0</v>
      </c>
      <c r="X64" s="104">
        <v>0</v>
      </c>
      <c r="Y64" s="210"/>
      <c r="Z64" s="66">
        <v>118</v>
      </c>
      <c r="AA64" s="104">
        <v>0</v>
      </c>
      <c r="AB64" s="104">
        <v>0</v>
      </c>
      <c r="AC64" s="66">
        <v>0</v>
      </c>
      <c r="AD64" s="104">
        <v>0</v>
      </c>
      <c r="AE64" s="66">
        <v>0</v>
      </c>
      <c r="AF64" s="66">
        <v>0</v>
      </c>
      <c r="AG64" s="104">
        <v>0</v>
      </c>
      <c r="AH64" s="104">
        <v>0</v>
      </c>
      <c r="AI64" s="104">
        <v>0</v>
      </c>
      <c r="AJ64" s="104">
        <v>0</v>
      </c>
      <c r="AK64" s="104">
        <v>0</v>
      </c>
      <c r="AL64" s="104">
        <v>0</v>
      </c>
      <c r="AM64" s="104">
        <v>0</v>
      </c>
      <c r="AN64" s="104">
        <v>0</v>
      </c>
      <c r="AO64" s="104">
        <v>0</v>
      </c>
      <c r="AP64" s="104">
        <v>0</v>
      </c>
      <c r="AQ64" s="210"/>
      <c r="AR64" s="104">
        <v>0</v>
      </c>
      <c r="AS64" s="104">
        <v>0</v>
      </c>
      <c r="AT64" s="104">
        <v>0</v>
      </c>
      <c r="AU64" s="104">
        <v>0</v>
      </c>
      <c r="AV64" s="104">
        <v>0</v>
      </c>
      <c r="AW64" s="210"/>
      <c r="AX64" s="104">
        <v>117</v>
      </c>
      <c r="AY64" s="104">
        <v>0</v>
      </c>
      <c r="AZ64" s="210"/>
      <c r="BA64" s="104">
        <v>0</v>
      </c>
      <c r="BB64" s="104">
        <v>0</v>
      </c>
      <c r="BC64" s="104">
        <v>0</v>
      </c>
      <c r="BD64" s="104">
        <v>0</v>
      </c>
      <c r="BE64" s="104">
        <v>0</v>
      </c>
      <c r="BF64" s="210"/>
      <c r="BG64" s="66">
        <v>0</v>
      </c>
      <c r="BH64" s="104">
        <v>16</v>
      </c>
      <c r="BI64" s="104">
        <v>0</v>
      </c>
      <c r="BJ64" s="66">
        <v>0</v>
      </c>
      <c r="BK64" s="66">
        <v>0</v>
      </c>
      <c r="BL64" s="66">
        <v>0</v>
      </c>
      <c r="BM64" s="104">
        <v>1</v>
      </c>
      <c r="BN64" s="104">
        <v>1</v>
      </c>
      <c r="BO64" s="66">
        <v>0</v>
      </c>
      <c r="BP64" s="66">
        <v>0</v>
      </c>
      <c r="BQ64" s="66">
        <v>0</v>
      </c>
      <c r="BR64" s="66">
        <v>0</v>
      </c>
      <c r="BS64" s="66">
        <v>0</v>
      </c>
      <c r="BT64" s="210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04"/>
      <c r="CI64" s="104"/>
      <c r="CJ64" s="104"/>
      <c r="CK64" s="104"/>
      <c r="CL64" s="104"/>
      <c r="CM64" s="104"/>
      <c r="CN64" s="104"/>
      <c r="CO64" s="104"/>
      <c r="CP64" s="104"/>
      <c r="CQ64" s="104"/>
      <c r="CR64" s="104"/>
      <c r="CS64" s="104"/>
      <c r="CT64" s="104"/>
      <c r="CU64" s="104"/>
    </row>
    <row r="65" spans="1:100" s="66" customFormat="1">
      <c r="A65" s="103"/>
      <c r="B65" s="104" t="s">
        <v>1452</v>
      </c>
      <c r="C65" s="66">
        <v>0</v>
      </c>
      <c r="D65" s="66">
        <v>0</v>
      </c>
      <c r="E65" s="66">
        <v>112</v>
      </c>
      <c r="F65" s="104">
        <v>112</v>
      </c>
      <c r="G65" s="104">
        <v>0</v>
      </c>
      <c r="H65" s="210"/>
      <c r="I65" s="104">
        <v>112</v>
      </c>
      <c r="J65" s="104">
        <v>0</v>
      </c>
      <c r="K65" s="104">
        <v>0</v>
      </c>
      <c r="L65" s="104">
        <v>0</v>
      </c>
      <c r="M65" s="104">
        <v>0</v>
      </c>
      <c r="N65" s="104">
        <v>0</v>
      </c>
      <c r="O65" s="104">
        <v>0</v>
      </c>
      <c r="P65" s="104">
        <v>0</v>
      </c>
      <c r="Q65" s="104">
        <v>0</v>
      </c>
      <c r="R65" s="210"/>
      <c r="S65" s="104">
        <v>0</v>
      </c>
      <c r="T65" s="104">
        <v>0</v>
      </c>
      <c r="U65" s="104">
        <v>0</v>
      </c>
      <c r="V65" s="104">
        <v>112</v>
      </c>
      <c r="W65" s="104">
        <v>0</v>
      </c>
      <c r="X65" s="104">
        <v>0</v>
      </c>
      <c r="Y65" s="210"/>
      <c r="Z65" s="66">
        <v>112</v>
      </c>
      <c r="AA65" s="104">
        <v>0</v>
      </c>
      <c r="AB65" s="104">
        <v>0</v>
      </c>
      <c r="AC65" s="66">
        <v>0</v>
      </c>
      <c r="AD65" s="104">
        <v>0</v>
      </c>
      <c r="AE65" s="66">
        <v>0</v>
      </c>
      <c r="AF65" s="66">
        <v>0</v>
      </c>
      <c r="AG65" s="104">
        <v>0</v>
      </c>
      <c r="AH65" s="104">
        <v>0</v>
      </c>
      <c r="AI65" s="104">
        <v>0</v>
      </c>
      <c r="AJ65" s="104">
        <v>0</v>
      </c>
      <c r="AK65" s="104">
        <v>0</v>
      </c>
      <c r="AL65" s="104">
        <v>0</v>
      </c>
      <c r="AM65" s="104">
        <v>0</v>
      </c>
      <c r="AN65" s="104">
        <v>0</v>
      </c>
      <c r="AO65" s="104">
        <v>0</v>
      </c>
      <c r="AP65" s="104">
        <v>0</v>
      </c>
      <c r="AQ65" s="210"/>
      <c r="AR65" s="104">
        <v>0</v>
      </c>
      <c r="AS65" s="104">
        <v>0</v>
      </c>
      <c r="AT65" s="104">
        <v>0</v>
      </c>
      <c r="AU65" s="104">
        <v>0</v>
      </c>
      <c r="AV65" s="104">
        <v>0</v>
      </c>
      <c r="AW65" s="210"/>
      <c r="AX65" s="104">
        <v>112</v>
      </c>
      <c r="AY65" s="104">
        <v>0</v>
      </c>
      <c r="AZ65" s="210"/>
      <c r="BA65" s="104">
        <v>0</v>
      </c>
      <c r="BB65" s="104">
        <v>0</v>
      </c>
      <c r="BC65" s="104">
        <v>0</v>
      </c>
      <c r="BD65" s="104">
        <v>0</v>
      </c>
      <c r="BE65" s="104">
        <v>0</v>
      </c>
      <c r="BF65" s="210"/>
      <c r="BG65" s="66">
        <v>0</v>
      </c>
      <c r="BH65" s="104">
        <v>12</v>
      </c>
      <c r="BI65" s="104">
        <v>0</v>
      </c>
      <c r="BJ65" s="66">
        <v>0</v>
      </c>
      <c r="BK65" s="66">
        <v>0</v>
      </c>
      <c r="BL65" s="66">
        <v>0</v>
      </c>
      <c r="BM65" s="104">
        <v>0</v>
      </c>
      <c r="BN65" s="104">
        <v>0</v>
      </c>
      <c r="BO65" s="66">
        <v>0</v>
      </c>
      <c r="BP65" s="66">
        <v>0</v>
      </c>
      <c r="BQ65" s="66">
        <v>0</v>
      </c>
      <c r="BR65" s="66">
        <v>0</v>
      </c>
      <c r="BS65" s="66">
        <v>0</v>
      </c>
      <c r="BT65" s="210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104"/>
      <c r="CJ65" s="104"/>
      <c r="CK65" s="104"/>
      <c r="CL65" s="104"/>
      <c r="CM65" s="104"/>
      <c r="CN65" s="104"/>
      <c r="CO65" s="104"/>
      <c r="CP65" s="104"/>
      <c r="CQ65" s="104"/>
      <c r="CR65" s="104"/>
      <c r="CS65" s="104"/>
      <c r="CT65" s="104"/>
      <c r="CU65" s="104"/>
    </row>
    <row r="66" spans="1:100" s="66" customFormat="1">
      <c r="A66" s="103"/>
      <c r="B66" s="104" t="s">
        <v>1453</v>
      </c>
      <c r="C66" s="66">
        <v>0</v>
      </c>
      <c r="D66" s="66">
        <v>0</v>
      </c>
      <c r="E66" s="66">
        <v>89</v>
      </c>
      <c r="F66" s="104">
        <v>87</v>
      </c>
      <c r="G66" s="104">
        <v>0</v>
      </c>
      <c r="H66" s="210"/>
      <c r="I66" s="104">
        <v>86</v>
      </c>
      <c r="J66" s="104">
        <v>0</v>
      </c>
      <c r="K66" s="104">
        <v>0</v>
      </c>
      <c r="L66" s="104">
        <v>0</v>
      </c>
      <c r="M66" s="104">
        <v>0</v>
      </c>
      <c r="N66" s="104">
        <v>0</v>
      </c>
      <c r="O66" s="104">
        <v>0</v>
      </c>
      <c r="P66" s="104">
        <v>0</v>
      </c>
      <c r="Q66" s="104">
        <v>0</v>
      </c>
      <c r="R66" s="210"/>
      <c r="S66" s="104">
        <v>0</v>
      </c>
      <c r="T66" s="104">
        <v>0</v>
      </c>
      <c r="U66" s="104">
        <v>87</v>
      </c>
      <c r="V66" s="104">
        <v>0</v>
      </c>
      <c r="W66" s="104">
        <v>0</v>
      </c>
      <c r="X66" s="104">
        <v>0</v>
      </c>
      <c r="Y66" s="210"/>
      <c r="Z66" s="66">
        <v>87</v>
      </c>
      <c r="AA66" s="104">
        <v>0</v>
      </c>
      <c r="AB66" s="104">
        <v>0</v>
      </c>
      <c r="AC66" s="66">
        <v>0</v>
      </c>
      <c r="AD66" s="104">
        <v>0</v>
      </c>
      <c r="AE66" s="66">
        <v>0</v>
      </c>
      <c r="AF66" s="66">
        <v>0</v>
      </c>
      <c r="AG66" s="104">
        <v>0</v>
      </c>
      <c r="AH66" s="104">
        <v>0</v>
      </c>
      <c r="AI66" s="104">
        <v>0</v>
      </c>
      <c r="AJ66" s="104">
        <v>0</v>
      </c>
      <c r="AK66" s="104">
        <v>0</v>
      </c>
      <c r="AL66" s="104">
        <v>0</v>
      </c>
      <c r="AM66" s="104">
        <v>0</v>
      </c>
      <c r="AN66" s="104">
        <v>0</v>
      </c>
      <c r="AO66" s="104">
        <v>0</v>
      </c>
      <c r="AP66" s="104">
        <v>0</v>
      </c>
      <c r="AQ66" s="210"/>
      <c r="AR66" s="104">
        <v>0</v>
      </c>
      <c r="AS66" s="104">
        <v>0</v>
      </c>
      <c r="AT66" s="104">
        <v>0</v>
      </c>
      <c r="AU66" s="104">
        <v>0</v>
      </c>
      <c r="AV66" s="104">
        <v>0</v>
      </c>
      <c r="AW66" s="210"/>
      <c r="AX66" s="104">
        <v>87</v>
      </c>
      <c r="AY66" s="104">
        <v>0</v>
      </c>
      <c r="AZ66" s="210"/>
      <c r="BA66" s="104">
        <v>0</v>
      </c>
      <c r="BB66" s="104">
        <v>0</v>
      </c>
      <c r="BC66" s="104">
        <v>0</v>
      </c>
      <c r="BD66" s="104">
        <v>0</v>
      </c>
      <c r="BE66" s="104">
        <v>0</v>
      </c>
      <c r="BF66" s="210"/>
      <c r="BG66" s="66">
        <v>0</v>
      </c>
      <c r="BH66" s="104">
        <v>16</v>
      </c>
      <c r="BI66" s="104">
        <v>0</v>
      </c>
      <c r="BJ66" s="66">
        <v>0</v>
      </c>
      <c r="BK66" s="66">
        <v>0</v>
      </c>
      <c r="BL66" s="66">
        <v>0</v>
      </c>
      <c r="BM66" s="104">
        <v>0</v>
      </c>
      <c r="BN66" s="104">
        <v>0</v>
      </c>
      <c r="BO66" s="66">
        <v>0</v>
      </c>
      <c r="BP66" s="66">
        <v>0</v>
      </c>
      <c r="BQ66" s="66">
        <v>0</v>
      </c>
      <c r="BR66" s="66">
        <v>0</v>
      </c>
      <c r="BS66" s="66">
        <v>0</v>
      </c>
      <c r="BT66" s="210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04"/>
      <c r="CI66" s="104"/>
      <c r="CJ66" s="104"/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</row>
    <row r="67" spans="1:100" s="66" customFormat="1">
      <c r="A67" s="103"/>
      <c r="B67" s="104" t="s">
        <v>1454</v>
      </c>
      <c r="C67" s="66">
        <v>1</v>
      </c>
      <c r="D67" s="66">
        <v>0</v>
      </c>
      <c r="E67" s="66">
        <v>106</v>
      </c>
      <c r="F67" s="104">
        <v>103</v>
      </c>
      <c r="G67" s="104">
        <v>0</v>
      </c>
      <c r="H67" s="210"/>
      <c r="I67" s="104">
        <v>104</v>
      </c>
      <c r="J67" s="104">
        <v>0</v>
      </c>
      <c r="K67" s="104">
        <v>0</v>
      </c>
      <c r="L67" s="104">
        <v>0</v>
      </c>
      <c r="M67" s="104">
        <v>0</v>
      </c>
      <c r="N67" s="104">
        <v>0</v>
      </c>
      <c r="O67" s="104">
        <v>0</v>
      </c>
      <c r="P67" s="104">
        <v>0</v>
      </c>
      <c r="Q67" s="104">
        <v>0</v>
      </c>
      <c r="R67" s="210"/>
      <c r="S67" s="104">
        <v>0</v>
      </c>
      <c r="T67" s="104">
        <v>0</v>
      </c>
      <c r="U67" s="104">
        <v>104</v>
      </c>
      <c r="V67" s="104">
        <v>0</v>
      </c>
      <c r="W67" s="104">
        <v>0</v>
      </c>
      <c r="X67" s="104">
        <v>0</v>
      </c>
      <c r="Y67" s="210"/>
      <c r="Z67" s="66">
        <v>105</v>
      </c>
      <c r="AA67" s="104">
        <v>0</v>
      </c>
      <c r="AB67" s="104">
        <v>0</v>
      </c>
      <c r="AC67" s="66">
        <v>0</v>
      </c>
      <c r="AD67" s="104">
        <v>0</v>
      </c>
      <c r="AE67" s="66">
        <v>0</v>
      </c>
      <c r="AF67" s="66">
        <v>1</v>
      </c>
      <c r="AG67" s="104">
        <v>0</v>
      </c>
      <c r="AH67" s="104">
        <v>0</v>
      </c>
      <c r="AI67" s="104">
        <v>0</v>
      </c>
      <c r="AJ67" s="104">
        <v>0</v>
      </c>
      <c r="AK67" s="104">
        <v>0</v>
      </c>
      <c r="AL67" s="104">
        <v>0</v>
      </c>
      <c r="AM67" s="104">
        <v>0</v>
      </c>
      <c r="AN67" s="104">
        <v>0</v>
      </c>
      <c r="AO67" s="104">
        <v>0</v>
      </c>
      <c r="AP67" s="104">
        <v>0</v>
      </c>
      <c r="AQ67" s="210"/>
      <c r="AR67" s="104">
        <v>0</v>
      </c>
      <c r="AS67" s="104">
        <v>0</v>
      </c>
      <c r="AT67" s="104">
        <v>0</v>
      </c>
      <c r="AU67" s="104">
        <v>0</v>
      </c>
      <c r="AV67" s="104">
        <v>0</v>
      </c>
      <c r="AW67" s="210"/>
      <c r="AX67" s="104">
        <v>103</v>
      </c>
      <c r="AY67" s="104">
        <v>0</v>
      </c>
      <c r="AZ67" s="210"/>
      <c r="BA67" s="104">
        <v>0</v>
      </c>
      <c r="BB67" s="104">
        <v>0</v>
      </c>
      <c r="BC67" s="104">
        <v>0</v>
      </c>
      <c r="BD67" s="104">
        <v>0</v>
      </c>
      <c r="BE67" s="104">
        <v>0</v>
      </c>
      <c r="BF67" s="210"/>
      <c r="BG67" s="66">
        <v>0</v>
      </c>
      <c r="BH67" s="104">
        <v>5</v>
      </c>
      <c r="BI67" s="104">
        <v>0</v>
      </c>
      <c r="BJ67" s="66">
        <v>0</v>
      </c>
      <c r="BK67" s="66">
        <v>0</v>
      </c>
      <c r="BL67" s="66">
        <v>0</v>
      </c>
      <c r="BM67" s="104">
        <v>0</v>
      </c>
      <c r="BN67" s="104">
        <v>0</v>
      </c>
      <c r="BO67" s="66">
        <v>0</v>
      </c>
      <c r="BP67" s="66">
        <v>0</v>
      </c>
      <c r="BQ67" s="66">
        <v>0</v>
      </c>
      <c r="BR67" s="66">
        <v>0</v>
      </c>
      <c r="BS67" s="66">
        <v>0</v>
      </c>
      <c r="BT67" s="210"/>
      <c r="BU67" s="104"/>
      <c r="BV67" s="104"/>
      <c r="BW67" s="104"/>
      <c r="BX67" s="104"/>
      <c r="BY67" s="104"/>
      <c r="BZ67" s="104"/>
      <c r="CA67" s="104"/>
      <c r="CB67" s="104"/>
      <c r="CC67" s="104"/>
      <c r="CD67" s="104"/>
      <c r="CE67" s="104"/>
      <c r="CF67" s="104"/>
      <c r="CG67" s="104"/>
      <c r="CH67" s="104"/>
      <c r="CI67" s="104"/>
      <c r="CJ67" s="104"/>
      <c r="CK67" s="104"/>
      <c r="CL67" s="104"/>
      <c r="CM67" s="104"/>
      <c r="CN67" s="104"/>
      <c r="CO67" s="104"/>
      <c r="CP67" s="104"/>
      <c r="CQ67" s="104"/>
      <c r="CR67" s="104"/>
      <c r="CS67" s="104"/>
      <c r="CT67" s="104"/>
      <c r="CU67" s="104"/>
    </row>
    <row r="68" spans="1:100" s="66" customFormat="1">
      <c r="A68" s="103"/>
      <c r="B68" s="104" t="s">
        <v>698</v>
      </c>
      <c r="C68" s="66">
        <v>0</v>
      </c>
      <c r="D68" s="66">
        <v>0</v>
      </c>
      <c r="E68" s="66">
        <v>83</v>
      </c>
      <c r="F68" s="104">
        <v>83</v>
      </c>
      <c r="G68" s="104">
        <v>0</v>
      </c>
      <c r="H68" s="210"/>
      <c r="I68" s="104">
        <v>81</v>
      </c>
      <c r="J68" s="104">
        <v>0</v>
      </c>
      <c r="K68" s="104">
        <v>0</v>
      </c>
      <c r="L68" s="104">
        <v>0</v>
      </c>
      <c r="M68" s="104">
        <v>0</v>
      </c>
      <c r="N68" s="104">
        <v>0</v>
      </c>
      <c r="O68" s="104">
        <v>0</v>
      </c>
      <c r="P68" s="104">
        <v>0</v>
      </c>
      <c r="Q68" s="104">
        <v>0</v>
      </c>
      <c r="R68" s="210"/>
      <c r="S68" s="104">
        <v>0</v>
      </c>
      <c r="T68" s="104">
        <v>0</v>
      </c>
      <c r="U68" s="104">
        <v>81</v>
      </c>
      <c r="V68" s="104">
        <v>0</v>
      </c>
      <c r="W68" s="104">
        <v>0</v>
      </c>
      <c r="X68" s="104">
        <v>0</v>
      </c>
      <c r="Y68" s="210"/>
      <c r="Z68" s="66">
        <v>82</v>
      </c>
      <c r="AA68" s="104">
        <v>0</v>
      </c>
      <c r="AB68" s="104">
        <v>0</v>
      </c>
      <c r="AC68" s="66">
        <v>0</v>
      </c>
      <c r="AD68" s="104">
        <v>0</v>
      </c>
      <c r="AE68" s="66">
        <v>0</v>
      </c>
      <c r="AF68" s="66">
        <v>1</v>
      </c>
      <c r="AG68" s="104">
        <v>0</v>
      </c>
      <c r="AH68" s="104">
        <v>0</v>
      </c>
      <c r="AI68" s="104">
        <v>0</v>
      </c>
      <c r="AJ68" s="104">
        <v>0</v>
      </c>
      <c r="AK68" s="104">
        <v>0</v>
      </c>
      <c r="AL68" s="104">
        <v>0</v>
      </c>
      <c r="AM68" s="104">
        <v>0</v>
      </c>
      <c r="AN68" s="104">
        <v>0</v>
      </c>
      <c r="AO68" s="104">
        <v>0</v>
      </c>
      <c r="AP68" s="104">
        <v>0</v>
      </c>
      <c r="AQ68" s="210"/>
      <c r="AR68" s="104">
        <v>0</v>
      </c>
      <c r="AS68" s="104">
        <v>0</v>
      </c>
      <c r="AT68" s="104">
        <v>0</v>
      </c>
      <c r="AU68" s="104">
        <v>0</v>
      </c>
      <c r="AV68" s="104">
        <v>0</v>
      </c>
      <c r="AW68" s="210"/>
      <c r="AX68" s="104">
        <v>83</v>
      </c>
      <c r="AY68" s="104">
        <v>1</v>
      </c>
      <c r="AZ68" s="210"/>
      <c r="BA68" s="104">
        <v>0</v>
      </c>
      <c r="BB68" s="104">
        <v>1</v>
      </c>
      <c r="BC68" s="104">
        <v>0</v>
      </c>
      <c r="BD68" s="104">
        <v>0</v>
      </c>
      <c r="BE68" s="104">
        <v>0</v>
      </c>
      <c r="BF68" s="210"/>
      <c r="BG68" s="66">
        <v>0</v>
      </c>
      <c r="BH68" s="104">
        <v>11</v>
      </c>
      <c r="BI68" s="104">
        <v>0</v>
      </c>
      <c r="BJ68" s="66">
        <v>0</v>
      </c>
      <c r="BK68" s="66">
        <v>0</v>
      </c>
      <c r="BL68" s="66">
        <v>0</v>
      </c>
      <c r="BM68" s="104">
        <v>0</v>
      </c>
      <c r="BN68" s="104">
        <v>0</v>
      </c>
      <c r="BO68" s="66">
        <v>0</v>
      </c>
      <c r="BP68" s="66">
        <v>0</v>
      </c>
      <c r="BQ68" s="66">
        <v>0</v>
      </c>
      <c r="BR68" s="66">
        <v>0</v>
      </c>
      <c r="BS68" s="66">
        <v>0</v>
      </c>
      <c r="BT68" s="210"/>
      <c r="BU68" s="104"/>
      <c r="BV68" s="104"/>
      <c r="BW68" s="104"/>
      <c r="BX68" s="104"/>
      <c r="BY68" s="104"/>
      <c r="BZ68" s="104"/>
      <c r="CA68" s="104"/>
      <c r="CB68" s="104"/>
      <c r="CC68" s="104"/>
      <c r="CD68" s="104"/>
      <c r="CE68" s="104"/>
      <c r="CF68" s="104"/>
      <c r="CG68" s="104"/>
      <c r="CH68" s="104"/>
      <c r="CI68" s="104"/>
      <c r="CJ68" s="104"/>
      <c r="CK68" s="104"/>
      <c r="CL68" s="104"/>
      <c r="CM68" s="104"/>
      <c r="CN68" s="104"/>
      <c r="CO68" s="104"/>
      <c r="CP68" s="104"/>
      <c r="CQ68" s="104"/>
      <c r="CR68" s="104"/>
      <c r="CS68" s="104"/>
      <c r="CT68" s="104"/>
      <c r="CU68" s="104"/>
    </row>
    <row r="69" spans="1:100" s="66" customFormat="1">
      <c r="A69" s="103"/>
      <c r="B69" s="104" t="s">
        <v>1455</v>
      </c>
      <c r="C69" s="66">
        <v>0</v>
      </c>
      <c r="D69" s="66">
        <v>0</v>
      </c>
      <c r="E69" s="66">
        <v>93</v>
      </c>
      <c r="F69" s="104">
        <v>93</v>
      </c>
      <c r="G69" s="104">
        <v>0</v>
      </c>
      <c r="H69" s="210"/>
      <c r="I69" s="104">
        <v>93</v>
      </c>
      <c r="J69" s="104">
        <v>0</v>
      </c>
      <c r="K69" s="104">
        <v>0</v>
      </c>
      <c r="L69" s="104">
        <v>0</v>
      </c>
      <c r="M69" s="104">
        <v>0</v>
      </c>
      <c r="N69" s="104">
        <v>0</v>
      </c>
      <c r="O69" s="104">
        <v>0</v>
      </c>
      <c r="P69" s="104">
        <v>0</v>
      </c>
      <c r="Q69" s="104">
        <v>0</v>
      </c>
      <c r="R69" s="210"/>
      <c r="S69" s="104">
        <v>0</v>
      </c>
      <c r="T69" s="104">
        <v>0</v>
      </c>
      <c r="U69" s="104">
        <v>0</v>
      </c>
      <c r="V69" s="104">
        <v>93</v>
      </c>
      <c r="W69" s="104">
        <v>0</v>
      </c>
      <c r="X69" s="104">
        <v>0</v>
      </c>
      <c r="Y69" s="210"/>
      <c r="Z69" s="66">
        <v>93</v>
      </c>
      <c r="AA69" s="104">
        <v>0</v>
      </c>
      <c r="AB69" s="104">
        <v>0</v>
      </c>
      <c r="AC69" s="66">
        <v>0</v>
      </c>
      <c r="AD69" s="104">
        <v>0</v>
      </c>
      <c r="AE69" s="66">
        <v>0</v>
      </c>
      <c r="AF69" s="66">
        <v>0</v>
      </c>
      <c r="AG69" s="104">
        <v>0</v>
      </c>
      <c r="AH69" s="104">
        <v>0</v>
      </c>
      <c r="AI69" s="104">
        <v>0</v>
      </c>
      <c r="AJ69" s="104">
        <v>0</v>
      </c>
      <c r="AK69" s="104">
        <v>0</v>
      </c>
      <c r="AL69" s="104">
        <v>0</v>
      </c>
      <c r="AM69" s="104">
        <v>0</v>
      </c>
      <c r="AN69" s="104">
        <v>0</v>
      </c>
      <c r="AO69" s="104">
        <v>0</v>
      </c>
      <c r="AP69" s="104">
        <v>0</v>
      </c>
      <c r="AQ69" s="210"/>
      <c r="AR69" s="104">
        <v>0</v>
      </c>
      <c r="AS69" s="104">
        <v>0</v>
      </c>
      <c r="AT69" s="104">
        <v>0</v>
      </c>
      <c r="AU69" s="104">
        <v>0</v>
      </c>
      <c r="AV69" s="104">
        <v>0</v>
      </c>
      <c r="AW69" s="210"/>
      <c r="AX69" s="104">
        <v>93</v>
      </c>
      <c r="AY69" s="104">
        <v>0</v>
      </c>
      <c r="AZ69" s="210"/>
      <c r="BA69" s="104">
        <v>0</v>
      </c>
      <c r="BB69" s="104">
        <v>0</v>
      </c>
      <c r="BC69" s="104">
        <v>0</v>
      </c>
      <c r="BD69" s="104">
        <v>0</v>
      </c>
      <c r="BE69" s="104">
        <v>0</v>
      </c>
      <c r="BF69" s="210"/>
      <c r="BG69" s="66">
        <v>0</v>
      </c>
      <c r="BH69" s="104">
        <v>0</v>
      </c>
      <c r="BI69" s="104">
        <v>0</v>
      </c>
      <c r="BJ69" s="66">
        <v>0</v>
      </c>
      <c r="BK69" s="66">
        <v>0</v>
      </c>
      <c r="BL69" s="66">
        <v>0</v>
      </c>
      <c r="BM69" s="104">
        <v>0</v>
      </c>
      <c r="BN69" s="104">
        <v>0</v>
      </c>
      <c r="BO69" s="66">
        <v>0</v>
      </c>
      <c r="BP69" s="66">
        <v>0</v>
      </c>
      <c r="BQ69" s="66">
        <v>0</v>
      </c>
      <c r="BR69" s="66">
        <v>0</v>
      </c>
      <c r="BS69" s="66">
        <v>0</v>
      </c>
      <c r="BT69" s="210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</row>
    <row r="70" spans="1:100" s="66" customFormat="1">
      <c r="A70" s="103"/>
      <c r="B70" s="104" t="s">
        <v>1456</v>
      </c>
      <c r="C70" s="66">
        <v>0</v>
      </c>
      <c r="D70" s="66">
        <v>0</v>
      </c>
      <c r="E70" s="66">
        <v>38</v>
      </c>
      <c r="F70" s="104">
        <v>38</v>
      </c>
      <c r="G70" s="104">
        <v>0</v>
      </c>
      <c r="H70" s="210"/>
      <c r="I70" s="104">
        <v>38</v>
      </c>
      <c r="J70" s="104">
        <v>0</v>
      </c>
      <c r="K70" s="104">
        <v>0</v>
      </c>
      <c r="L70" s="104">
        <v>0</v>
      </c>
      <c r="M70" s="104">
        <v>0</v>
      </c>
      <c r="N70" s="104">
        <v>0</v>
      </c>
      <c r="O70" s="104">
        <v>0</v>
      </c>
      <c r="P70" s="104">
        <v>0</v>
      </c>
      <c r="Q70" s="104">
        <v>0</v>
      </c>
      <c r="R70" s="210"/>
      <c r="S70" s="104">
        <v>0</v>
      </c>
      <c r="T70" s="104">
        <v>0</v>
      </c>
      <c r="U70" s="104">
        <v>0</v>
      </c>
      <c r="V70" s="104">
        <v>38</v>
      </c>
      <c r="W70" s="104">
        <v>0</v>
      </c>
      <c r="X70" s="104">
        <v>0</v>
      </c>
      <c r="Y70" s="210"/>
      <c r="Z70" s="66">
        <v>38</v>
      </c>
      <c r="AA70" s="104">
        <v>0</v>
      </c>
      <c r="AB70" s="104">
        <v>0</v>
      </c>
      <c r="AC70" s="66">
        <v>0</v>
      </c>
      <c r="AD70" s="104">
        <v>0</v>
      </c>
      <c r="AE70" s="66">
        <v>0</v>
      </c>
      <c r="AF70" s="66">
        <v>0</v>
      </c>
      <c r="AG70" s="104">
        <v>0</v>
      </c>
      <c r="AH70" s="104">
        <v>0</v>
      </c>
      <c r="AI70" s="104">
        <v>0</v>
      </c>
      <c r="AJ70" s="104">
        <v>0</v>
      </c>
      <c r="AK70" s="104">
        <v>0</v>
      </c>
      <c r="AL70" s="104">
        <v>0</v>
      </c>
      <c r="AM70" s="104">
        <v>0</v>
      </c>
      <c r="AN70" s="104">
        <v>0</v>
      </c>
      <c r="AO70" s="104">
        <v>0</v>
      </c>
      <c r="AP70" s="104">
        <v>0</v>
      </c>
      <c r="AQ70" s="210"/>
      <c r="AR70" s="104">
        <v>0</v>
      </c>
      <c r="AS70" s="104">
        <v>0</v>
      </c>
      <c r="AT70" s="104">
        <v>0</v>
      </c>
      <c r="AU70" s="104">
        <v>0</v>
      </c>
      <c r="AV70" s="104">
        <v>0</v>
      </c>
      <c r="AW70" s="210"/>
      <c r="AX70" s="104">
        <v>38</v>
      </c>
      <c r="AY70" s="104">
        <v>0</v>
      </c>
      <c r="AZ70" s="210"/>
      <c r="BA70" s="104">
        <v>0</v>
      </c>
      <c r="BB70" s="104">
        <v>0</v>
      </c>
      <c r="BC70" s="104">
        <v>0</v>
      </c>
      <c r="BD70" s="104">
        <v>0</v>
      </c>
      <c r="BE70" s="104">
        <v>0</v>
      </c>
      <c r="BF70" s="210"/>
      <c r="BG70" s="66">
        <v>0</v>
      </c>
      <c r="BH70" s="104">
        <v>1</v>
      </c>
      <c r="BI70" s="104">
        <v>0</v>
      </c>
      <c r="BJ70" s="66">
        <v>0</v>
      </c>
      <c r="BK70" s="66">
        <v>0</v>
      </c>
      <c r="BL70" s="66">
        <v>0</v>
      </c>
      <c r="BM70" s="104">
        <v>0</v>
      </c>
      <c r="BN70" s="104">
        <v>0</v>
      </c>
      <c r="BO70" s="66">
        <v>0</v>
      </c>
      <c r="BP70" s="66">
        <v>0</v>
      </c>
      <c r="BQ70" s="66">
        <v>0</v>
      </c>
      <c r="BR70" s="66">
        <v>0</v>
      </c>
      <c r="BS70" s="66">
        <v>0</v>
      </c>
      <c r="BT70" s="210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</row>
    <row r="71" spans="1:100" s="66" customFormat="1">
      <c r="A71" s="103"/>
      <c r="B71" s="104" t="s">
        <v>1457</v>
      </c>
      <c r="C71" s="66">
        <v>0</v>
      </c>
      <c r="D71" s="66">
        <v>3</v>
      </c>
      <c r="E71" s="66">
        <v>149</v>
      </c>
      <c r="F71" s="104">
        <v>142</v>
      </c>
      <c r="G71" s="104">
        <v>0</v>
      </c>
      <c r="H71" s="210"/>
      <c r="I71" s="104">
        <v>143</v>
      </c>
      <c r="J71" s="104">
        <v>0</v>
      </c>
      <c r="K71" s="104">
        <v>0</v>
      </c>
      <c r="L71" s="104">
        <v>0</v>
      </c>
      <c r="M71" s="104">
        <v>0</v>
      </c>
      <c r="N71" s="104">
        <v>0</v>
      </c>
      <c r="O71" s="104">
        <v>0</v>
      </c>
      <c r="P71" s="104">
        <v>0</v>
      </c>
      <c r="Q71" s="104">
        <v>0</v>
      </c>
      <c r="R71" s="210"/>
      <c r="S71" s="104">
        <v>0</v>
      </c>
      <c r="T71" s="104">
        <v>0</v>
      </c>
      <c r="U71" s="104">
        <v>143</v>
      </c>
      <c r="V71" s="104">
        <v>0</v>
      </c>
      <c r="W71" s="104">
        <v>0</v>
      </c>
      <c r="X71" s="104">
        <v>0</v>
      </c>
      <c r="Y71" s="210"/>
      <c r="Z71" s="66">
        <v>143</v>
      </c>
      <c r="AA71" s="104">
        <v>0</v>
      </c>
      <c r="AB71" s="104">
        <v>0</v>
      </c>
      <c r="AC71" s="66">
        <v>1</v>
      </c>
      <c r="AD71" s="104">
        <v>0</v>
      </c>
      <c r="AE71" s="66">
        <v>1</v>
      </c>
      <c r="AF71" s="66">
        <v>4</v>
      </c>
      <c r="AG71" s="104">
        <v>0</v>
      </c>
      <c r="AH71" s="104">
        <v>0</v>
      </c>
      <c r="AI71" s="104">
        <v>0</v>
      </c>
      <c r="AJ71" s="104">
        <v>0</v>
      </c>
      <c r="AK71" s="104">
        <v>0</v>
      </c>
      <c r="AL71" s="104">
        <v>0</v>
      </c>
      <c r="AM71" s="104">
        <v>0</v>
      </c>
      <c r="AN71" s="104">
        <v>0</v>
      </c>
      <c r="AO71" s="104">
        <v>0</v>
      </c>
      <c r="AP71" s="104">
        <v>0</v>
      </c>
      <c r="AQ71" s="210"/>
      <c r="AR71" s="104">
        <v>0</v>
      </c>
      <c r="AS71" s="104">
        <v>0</v>
      </c>
      <c r="AT71" s="104">
        <v>0</v>
      </c>
      <c r="AU71" s="104">
        <v>0</v>
      </c>
      <c r="AV71" s="104">
        <v>0</v>
      </c>
      <c r="AW71" s="210"/>
      <c r="AX71" s="104">
        <v>142</v>
      </c>
      <c r="AY71" s="104">
        <v>0</v>
      </c>
      <c r="AZ71" s="210"/>
      <c r="BA71" s="104">
        <v>0</v>
      </c>
      <c r="BB71" s="104">
        <v>0</v>
      </c>
      <c r="BC71" s="104">
        <v>0</v>
      </c>
      <c r="BD71" s="104">
        <v>0</v>
      </c>
      <c r="BE71" s="104">
        <v>0</v>
      </c>
      <c r="BF71" s="210"/>
      <c r="BG71" s="66">
        <v>0</v>
      </c>
      <c r="BH71" s="104">
        <v>3</v>
      </c>
      <c r="BI71" s="104">
        <v>0</v>
      </c>
      <c r="BJ71" s="66">
        <v>0</v>
      </c>
      <c r="BK71" s="66">
        <v>0</v>
      </c>
      <c r="BL71" s="66">
        <v>0</v>
      </c>
      <c r="BM71" s="104">
        <v>0</v>
      </c>
      <c r="BN71" s="104">
        <v>0</v>
      </c>
      <c r="BO71" s="66">
        <v>0</v>
      </c>
      <c r="BP71" s="66">
        <v>0</v>
      </c>
      <c r="BQ71" s="66">
        <v>0</v>
      </c>
      <c r="BR71" s="66">
        <v>0</v>
      </c>
      <c r="BS71" s="66">
        <v>0</v>
      </c>
      <c r="BT71" s="210"/>
      <c r="BU71" s="104"/>
      <c r="BV71" s="104"/>
      <c r="BW71" s="104"/>
      <c r="BX71" s="104"/>
      <c r="BY71" s="104"/>
      <c r="BZ71" s="104"/>
      <c r="CA71" s="104"/>
      <c r="CB71" s="104"/>
      <c r="CC71" s="104"/>
      <c r="CD71" s="104"/>
      <c r="CE71" s="104"/>
      <c r="CF71" s="104"/>
      <c r="CG71" s="104"/>
      <c r="CH71" s="104"/>
      <c r="CI71" s="104"/>
      <c r="CJ71" s="104"/>
      <c r="CK71" s="104"/>
      <c r="CL71" s="104"/>
      <c r="CM71" s="104"/>
      <c r="CN71" s="104"/>
      <c r="CO71" s="104"/>
      <c r="CP71" s="104"/>
      <c r="CQ71" s="104"/>
      <c r="CR71" s="104"/>
      <c r="CS71" s="104"/>
      <c r="CT71" s="104"/>
      <c r="CU71" s="104"/>
    </row>
    <row r="72" spans="1:100" s="66" customFormat="1">
      <c r="A72" s="103"/>
      <c r="B72" s="104" t="s">
        <v>1458</v>
      </c>
      <c r="C72" s="66">
        <v>0</v>
      </c>
      <c r="D72" s="66">
        <v>0</v>
      </c>
      <c r="E72" s="66">
        <v>59</v>
      </c>
      <c r="F72" s="104">
        <v>59</v>
      </c>
      <c r="G72" s="104">
        <v>0</v>
      </c>
      <c r="H72" s="210"/>
      <c r="I72" s="104">
        <v>58</v>
      </c>
      <c r="J72" s="104">
        <v>1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210"/>
      <c r="S72" s="104">
        <v>0</v>
      </c>
      <c r="T72" s="104">
        <v>0</v>
      </c>
      <c r="U72" s="104">
        <v>59</v>
      </c>
      <c r="V72" s="104">
        <v>0</v>
      </c>
      <c r="W72" s="104">
        <v>0</v>
      </c>
      <c r="X72" s="104">
        <v>0</v>
      </c>
      <c r="Y72" s="210"/>
      <c r="Z72" s="66">
        <v>59</v>
      </c>
      <c r="AA72" s="104">
        <v>0</v>
      </c>
      <c r="AB72" s="104">
        <v>0</v>
      </c>
      <c r="AC72" s="66">
        <v>0</v>
      </c>
      <c r="AD72" s="104">
        <v>0</v>
      </c>
      <c r="AE72" s="66">
        <v>0</v>
      </c>
      <c r="AF72" s="66">
        <v>0</v>
      </c>
      <c r="AG72" s="104">
        <v>0</v>
      </c>
      <c r="AH72" s="104">
        <v>0</v>
      </c>
      <c r="AI72" s="104">
        <v>0</v>
      </c>
      <c r="AJ72" s="104">
        <v>0</v>
      </c>
      <c r="AK72" s="104">
        <v>0</v>
      </c>
      <c r="AL72" s="104">
        <v>0</v>
      </c>
      <c r="AM72" s="104">
        <v>0</v>
      </c>
      <c r="AN72" s="104">
        <v>0</v>
      </c>
      <c r="AO72" s="104">
        <v>0</v>
      </c>
      <c r="AP72" s="104">
        <v>0</v>
      </c>
      <c r="AQ72" s="210"/>
      <c r="AR72" s="104">
        <v>0</v>
      </c>
      <c r="AS72" s="104">
        <v>0</v>
      </c>
      <c r="AT72" s="104">
        <v>0</v>
      </c>
      <c r="AU72" s="104">
        <v>0</v>
      </c>
      <c r="AV72" s="104">
        <v>0</v>
      </c>
      <c r="AW72" s="210"/>
      <c r="AX72" s="104">
        <v>59</v>
      </c>
      <c r="AY72" s="104">
        <v>0</v>
      </c>
      <c r="AZ72" s="210"/>
      <c r="BA72" s="104">
        <v>0</v>
      </c>
      <c r="BB72" s="104">
        <v>0</v>
      </c>
      <c r="BC72" s="104">
        <v>0</v>
      </c>
      <c r="BD72" s="104">
        <v>0</v>
      </c>
      <c r="BE72" s="104">
        <v>0</v>
      </c>
      <c r="BF72" s="210"/>
      <c r="BG72" s="66">
        <v>0</v>
      </c>
      <c r="BH72" s="104">
        <v>1</v>
      </c>
      <c r="BI72" s="104">
        <v>0</v>
      </c>
      <c r="BJ72" s="66">
        <v>0</v>
      </c>
      <c r="BK72" s="66">
        <v>0</v>
      </c>
      <c r="BL72" s="66">
        <v>0</v>
      </c>
      <c r="BM72" s="104">
        <v>0</v>
      </c>
      <c r="BN72" s="104">
        <v>0</v>
      </c>
      <c r="BO72" s="66">
        <v>0</v>
      </c>
      <c r="BP72" s="66">
        <v>0</v>
      </c>
      <c r="BQ72" s="66">
        <v>0</v>
      </c>
      <c r="BR72" s="66">
        <v>0</v>
      </c>
      <c r="BS72" s="66">
        <v>0</v>
      </c>
      <c r="BT72" s="210"/>
      <c r="BU72" s="104"/>
      <c r="BV72" s="104"/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04"/>
      <c r="CI72" s="104"/>
      <c r="CJ72" s="104"/>
      <c r="CK72" s="104"/>
      <c r="CL72" s="104"/>
      <c r="CM72" s="104"/>
      <c r="CN72" s="104"/>
      <c r="CO72" s="104"/>
      <c r="CP72" s="104"/>
      <c r="CQ72" s="104"/>
      <c r="CR72" s="104"/>
      <c r="CS72" s="104"/>
      <c r="CT72" s="104"/>
      <c r="CU72" s="104"/>
    </row>
    <row r="73" spans="1:100" s="66" customFormat="1">
      <c r="A73" s="103"/>
      <c r="B73" s="104" t="s">
        <v>1459</v>
      </c>
      <c r="C73" s="66">
        <v>0</v>
      </c>
      <c r="D73" s="66">
        <v>0</v>
      </c>
      <c r="E73" s="66">
        <v>492</v>
      </c>
      <c r="F73" s="104">
        <v>476</v>
      </c>
      <c r="G73" s="104">
        <v>0</v>
      </c>
      <c r="H73" s="210"/>
      <c r="I73" s="104">
        <v>475</v>
      </c>
      <c r="J73" s="104">
        <v>0</v>
      </c>
      <c r="K73" s="104">
        <v>1</v>
      </c>
      <c r="L73" s="104">
        <v>0</v>
      </c>
      <c r="M73" s="104">
        <v>0</v>
      </c>
      <c r="N73" s="104">
        <v>0</v>
      </c>
      <c r="O73" s="104">
        <v>0</v>
      </c>
      <c r="P73" s="104">
        <v>0</v>
      </c>
      <c r="Q73" s="104">
        <v>0</v>
      </c>
      <c r="R73" s="210"/>
      <c r="S73" s="104">
        <v>0</v>
      </c>
      <c r="T73" s="104">
        <v>0</v>
      </c>
      <c r="U73" s="104">
        <v>476</v>
      </c>
      <c r="V73" s="104">
        <v>0</v>
      </c>
      <c r="W73" s="104">
        <v>0</v>
      </c>
      <c r="X73" s="104">
        <v>0</v>
      </c>
      <c r="Y73" s="210"/>
      <c r="Z73" s="66">
        <v>476</v>
      </c>
      <c r="AA73" s="104">
        <v>0</v>
      </c>
      <c r="AB73" s="104">
        <v>0</v>
      </c>
      <c r="AC73" s="66">
        <v>0</v>
      </c>
      <c r="AD73" s="104">
        <v>0</v>
      </c>
      <c r="AE73" s="66">
        <v>0</v>
      </c>
      <c r="AF73" s="66">
        <v>0</v>
      </c>
      <c r="AG73" s="104">
        <v>0</v>
      </c>
      <c r="AH73" s="104">
        <v>0</v>
      </c>
      <c r="AI73" s="104">
        <v>0</v>
      </c>
      <c r="AJ73" s="104">
        <v>0</v>
      </c>
      <c r="AK73" s="104">
        <v>0</v>
      </c>
      <c r="AL73" s="104">
        <v>0</v>
      </c>
      <c r="AM73" s="104">
        <v>0</v>
      </c>
      <c r="AN73" s="104">
        <v>0</v>
      </c>
      <c r="AO73" s="104">
        <v>0</v>
      </c>
      <c r="AP73" s="104">
        <v>0</v>
      </c>
      <c r="AQ73" s="210"/>
      <c r="AR73" s="104">
        <v>0</v>
      </c>
      <c r="AS73" s="104">
        <v>0</v>
      </c>
      <c r="AT73" s="104">
        <v>0</v>
      </c>
      <c r="AU73" s="104">
        <v>0</v>
      </c>
      <c r="AV73" s="104">
        <v>0</v>
      </c>
      <c r="AW73" s="210"/>
      <c r="AX73" s="104">
        <v>476</v>
      </c>
      <c r="AY73" s="104">
        <v>0</v>
      </c>
      <c r="AZ73" s="210"/>
      <c r="BA73" s="104">
        <v>0</v>
      </c>
      <c r="BB73" s="104">
        <v>0</v>
      </c>
      <c r="BC73" s="104">
        <v>0</v>
      </c>
      <c r="BD73" s="104">
        <v>0</v>
      </c>
      <c r="BE73" s="104">
        <v>0</v>
      </c>
      <c r="BF73" s="210"/>
      <c r="BG73" s="66">
        <v>0</v>
      </c>
      <c r="BH73" s="104">
        <v>79</v>
      </c>
      <c r="BI73" s="104">
        <v>2</v>
      </c>
      <c r="BJ73" s="66">
        <v>0</v>
      </c>
      <c r="BK73" s="66">
        <v>0</v>
      </c>
      <c r="BL73" s="66">
        <v>0</v>
      </c>
      <c r="BM73" s="104">
        <v>0</v>
      </c>
      <c r="BN73" s="104">
        <v>0</v>
      </c>
      <c r="BO73" s="66">
        <v>0</v>
      </c>
      <c r="BP73" s="66">
        <v>0</v>
      </c>
      <c r="BQ73" s="66">
        <v>0</v>
      </c>
      <c r="BR73" s="66">
        <v>0</v>
      </c>
      <c r="BS73" s="66">
        <v>0</v>
      </c>
      <c r="BT73" s="210"/>
      <c r="BU73" s="104"/>
      <c r="BV73" s="104"/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</row>
    <row r="74" spans="1:100" s="113" customFormat="1">
      <c r="A74" s="112"/>
      <c r="B74" s="113" t="s">
        <v>1532</v>
      </c>
      <c r="C74" s="113">
        <f>SUM(C64:C73)</f>
        <v>1</v>
      </c>
      <c r="D74" s="113">
        <f>SUM(D64:D73)</f>
        <v>3</v>
      </c>
      <c r="E74" s="113">
        <f>SUM(E64:E73)</f>
        <v>1339</v>
      </c>
      <c r="F74" s="113">
        <f>SUM(F64:F73)</f>
        <v>1310</v>
      </c>
      <c r="I74" s="113">
        <f t="shared" ref="I74:K74" si="6">SUM(I64:I73)</f>
        <v>1307</v>
      </c>
      <c r="J74" s="113">
        <f t="shared" si="6"/>
        <v>2</v>
      </c>
      <c r="K74" s="113">
        <f t="shared" si="6"/>
        <v>1</v>
      </c>
      <c r="L74" s="113">
        <v>0</v>
      </c>
      <c r="M74" s="113">
        <v>0</v>
      </c>
      <c r="N74" s="113">
        <v>0</v>
      </c>
      <c r="O74" s="113">
        <v>0</v>
      </c>
      <c r="P74" s="113">
        <v>0</v>
      </c>
      <c r="Q74" s="113">
        <v>0</v>
      </c>
      <c r="S74" s="113">
        <v>0</v>
      </c>
      <c r="T74" s="113">
        <v>0</v>
      </c>
      <c r="U74" s="113">
        <v>0</v>
      </c>
      <c r="V74" s="113">
        <v>0</v>
      </c>
      <c r="W74" s="113">
        <v>0</v>
      </c>
      <c r="X74" s="113">
        <v>0</v>
      </c>
      <c r="Z74" s="113">
        <f t="shared" ref="Z74:AF74" si="7">SUM(Z64:Z73)</f>
        <v>1313</v>
      </c>
      <c r="AA74" s="113">
        <v>0</v>
      </c>
      <c r="AB74" s="113">
        <v>0</v>
      </c>
      <c r="AC74" s="113">
        <f t="shared" si="7"/>
        <v>1</v>
      </c>
      <c r="AD74" s="113">
        <v>0</v>
      </c>
      <c r="AE74" s="113">
        <f t="shared" si="7"/>
        <v>1</v>
      </c>
      <c r="AF74" s="113">
        <f t="shared" si="7"/>
        <v>6</v>
      </c>
      <c r="AG74" s="113">
        <v>0</v>
      </c>
      <c r="AH74" s="113">
        <v>0</v>
      </c>
      <c r="AI74" s="113">
        <v>0</v>
      </c>
      <c r="AJ74" s="113">
        <v>0</v>
      </c>
      <c r="AK74" s="113">
        <v>0</v>
      </c>
      <c r="AL74" s="113">
        <v>0</v>
      </c>
      <c r="AM74" s="113">
        <v>0</v>
      </c>
      <c r="AN74" s="113">
        <v>0</v>
      </c>
      <c r="AO74" s="113">
        <v>0</v>
      </c>
      <c r="AP74" s="113">
        <v>0</v>
      </c>
      <c r="AR74" s="113">
        <v>0</v>
      </c>
      <c r="AS74" s="113">
        <v>0</v>
      </c>
      <c r="AT74" s="113">
        <v>0</v>
      </c>
      <c r="AU74" s="113">
        <v>0</v>
      </c>
      <c r="AV74" s="113">
        <v>0</v>
      </c>
      <c r="AX74" s="113">
        <f>SUM(AX64:AX73)</f>
        <v>1310</v>
      </c>
      <c r="AY74" s="113">
        <f>SUM(AY64:AY73)</f>
        <v>1</v>
      </c>
      <c r="BA74" s="113">
        <v>0</v>
      </c>
      <c r="BB74" s="113">
        <f>SUM(BB64:BB73)</f>
        <v>1</v>
      </c>
      <c r="BC74" s="113">
        <v>0</v>
      </c>
      <c r="BD74" s="113">
        <v>0</v>
      </c>
      <c r="BE74" s="113">
        <v>0</v>
      </c>
      <c r="BG74" s="113">
        <f t="shared" ref="BG74:BS74" si="8">SUM(BG64:BG73)</f>
        <v>0</v>
      </c>
      <c r="BH74" s="113">
        <f t="shared" si="8"/>
        <v>144</v>
      </c>
      <c r="BI74" s="113">
        <f t="shared" si="8"/>
        <v>2</v>
      </c>
      <c r="BJ74" s="113">
        <f t="shared" si="8"/>
        <v>0</v>
      </c>
      <c r="BK74" s="113">
        <f t="shared" si="8"/>
        <v>0</v>
      </c>
      <c r="BL74" s="113">
        <f t="shared" si="8"/>
        <v>0</v>
      </c>
      <c r="BM74" s="113">
        <f t="shared" si="8"/>
        <v>1</v>
      </c>
      <c r="BN74" s="113">
        <f t="shared" si="8"/>
        <v>1</v>
      </c>
      <c r="BO74" s="113">
        <f t="shared" si="8"/>
        <v>0</v>
      </c>
      <c r="BP74" s="113">
        <f t="shared" si="8"/>
        <v>0</v>
      </c>
      <c r="BQ74" s="113">
        <f t="shared" si="8"/>
        <v>0</v>
      </c>
      <c r="BR74" s="113">
        <f t="shared" si="8"/>
        <v>0</v>
      </c>
      <c r="BS74" s="113">
        <f t="shared" si="8"/>
        <v>0</v>
      </c>
    </row>
    <row r="75" spans="1:100" s="108" customFormat="1">
      <c r="A75" s="103"/>
      <c r="BG75" s="6"/>
      <c r="BP75" s="6"/>
      <c r="BQ75" s="6"/>
      <c r="BR75" s="6"/>
      <c r="BS75" s="6"/>
    </row>
    <row r="76" spans="1:100" s="115" customFormat="1">
      <c r="A76" s="104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14"/>
      <c r="BV76" s="114"/>
      <c r="BW76" s="114"/>
      <c r="BX76" s="114"/>
      <c r="BY76" s="114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4"/>
      <c r="CM76" s="114"/>
      <c r="CN76" s="114"/>
      <c r="CO76" s="114"/>
      <c r="CP76" s="114"/>
      <c r="CQ76" s="114"/>
      <c r="CR76" s="114"/>
      <c r="CS76" s="114"/>
    </row>
    <row r="77" spans="1:100" s="109" customFormat="1">
      <c r="A77" s="103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</row>
    <row r="78" spans="1:100" s="119" customFormat="1" ht="21">
      <c r="A78" s="116"/>
      <c r="B78" s="117" t="s">
        <v>1460</v>
      </c>
      <c r="C78" s="117">
        <f>SUM(C61:C74)</f>
        <v>537</v>
      </c>
      <c r="D78" s="117">
        <f>SUM(D61:D74)</f>
        <v>5898</v>
      </c>
      <c r="E78" s="117">
        <f>SUM(E61:E74)</f>
        <v>26013</v>
      </c>
      <c r="F78" s="117">
        <f>SUM(F61:F74)</f>
        <v>14047</v>
      </c>
      <c r="G78" s="117"/>
      <c r="H78" s="117"/>
      <c r="I78" s="117">
        <f t="shared" ref="I78:Q78" si="9">SUM(I61:I74)</f>
        <v>13156</v>
      </c>
      <c r="J78" s="117">
        <f t="shared" si="9"/>
        <v>455</v>
      </c>
      <c r="K78" s="117">
        <f t="shared" si="9"/>
        <v>184</v>
      </c>
      <c r="L78" s="117">
        <f t="shared" si="9"/>
        <v>86</v>
      </c>
      <c r="M78" s="117">
        <f t="shared" si="9"/>
        <v>8</v>
      </c>
      <c r="N78" s="117">
        <f t="shared" si="9"/>
        <v>2</v>
      </c>
      <c r="O78" s="117">
        <f t="shared" si="9"/>
        <v>0</v>
      </c>
      <c r="P78" s="117">
        <f t="shared" si="9"/>
        <v>0</v>
      </c>
      <c r="Q78" s="117">
        <f t="shared" si="9"/>
        <v>0</v>
      </c>
      <c r="R78" s="117"/>
      <c r="S78" s="117">
        <f t="shared" ref="S78:X78" si="10">SUM(S61:S74)</f>
        <v>2055</v>
      </c>
      <c r="T78" s="117">
        <f t="shared" si="10"/>
        <v>53</v>
      </c>
      <c r="U78" s="117">
        <f t="shared" si="10"/>
        <v>2364</v>
      </c>
      <c r="V78" s="117">
        <f t="shared" si="10"/>
        <v>319</v>
      </c>
      <c r="W78" s="117">
        <f t="shared" si="10"/>
        <v>7472</v>
      </c>
      <c r="X78" s="117">
        <f t="shared" si="10"/>
        <v>333</v>
      </c>
      <c r="Y78" s="117"/>
      <c r="Z78" s="117">
        <f t="shared" ref="Z78:AP78" si="11">SUM(Z61:Z74)</f>
        <v>14447</v>
      </c>
      <c r="AA78" s="117">
        <f t="shared" si="11"/>
        <v>437</v>
      </c>
      <c r="AB78" s="117">
        <f t="shared" si="11"/>
        <v>66</v>
      </c>
      <c r="AC78" s="117">
        <f t="shared" si="11"/>
        <v>326</v>
      </c>
      <c r="AD78" s="117">
        <f t="shared" si="11"/>
        <v>376</v>
      </c>
      <c r="AE78" s="117">
        <f t="shared" si="11"/>
        <v>1841</v>
      </c>
      <c r="AF78" s="117">
        <f t="shared" si="11"/>
        <v>2251</v>
      </c>
      <c r="AG78" s="117">
        <f t="shared" si="11"/>
        <v>607</v>
      </c>
      <c r="AH78" s="117">
        <f t="shared" si="11"/>
        <v>2231</v>
      </c>
      <c r="AI78" s="117">
        <f t="shared" si="11"/>
        <v>1787</v>
      </c>
      <c r="AJ78" s="117">
        <f t="shared" si="11"/>
        <v>380</v>
      </c>
      <c r="AK78" s="117">
        <f t="shared" si="11"/>
        <v>627</v>
      </c>
      <c r="AL78" s="117">
        <f t="shared" si="11"/>
        <v>1303</v>
      </c>
      <c r="AM78" s="117">
        <f t="shared" si="11"/>
        <v>257</v>
      </c>
      <c r="AN78" s="117">
        <f t="shared" si="11"/>
        <v>642</v>
      </c>
      <c r="AO78" s="117">
        <f t="shared" si="11"/>
        <v>467</v>
      </c>
      <c r="AP78" s="117">
        <f t="shared" si="11"/>
        <v>471</v>
      </c>
      <c r="AQ78" s="117"/>
      <c r="AR78" s="117">
        <f>SUM(AR61:AR74)</f>
        <v>7</v>
      </c>
      <c r="AS78" s="117">
        <f>SUM(AS61:AS74)</f>
        <v>73</v>
      </c>
      <c r="AT78" s="117">
        <f>SUM(AT61:AT74)</f>
        <v>31</v>
      </c>
      <c r="AU78" s="117">
        <f>SUM(AU61:AU74)</f>
        <v>22</v>
      </c>
      <c r="AV78" s="117">
        <f>SUM(AV61:AV74)</f>
        <v>11294</v>
      </c>
      <c r="AW78" s="117"/>
      <c r="AX78" s="117">
        <f>SUM(AX61:AX74)</f>
        <v>14047</v>
      </c>
      <c r="AY78" s="117">
        <f>SUM(AY61:AY74)</f>
        <v>189</v>
      </c>
      <c r="AZ78" s="117"/>
      <c r="BA78" s="117">
        <f>SUM(BA61:BA74)</f>
        <v>153</v>
      </c>
      <c r="BB78" s="117">
        <f>SUM(BB61:BB74)</f>
        <v>31</v>
      </c>
      <c r="BC78" s="117">
        <f>SUM(BC61:BC74)</f>
        <v>4</v>
      </c>
      <c r="BD78" s="117">
        <f>SUM(BD61:BD74)</f>
        <v>9</v>
      </c>
      <c r="BE78" s="117">
        <f>SUM(BE61:BE74)</f>
        <v>9</v>
      </c>
      <c r="BF78" s="117"/>
      <c r="BG78" s="117">
        <f t="shared" ref="BG78:BS78" si="12">SUM(BG61:BG74)</f>
        <v>53</v>
      </c>
      <c r="BH78" s="117">
        <f t="shared" si="12"/>
        <v>9328</v>
      </c>
      <c r="BI78" s="117">
        <f t="shared" si="12"/>
        <v>141</v>
      </c>
      <c r="BJ78" s="117">
        <f t="shared" si="12"/>
        <v>13</v>
      </c>
      <c r="BK78" s="117">
        <f t="shared" si="12"/>
        <v>411</v>
      </c>
      <c r="BL78" s="117">
        <f t="shared" si="12"/>
        <v>622726</v>
      </c>
      <c r="BM78" s="117">
        <f t="shared" si="12"/>
        <v>1116</v>
      </c>
      <c r="BN78" s="117">
        <f t="shared" si="12"/>
        <v>1522312</v>
      </c>
      <c r="BO78" s="117">
        <f t="shared" si="12"/>
        <v>61</v>
      </c>
      <c r="BP78" s="117">
        <f t="shared" si="12"/>
        <v>348</v>
      </c>
      <c r="BQ78" s="117">
        <f t="shared" si="12"/>
        <v>378935</v>
      </c>
      <c r="BR78" s="117">
        <f t="shared" si="12"/>
        <v>16</v>
      </c>
      <c r="BS78" s="117">
        <f t="shared" si="12"/>
        <v>5069</v>
      </c>
      <c r="BT78" s="117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</row>
    <row r="79" spans="1:100" s="109" customFormat="1">
      <c r="A79" s="103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20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4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108"/>
      <c r="CM79" s="108"/>
      <c r="CN79" s="108"/>
      <c r="CO79" s="108"/>
      <c r="CP79" s="108"/>
      <c r="CQ79" s="108"/>
      <c r="CR79" s="108"/>
      <c r="CS79" s="108"/>
    </row>
    <row r="80" spans="1:100" s="104" customFormat="1" ht="19">
      <c r="B80" s="88"/>
      <c r="C80" s="121"/>
      <c r="D80" s="121"/>
      <c r="E80" s="121"/>
      <c r="F80" s="121"/>
      <c r="G80" s="121"/>
      <c r="I80" s="121"/>
      <c r="J80" s="121"/>
      <c r="K80" s="121"/>
      <c r="L80" s="121"/>
      <c r="M80" s="121"/>
      <c r="N80" s="121"/>
      <c r="O80" s="121"/>
      <c r="P80" s="121"/>
      <c r="Q80" s="121"/>
      <c r="S80" s="121"/>
      <c r="T80" s="121"/>
      <c r="U80" s="121"/>
      <c r="V80" s="121"/>
      <c r="W80" s="121"/>
      <c r="X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R80" s="121"/>
      <c r="AS80" s="121"/>
      <c r="AT80" s="121"/>
      <c r="AU80" s="121"/>
      <c r="AV80" s="121"/>
      <c r="AX80" s="121"/>
      <c r="AY80" s="121"/>
      <c r="BA80" s="121"/>
      <c r="BB80" s="121"/>
      <c r="BC80" s="121"/>
      <c r="BD80" s="121"/>
      <c r="BE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5"/>
      <c r="CU80" s="65"/>
      <c r="CV80" s="65"/>
    </row>
    <row r="81" spans="1:99" s="65" customFormat="1">
      <c r="A81" s="103"/>
      <c r="B81" s="66" t="s">
        <v>1461</v>
      </c>
      <c r="C81" s="104">
        <v>13</v>
      </c>
      <c r="D81" s="104">
        <v>122</v>
      </c>
      <c r="E81" s="104">
        <v>354</v>
      </c>
      <c r="F81" s="104">
        <v>125</v>
      </c>
      <c r="G81" s="104"/>
      <c r="H81" s="210"/>
      <c r="I81" s="104">
        <v>109</v>
      </c>
      <c r="J81" s="104">
        <v>11</v>
      </c>
      <c r="K81" s="104">
        <v>2</v>
      </c>
      <c r="L81" s="104">
        <v>2</v>
      </c>
      <c r="M81" s="104">
        <v>0</v>
      </c>
      <c r="N81" s="104">
        <v>0</v>
      </c>
      <c r="O81" s="104">
        <v>0</v>
      </c>
      <c r="P81" s="104">
        <v>0</v>
      </c>
      <c r="Q81" s="104">
        <v>0</v>
      </c>
      <c r="R81" s="210"/>
      <c r="S81" s="104">
        <v>44</v>
      </c>
      <c r="T81" s="104">
        <v>5</v>
      </c>
      <c r="U81" s="104">
        <v>2</v>
      </c>
      <c r="V81" s="104">
        <v>2</v>
      </c>
      <c r="W81" s="104">
        <v>71</v>
      </c>
      <c r="X81" s="104">
        <v>1</v>
      </c>
      <c r="Y81" s="210"/>
      <c r="Z81" s="104">
        <v>135</v>
      </c>
      <c r="AA81" s="104">
        <v>2</v>
      </c>
      <c r="AB81" s="104">
        <v>1</v>
      </c>
      <c r="AC81" s="104">
        <v>6</v>
      </c>
      <c r="AD81" s="104">
        <v>14</v>
      </c>
      <c r="AE81" s="104">
        <v>37</v>
      </c>
      <c r="AF81" s="104">
        <v>45</v>
      </c>
      <c r="AG81" s="104">
        <v>12</v>
      </c>
      <c r="AH81" s="104">
        <v>46</v>
      </c>
      <c r="AI81" s="104">
        <v>38</v>
      </c>
      <c r="AJ81" s="104">
        <v>11</v>
      </c>
      <c r="AK81" s="104">
        <v>7</v>
      </c>
      <c r="AL81" s="104">
        <v>21</v>
      </c>
      <c r="AM81" s="104">
        <v>4</v>
      </c>
      <c r="AN81" s="104">
        <v>16</v>
      </c>
      <c r="AO81" s="104">
        <v>10</v>
      </c>
      <c r="AP81" s="104">
        <v>0</v>
      </c>
      <c r="AQ81" s="210"/>
      <c r="AR81" s="104">
        <v>0</v>
      </c>
      <c r="AS81" s="104">
        <v>0</v>
      </c>
      <c r="AT81" s="104">
        <v>0</v>
      </c>
      <c r="AU81" s="104">
        <v>0</v>
      </c>
      <c r="AV81" s="104">
        <v>125</v>
      </c>
      <c r="AW81" s="210"/>
      <c r="AX81" s="104">
        <v>125</v>
      </c>
      <c r="AY81" s="66">
        <v>1</v>
      </c>
      <c r="AZ81" s="210"/>
      <c r="BA81" s="104">
        <v>1</v>
      </c>
      <c r="BB81" s="104">
        <v>0</v>
      </c>
      <c r="BC81" s="104">
        <v>0</v>
      </c>
      <c r="BD81" s="104">
        <v>0</v>
      </c>
      <c r="BE81" s="104">
        <v>0</v>
      </c>
      <c r="BF81" s="210"/>
      <c r="BG81" s="66">
        <v>0</v>
      </c>
      <c r="BH81" s="104">
        <v>180</v>
      </c>
      <c r="BI81" s="104">
        <v>0</v>
      </c>
      <c r="BJ81" s="104">
        <v>0</v>
      </c>
      <c r="BK81" s="104">
        <v>0</v>
      </c>
      <c r="BL81" s="104">
        <v>0</v>
      </c>
      <c r="BM81" s="104">
        <v>2</v>
      </c>
      <c r="BN81" s="104">
        <v>874</v>
      </c>
      <c r="BO81" s="104">
        <v>0</v>
      </c>
      <c r="BP81" s="104">
        <v>1</v>
      </c>
      <c r="BQ81" s="104">
        <v>1</v>
      </c>
      <c r="BR81" s="66">
        <v>0</v>
      </c>
      <c r="BS81" s="66">
        <v>0</v>
      </c>
      <c r="BT81" s="210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04"/>
      <c r="CI81" s="104"/>
      <c r="CJ81" s="104"/>
      <c r="CK81" s="104"/>
      <c r="CL81" s="104"/>
      <c r="CM81" s="104"/>
      <c r="CN81" s="104"/>
      <c r="CO81" s="104"/>
      <c r="CP81" s="104"/>
      <c r="CQ81" s="104"/>
      <c r="CR81" s="104"/>
      <c r="CS81" s="104"/>
      <c r="CT81" s="104"/>
      <c r="CU81" s="104"/>
    </row>
    <row r="82" spans="1:99" s="65" customFormat="1">
      <c r="A82" s="103"/>
      <c r="B82" s="66" t="s">
        <v>1462</v>
      </c>
      <c r="C82" s="104">
        <v>22</v>
      </c>
      <c r="D82" s="104">
        <v>195</v>
      </c>
      <c r="E82" s="104">
        <v>555</v>
      </c>
      <c r="F82" s="104">
        <v>186</v>
      </c>
      <c r="G82" s="104">
        <v>26</v>
      </c>
      <c r="H82" s="210"/>
      <c r="I82" s="104">
        <v>164</v>
      </c>
      <c r="J82" s="104">
        <v>15</v>
      </c>
      <c r="K82" s="104">
        <v>2</v>
      </c>
      <c r="L82" s="104">
        <v>0</v>
      </c>
      <c r="M82" s="104">
        <v>0</v>
      </c>
      <c r="N82" s="104">
        <v>0</v>
      </c>
      <c r="O82" s="104">
        <v>0</v>
      </c>
      <c r="P82" s="104">
        <v>0</v>
      </c>
      <c r="Q82" s="104">
        <v>0</v>
      </c>
      <c r="R82" s="210"/>
      <c r="S82" s="104">
        <v>68</v>
      </c>
      <c r="T82" s="104">
        <v>1</v>
      </c>
      <c r="U82" s="104">
        <v>1</v>
      </c>
      <c r="V82" s="104">
        <v>3</v>
      </c>
      <c r="W82" s="104">
        <v>105</v>
      </c>
      <c r="X82" s="105">
        <v>11</v>
      </c>
      <c r="Y82" s="210"/>
      <c r="Z82" s="104">
        <v>190</v>
      </c>
      <c r="AA82" s="104">
        <v>5</v>
      </c>
      <c r="AB82" s="104">
        <v>2</v>
      </c>
      <c r="AC82" s="104">
        <v>3</v>
      </c>
      <c r="AD82" s="104">
        <v>11</v>
      </c>
      <c r="AE82" s="104">
        <v>74</v>
      </c>
      <c r="AF82" s="104">
        <v>82</v>
      </c>
      <c r="AG82" s="104">
        <v>18</v>
      </c>
      <c r="AH82" s="104">
        <v>70</v>
      </c>
      <c r="AI82" s="104">
        <v>38</v>
      </c>
      <c r="AJ82" s="104">
        <v>16</v>
      </c>
      <c r="AK82" s="104">
        <v>21</v>
      </c>
      <c r="AL82" s="104">
        <v>32</v>
      </c>
      <c r="AM82" s="104">
        <v>3</v>
      </c>
      <c r="AN82" s="104">
        <v>9</v>
      </c>
      <c r="AO82" s="104">
        <v>13</v>
      </c>
      <c r="AP82" s="104">
        <v>9</v>
      </c>
      <c r="AQ82" s="210"/>
      <c r="AR82" s="104">
        <v>0</v>
      </c>
      <c r="AS82" s="104">
        <v>0</v>
      </c>
      <c r="AT82" s="104">
        <v>0</v>
      </c>
      <c r="AU82" s="104">
        <v>0</v>
      </c>
      <c r="AV82" s="104">
        <v>186</v>
      </c>
      <c r="AW82" s="210"/>
      <c r="AX82" s="104">
        <v>186</v>
      </c>
      <c r="AY82" s="66">
        <v>5</v>
      </c>
      <c r="AZ82" s="210"/>
      <c r="BA82" s="104">
        <v>5</v>
      </c>
      <c r="BB82" s="104">
        <v>0</v>
      </c>
      <c r="BC82" s="104">
        <v>0</v>
      </c>
      <c r="BD82" s="104">
        <v>0</v>
      </c>
      <c r="BE82" s="104">
        <v>0</v>
      </c>
      <c r="BF82" s="210"/>
      <c r="BG82" s="66">
        <v>0</v>
      </c>
      <c r="BH82" s="104">
        <v>316</v>
      </c>
      <c r="BI82" s="104">
        <v>0</v>
      </c>
      <c r="BJ82" s="104">
        <v>0</v>
      </c>
      <c r="BK82" s="104">
        <v>1</v>
      </c>
      <c r="BL82" s="104">
        <v>189</v>
      </c>
      <c r="BM82" s="104">
        <v>5</v>
      </c>
      <c r="BN82" s="104">
        <v>11</v>
      </c>
      <c r="BO82" s="104">
        <v>0</v>
      </c>
      <c r="BP82" s="104">
        <v>0</v>
      </c>
      <c r="BQ82" s="104">
        <v>2</v>
      </c>
      <c r="BR82" s="66">
        <v>0</v>
      </c>
      <c r="BS82" s="66">
        <v>0</v>
      </c>
      <c r="BT82" s="210"/>
      <c r="BU82" s="104"/>
      <c r="BV82" s="104"/>
      <c r="BW82" s="104"/>
      <c r="BX82" s="104"/>
      <c r="BY82" s="104"/>
      <c r="BZ82" s="104"/>
      <c r="CA82" s="104"/>
      <c r="CB82" s="104"/>
      <c r="CC82" s="104"/>
      <c r="CD82" s="104"/>
      <c r="CE82" s="104"/>
      <c r="CF82" s="104"/>
      <c r="CG82" s="104"/>
      <c r="CH82" s="104"/>
      <c r="CI82" s="104"/>
      <c r="CJ82" s="104"/>
      <c r="CK82" s="104"/>
      <c r="CL82" s="104"/>
      <c r="CM82" s="104"/>
      <c r="CN82" s="104"/>
      <c r="CO82" s="104"/>
      <c r="CP82" s="104"/>
      <c r="CQ82" s="104"/>
      <c r="CR82" s="104"/>
      <c r="CS82" s="104"/>
      <c r="CT82" s="104"/>
      <c r="CU82" s="104"/>
    </row>
    <row r="83" spans="1:99" s="65" customFormat="1">
      <c r="A83" s="103"/>
      <c r="B83" s="66" t="s">
        <v>1463</v>
      </c>
      <c r="C83" s="104">
        <v>10</v>
      </c>
      <c r="D83" s="104">
        <v>148</v>
      </c>
      <c r="E83" s="104">
        <v>459</v>
      </c>
      <c r="F83" s="104">
        <f>SUM(AX83)</f>
        <v>143</v>
      </c>
      <c r="G83" s="104"/>
      <c r="H83" s="210"/>
      <c r="I83" s="104">
        <v>124</v>
      </c>
      <c r="J83" s="104">
        <v>9</v>
      </c>
      <c r="K83" s="104">
        <v>7</v>
      </c>
      <c r="L83" s="104">
        <v>2</v>
      </c>
      <c r="M83" s="104">
        <v>0</v>
      </c>
      <c r="N83" s="104">
        <v>0</v>
      </c>
      <c r="O83" s="104">
        <v>0</v>
      </c>
      <c r="P83" s="104">
        <v>0</v>
      </c>
      <c r="Q83" s="104">
        <v>0</v>
      </c>
      <c r="R83" s="210"/>
      <c r="S83" s="104">
        <v>56</v>
      </c>
      <c r="T83" s="104">
        <v>4</v>
      </c>
      <c r="U83" s="104">
        <v>6</v>
      </c>
      <c r="V83" s="104">
        <v>4</v>
      </c>
      <c r="W83" s="104">
        <v>67</v>
      </c>
      <c r="X83" s="104">
        <v>9</v>
      </c>
      <c r="Y83" s="210"/>
      <c r="Z83" s="104">
        <v>147</v>
      </c>
      <c r="AA83" s="104">
        <v>6</v>
      </c>
      <c r="AB83" s="104">
        <v>2</v>
      </c>
      <c r="AC83" s="104">
        <v>2</v>
      </c>
      <c r="AD83" s="104">
        <v>17</v>
      </c>
      <c r="AE83" s="104">
        <v>52</v>
      </c>
      <c r="AF83" s="104">
        <v>76</v>
      </c>
      <c r="AG83" s="104">
        <v>17</v>
      </c>
      <c r="AH83" s="104">
        <v>46</v>
      </c>
      <c r="AI83" s="104">
        <v>43</v>
      </c>
      <c r="AJ83" s="104">
        <v>13</v>
      </c>
      <c r="AK83" s="104">
        <v>21</v>
      </c>
      <c r="AL83" s="104">
        <v>26</v>
      </c>
      <c r="AM83" s="104">
        <v>5</v>
      </c>
      <c r="AN83" s="104">
        <v>20</v>
      </c>
      <c r="AO83" s="104">
        <v>12</v>
      </c>
      <c r="AP83" s="104">
        <v>8</v>
      </c>
      <c r="AQ83" s="210"/>
      <c r="AR83" s="104">
        <v>0</v>
      </c>
      <c r="AS83" s="104">
        <v>0</v>
      </c>
      <c r="AT83" s="104">
        <v>0</v>
      </c>
      <c r="AU83" s="104">
        <v>0</v>
      </c>
      <c r="AV83" s="104">
        <v>143</v>
      </c>
      <c r="AW83" s="210"/>
      <c r="AX83" s="104">
        <v>143</v>
      </c>
      <c r="AY83" s="66">
        <v>3</v>
      </c>
      <c r="AZ83" s="210"/>
      <c r="BA83" s="104">
        <v>3</v>
      </c>
      <c r="BB83" s="104">
        <v>0</v>
      </c>
      <c r="BC83" s="104">
        <v>0</v>
      </c>
      <c r="BD83" s="104">
        <v>0</v>
      </c>
      <c r="BE83" s="104">
        <v>0</v>
      </c>
      <c r="BF83" s="210"/>
      <c r="BG83" s="66">
        <v>1</v>
      </c>
      <c r="BH83" s="104">
        <v>257</v>
      </c>
      <c r="BI83" s="104">
        <v>0</v>
      </c>
      <c r="BJ83" s="104">
        <v>0</v>
      </c>
      <c r="BK83" s="104">
        <v>6</v>
      </c>
      <c r="BL83" s="104">
        <v>4253</v>
      </c>
      <c r="BM83" s="104">
        <v>12</v>
      </c>
      <c r="BN83" s="104">
        <v>13350</v>
      </c>
      <c r="BO83" s="104">
        <v>1</v>
      </c>
      <c r="BP83" s="104">
        <v>5</v>
      </c>
      <c r="BQ83" s="104">
        <v>2576</v>
      </c>
      <c r="BR83" s="66">
        <v>0</v>
      </c>
      <c r="BS83" s="66">
        <v>0</v>
      </c>
      <c r="BT83" s="210"/>
      <c r="BU83" s="104"/>
      <c r="BV83" s="104"/>
      <c r="BW83" s="104"/>
      <c r="BX83" s="104"/>
      <c r="BY83" s="104"/>
      <c r="BZ83" s="104"/>
      <c r="CA83" s="104"/>
      <c r="CB83" s="104"/>
      <c r="CC83" s="104"/>
      <c r="CD83" s="104"/>
      <c r="CE83" s="104"/>
      <c r="CF83" s="104"/>
      <c r="CG83" s="104"/>
      <c r="CH83" s="104"/>
      <c r="CI83" s="104"/>
      <c r="CJ83" s="104"/>
      <c r="CK83" s="104"/>
      <c r="CL83" s="104"/>
      <c r="CM83" s="104"/>
      <c r="CN83" s="104"/>
      <c r="CO83" s="104"/>
      <c r="CP83" s="104"/>
      <c r="CQ83" s="104"/>
      <c r="CR83" s="104"/>
      <c r="CS83" s="104"/>
      <c r="CT83" s="104"/>
      <c r="CU83" s="104"/>
    </row>
    <row r="84" spans="1:99" s="65" customFormat="1">
      <c r="A84" s="103"/>
      <c r="B84" s="23" t="s">
        <v>1464</v>
      </c>
      <c r="C84" s="104">
        <v>1</v>
      </c>
      <c r="D84" s="104">
        <v>1</v>
      </c>
      <c r="E84" s="104">
        <v>5</v>
      </c>
      <c r="F84" s="104">
        <v>4</v>
      </c>
      <c r="G84" s="104"/>
      <c r="H84" s="210"/>
      <c r="I84" s="104">
        <v>4</v>
      </c>
      <c r="J84" s="104">
        <v>0</v>
      </c>
      <c r="K84" s="104">
        <v>0</v>
      </c>
      <c r="L84" s="104">
        <v>0</v>
      </c>
      <c r="M84" s="104">
        <v>0</v>
      </c>
      <c r="N84" s="104">
        <v>0</v>
      </c>
      <c r="O84" s="104">
        <v>0</v>
      </c>
      <c r="P84" s="104">
        <v>0</v>
      </c>
      <c r="Q84" s="104">
        <v>0</v>
      </c>
      <c r="R84" s="210"/>
      <c r="S84" s="104">
        <v>1</v>
      </c>
      <c r="T84" s="104">
        <v>0</v>
      </c>
      <c r="U84" s="104">
        <v>0</v>
      </c>
      <c r="V84" s="104">
        <v>0</v>
      </c>
      <c r="W84" s="104">
        <v>3</v>
      </c>
      <c r="X84" s="104">
        <v>0</v>
      </c>
      <c r="Y84" s="210"/>
      <c r="Z84" s="104">
        <v>4</v>
      </c>
      <c r="AA84" s="104">
        <v>0</v>
      </c>
      <c r="AB84" s="104">
        <v>0</v>
      </c>
      <c r="AC84" s="104">
        <v>0</v>
      </c>
      <c r="AD84" s="104">
        <v>0</v>
      </c>
      <c r="AE84" s="104">
        <v>0</v>
      </c>
      <c r="AF84" s="104">
        <v>0</v>
      </c>
      <c r="AG84" s="104">
        <v>0</v>
      </c>
      <c r="AH84" s="104">
        <v>1</v>
      </c>
      <c r="AI84" s="104">
        <v>1</v>
      </c>
      <c r="AJ84" s="104">
        <v>0</v>
      </c>
      <c r="AK84" s="104">
        <v>0</v>
      </c>
      <c r="AL84" s="104">
        <v>0</v>
      </c>
      <c r="AM84" s="104">
        <v>0</v>
      </c>
      <c r="AN84" s="104">
        <v>0</v>
      </c>
      <c r="AO84" s="104">
        <v>0</v>
      </c>
      <c r="AP84" s="104">
        <v>0</v>
      </c>
      <c r="AQ84" s="210"/>
      <c r="AR84" s="104">
        <v>0</v>
      </c>
      <c r="AS84" s="104">
        <v>0</v>
      </c>
      <c r="AT84" s="104">
        <v>0</v>
      </c>
      <c r="AU84" s="104">
        <v>0</v>
      </c>
      <c r="AV84" s="104">
        <v>4</v>
      </c>
      <c r="AW84" s="210"/>
      <c r="AX84" s="104">
        <v>4</v>
      </c>
      <c r="AY84" s="66">
        <v>0</v>
      </c>
      <c r="AZ84" s="210"/>
      <c r="BA84" s="104">
        <v>0</v>
      </c>
      <c r="BB84" s="104">
        <v>0</v>
      </c>
      <c r="BC84" s="104">
        <v>0</v>
      </c>
      <c r="BD84" s="104">
        <v>0</v>
      </c>
      <c r="BE84" s="104">
        <v>0</v>
      </c>
      <c r="BF84" s="210"/>
      <c r="BG84" s="66">
        <v>0</v>
      </c>
      <c r="BH84" s="104">
        <v>2</v>
      </c>
      <c r="BI84" s="104">
        <v>0</v>
      </c>
      <c r="BJ84" s="104">
        <v>0</v>
      </c>
      <c r="BK84" s="104">
        <v>0</v>
      </c>
      <c r="BL84" s="104">
        <v>0</v>
      </c>
      <c r="BM84" s="104">
        <v>0</v>
      </c>
      <c r="BN84" s="104">
        <v>0</v>
      </c>
      <c r="BO84" s="104">
        <v>0</v>
      </c>
      <c r="BP84" s="104">
        <v>0</v>
      </c>
      <c r="BQ84" s="104">
        <v>0</v>
      </c>
      <c r="BR84" s="66">
        <v>0</v>
      </c>
      <c r="BS84" s="66">
        <v>0</v>
      </c>
      <c r="BT84" s="210"/>
      <c r="BU84" s="104"/>
      <c r="BV84" s="104"/>
      <c r="BW84" s="104"/>
      <c r="BX84" s="104"/>
      <c r="BY84" s="104"/>
      <c r="BZ84" s="104"/>
      <c r="CA84" s="104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4"/>
      <c r="CP84" s="104"/>
      <c r="CQ84" s="104"/>
      <c r="CR84" s="104"/>
      <c r="CS84" s="104"/>
      <c r="CT84" s="104"/>
      <c r="CU84" s="104"/>
    </row>
    <row r="85" spans="1:99" s="65" customFormat="1">
      <c r="A85" s="103"/>
      <c r="B85" s="66" t="s">
        <v>1465</v>
      </c>
      <c r="C85" s="104">
        <v>3</v>
      </c>
      <c r="D85" s="104">
        <v>33</v>
      </c>
      <c r="E85" s="104">
        <v>168</v>
      </c>
      <c r="F85" s="104">
        <f>SUM(AX85)</f>
        <v>76</v>
      </c>
      <c r="G85" s="104"/>
      <c r="H85" s="210"/>
      <c r="I85" s="104">
        <v>70</v>
      </c>
      <c r="J85" s="104">
        <v>4</v>
      </c>
      <c r="K85" s="104">
        <v>1</v>
      </c>
      <c r="L85" s="104">
        <v>1</v>
      </c>
      <c r="M85" s="104">
        <v>0</v>
      </c>
      <c r="N85" s="104">
        <v>0</v>
      </c>
      <c r="O85" s="104">
        <v>0</v>
      </c>
      <c r="P85" s="104">
        <v>0</v>
      </c>
      <c r="Q85" s="104">
        <v>0</v>
      </c>
      <c r="R85" s="210"/>
      <c r="S85" s="104">
        <v>17</v>
      </c>
      <c r="T85" s="104">
        <v>0</v>
      </c>
      <c r="U85" s="104">
        <v>2</v>
      </c>
      <c r="V85" s="104">
        <v>1</v>
      </c>
      <c r="W85" s="104">
        <v>56</v>
      </c>
      <c r="X85" s="104">
        <v>0</v>
      </c>
      <c r="Y85" s="210"/>
      <c r="Z85" s="104">
        <v>76</v>
      </c>
      <c r="AA85" s="104">
        <v>1</v>
      </c>
      <c r="AB85" s="104">
        <v>0</v>
      </c>
      <c r="AC85" s="104">
        <v>1</v>
      </c>
      <c r="AD85" s="104">
        <v>4</v>
      </c>
      <c r="AE85" s="104">
        <v>16</v>
      </c>
      <c r="AF85" s="104">
        <v>37</v>
      </c>
      <c r="AG85" s="104">
        <v>3</v>
      </c>
      <c r="AH85" s="104">
        <v>6</v>
      </c>
      <c r="AI85" s="104">
        <v>12</v>
      </c>
      <c r="AJ85" s="104">
        <v>4</v>
      </c>
      <c r="AK85" s="104">
        <v>4</v>
      </c>
      <c r="AL85" s="104">
        <v>4</v>
      </c>
      <c r="AM85" s="104">
        <v>5</v>
      </c>
      <c r="AN85" s="104">
        <v>8</v>
      </c>
      <c r="AO85" s="104">
        <v>3</v>
      </c>
      <c r="AP85" s="104">
        <v>1</v>
      </c>
      <c r="AQ85" s="210"/>
      <c r="AR85" s="104">
        <v>0</v>
      </c>
      <c r="AS85" s="104">
        <v>0</v>
      </c>
      <c r="AT85" s="104">
        <v>0</v>
      </c>
      <c r="AU85" s="104">
        <v>0</v>
      </c>
      <c r="AV85" s="104">
        <v>76</v>
      </c>
      <c r="AW85" s="210"/>
      <c r="AX85" s="104">
        <v>76</v>
      </c>
      <c r="AY85" s="66">
        <v>1</v>
      </c>
      <c r="AZ85" s="210"/>
      <c r="BA85" s="104">
        <v>0</v>
      </c>
      <c r="BB85" s="105">
        <v>1</v>
      </c>
      <c r="BC85" s="104">
        <v>0</v>
      </c>
      <c r="BD85" s="104">
        <v>0</v>
      </c>
      <c r="BE85" s="104">
        <v>0</v>
      </c>
      <c r="BF85" s="210"/>
      <c r="BG85" s="66">
        <v>0</v>
      </c>
      <c r="BH85" s="104">
        <v>68</v>
      </c>
      <c r="BI85" s="104">
        <v>1</v>
      </c>
      <c r="BJ85" s="104">
        <v>0</v>
      </c>
      <c r="BK85" s="104">
        <v>0</v>
      </c>
      <c r="BL85" s="104">
        <v>0</v>
      </c>
      <c r="BM85" s="104">
        <v>0</v>
      </c>
      <c r="BN85" s="104">
        <v>0</v>
      </c>
      <c r="BO85" s="104">
        <v>0</v>
      </c>
      <c r="BP85" s="104">
        <v>0</v>
      </c>
      <c r="BQ85" s="104">
        <v>0</v>
      </c>
      <c r="BR85" s="66">
        <v>0</v>
      </c>
      <c r="BS85" s="66">
        <v>0</v>
      </c>
      <c r="BT85" s="210"/>
      <c r="BU85" s="104"/>
      <c r="BV85" s="104"/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04"/>
      <c r="CI85" s="104"/>
      <c r="CJ85" s="104"/>
      <c r="CK85" s="104"/>
      <c r="CL85" s="104"/>
      <c r="CM85" s="104"/>
      <c r="CN85" s="104"/>
      <c r="CO85" s="104"/>
      <c r="CP85" s="104"/>
      <c r="CQ85" s="104"/>
      <c r="CR85" s="104"/>
      <c r="CS85" s="104"/>
      <c r="CT85" s="104"/>
      <c r="CU85" s="104"/>
    </row>
    <row r="86" spans="1:99" s="65" customFormat="1">
      <c r="A86" s="103"/>
      <c r="B86" s="23" t="s">
        <v>1466</v>
      </c>
      <c r="C86" s="104">
        <v>8</v>
      </c>
      <c r="D86" s="104">
        <v>36</v>
      </c>
      <c r="E86" s="104">
        <v>105</v>
      </c>
      <c r="F86" s="104">
        <v>40</v>
      </c>
      <c r="G86" s="104"/>
      <c r="H86" s="210"/>
      <c r="I86" s="104">
        <v>35</v>
      </c>
      <c r="J86" s="104">
        <v>5</v>
      </c>
      <c r="K86" s="104">
        <v>0</v>
      </c>
      <c r="L86" s="104">
        <v>0</v>
      </c>
      <c r="M86" s="104">
        <v>0</v>
      </c>
      <c r="N86" s="104">
        <v>0</v>
      </c>
      <c r="O86" s="104">
        <v>0</v>
      </c>
      <c r="P86" s="104">
        <v>0</v>
      </c>
      <c r="Q86" s="104">
        <v>0</v>
      </c>
      <c r="R86" s="210"/>
      <c r="S86" s="104">
        <v>27</v>
      </c>
      <c r="T86" s="104">
        <v>0</v>
      </c>
      <c r="U86" s="104">
        <v>0</v>
      </c>
      <c r="V86" s="104">
        <v>0</v>
      </c>
      <c r="W86" s="104">
        <v>11</v>
      </c>
      <c r="X86" s="104">
        <v>2</v>
      </c>
      <c r="Y86" s="210"/>
      <c r="Z86" s="104">
        <v>41</v>
      </c>
      <c r="AA86" s="104">
        <v>0</v>
      </c>
      <c r="AB86" s="104">
        <v>0</v>
      </c>
      <c r="AC86" s="104">
        <v>0</v>
      </c>
      <c r="AD86" s="104">
        <v>3</v>
      </c>
      <c r="AE86" s="104">
        <v>18</v>
      </c>
      <c r="AF86" s="104">
        <v>15</v>
      </c>
      <c r="AG86" s="104">
        <v>5</v>
      </c>
      <c r="AH86" s="104">
        <v>15</v>
      </c>
      <c r="AI86" s="104">
        <v>12</v>
      </c>
      <c r="AJ86" s="104">
        <v>1</v>
      </c>
      <c r="AK86" s="104">
        <v>1</v>
      </c>
      <c r="AL86" s="104">
        <v>5</v>
      </c>
      <c r="AM86" s="104">
        <v>0</v>
      </c>
      <c r="AN86" s="104">
        <v>2</v>
      </c>
      <c r="AO86" s="104">
        <v>5</v>
      </c>
      <c r="AP86" s="104">
        <v>4</v>
      </c>
      <c r="AQ86" s="210"/>
      <c r="AR86" s="104">
        <v>0</v>
      </c>
      <c r="AS86" s="104">
        <v>0</v>
      </c>
      <c r="AT86" s="104">
        <v>0</v>
      </c>
      <c r="AU86" s="104">
        <v>0</v>
      </c>
      <c r="AV86" s="104">
        <v>40</v>
      </c>
      <c r="AW86" s="210"/>
      <c r="AX86" s="104">
        <v>40</v>
      </c>
      <c r="AY86" s="66">
        <v>1</v>
      </c>
      <c r="AZ86" s="210"/>
      <c r="BA86" s="104">
        <v>1</v>
      </c>
      <c r="BB86" s="104">
        <v>0</v>
      </c>
      <c r="BC86" s="104">
        <v>0</v>
      </c>
      <c r="BD86" s="104">
        <v>0</v>
      </c>
      <c r="BE86" s="104">
        <v>0</v>
      </c>
      <c r="BF86" s="210"/>
      <c r="BG86" s="66">
        <v>0</v>
      </c>
      <c r="BH86" s="104">
        <v>51</v>
      </c>
      <c r="BI86" s="104">
        <v>1</v>
      </c>
      <c r="BJ86" s="104">
        <v>0</v>
      </c>
      <c r="BK86" s="104">
        <v>0</v>
      </c>
      <c r="BL86" s="104">
        <v>0</v>
      </c>
      <c r="BM86" s="104">
        <v>1</v>
      </c>
      <c r="BN86" s="104">
        <v>1</v>
      </c>
      <c r="BO86" s="104">
        <v>1</v>
      </c>
      <c r="BP86" s="104">
        <v>0</v>
      </c>
      <c r="BQ86" s="104">
        <v>0</v>
      </c>
      <c r="BR86" s="66">
        <v>0</v>
      </c>
      <c r="BS86" s="66">
        <v>0</v>
      </c>
      <c r="BT86" s="210"/>
      <c r="BU86" s="104"/>
      <c r="BV86" s="104"/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04"/>
      <c r="CI86" s="104"/>
      <c r="CJ86" s="104"/>
      <c r="CK86" s="104"/>
      <c r="CL86" s="104"/>
      <c r="CM86" s="104"/>
      <c r="CN86" s="104"/>
      <c r="CO86" s="104"/>
      <c r="CP86" s="104"/>
      <c r="CQ86" s="104"/>
      <c r="CR86" s="104"/>
      <c r="CS86" s="104"/>
      <c r="CT86" s="104"/>
      <c r="CU86" s="104"/>
    </row>
    <row r="87" spans="1:99" s="65" customFormat="1">
      <c r="A87" s="103"/>
      <c r="B87" s="66" t="s">
        <v>1467</v>
      </c>
      <c r="C87" s="104">
        <v>3</v>
      </c>
      <c r="D87" s="104">
        <v>22</v>
      </c>
      <c r="E87" s="104">
        <v>189</v>
      </c>
      <c r="F87" s="104">
        <v>108</v>
      </c>
      <c r="G87" s="104"/>
      <c r="H87" s="210"/>
      <c r="I87" s="104">
        <v>102</v>
      </c>
      <c r="J87" s="104">
        <v>3</v>
      </c>
      <c r="K87" s="104">
        <v>3</v>
      </c>
      <c r="L87" s="104">
        <v>0</v>
      </c>
      <c r="M87" s="104">
        <v>0</v>
      </c>
      <c r="N87" s="104">
        <v>0</v>
      </c>
      <c r="O87" s="104">
        <v>0</v>
      </c>
      <c r="P87" s="104">
        <v>0</v>
      </c>
      <c r="Q87" s="104">
        <v>0</v>
      </c>
      <c r="R87" s="210"/>
      <c r="S87" s="104">
        <v>28</v>
      </c>
      <c r="T87" s="104">
        <v>2</v>
      </c>
      <c r="U87" s="104">
        <v>0</v>
      </c>
      <c r="V87" s="104">
        <v>1</v>
      </c>
      <c r="W87" s="104">
        <v>78</v>
      </c>
      <c r="X87" s="104">
        <v>1</v>
      </c>
      <c r="Y87" s="210"/>
      <c r="Z87" s="104">
        <v>112</v>
      </c>
      <c r="AA87" s="104">
        <v>0</v>
      </c>
      <c r="AB87" s="104">
        <v>0</v>
      </c>
      <c r="AC87" s="104">
        <v>2</v>
      </c>
      <c r="AD87" s="104">
        <v>0</v>
      </c>
      <c r="AE87" s="104">
        <v>23</v>
      </c>
      <c r="AF87" s="104">
        <v>16</v>
      </c>
      <c r="AG87" s="104">
        <v>5</v>
      </c>
      <c r="AH87" s="104">
        <v>11</v>
      </c>
      <c r="AI87" s="104">
        <v>6</v>
      </c>
      <c r="AJ87" s="104">
        <v>2</v>
      </c>
      <c r="AK87" s="104">
        <v>5</v>
      </c>
      <c r="AL87" s="104">
        <v>3</v>
      </c>
      <c r="AM87" s="104">
        <v>1</v>
      </c>
      <c r="AN87" s="104">
        <v>5</v>
      </c>
      <c r="AO87" s="104">
        <v>5</v>
      </c>
      <c r="AP87" s="104">
        <v>3</v>
      </c>
      <c r="AQ87" s="210"/>
      <c r="AR87" s="104">
        <v>0</v>
      </c>
      <c r="AS87" s="104">
        <v>0</v>
      </c>
      <c r="AT87" s="104">
        <v>0</v>
      </c>
      <c r="AU87" s="104">
        <v>0</v>
      </c>
      <c r="AV87" s="104">
        <v>108</v>
      </c>
      <c r="AW87" s="210"/>
      <c r="AX87" s="104">
        <v>108</v>
      </c>
      <c r="AY87" s="66">
        <v>1</v>
      </c>
      <c r="AZ87" s="210"/>
      <c r="BA87" s="104">
        <v>1</v>
      </c>
      <c r="BB87" s="104">
        <v>0</v>
      </c>
      <c r="BC87" s="104">
        <v>0</v>
      </c>
      <c r="BD87" s="104">
        <v>0</v>
      </c>
      <c r="BE87" s="104">
        <v>0</v>
      </c>
      <c r="BF87" s="210"/>
      <c r="BG87" s="66">
        <v>0</v>
      </c>
      <c r="BH87" s="104">
        <v>61</v>
      </c>
      <c r="BI87" s="104">
        <v>0</v>
      </c>
      <c r="BJ87" s="104">
        <v>0</v>
      </c>
      <c r="BK87" s="104">
        <v>0</v>
      </c>
      <c r="BL87" s="104">
        <v>0</v>
      </c>
      <c r="BM87" s="104">
        <v>2</v>
      </c>
      <c r="BN87" s="104">
        <v>7156</v>
      </c>
      <c r="BO87" s="104">
        <v>0</v>
      </c>
      <c r="BP87" s="104">
        <v>3</v>
      </c>
      <c r="BQ87" s="104">
        <v>4806</v>
      </c>
      <c r="BR87" s="66">
        <v>0</v>
      </c>
      <c r="BS87" s="66">
        <v>0</v>
      </c>
      <c r="BT87" s="210"/>
      <c r="BU87" s="104"/>
      <c r="BV87" s="104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</row>
    <row r="88" spans="1:99" s="65" customFormat="1">
      <c r="A88" s="103"/>
      <c r="B88" s="66" t="s">
        <v>1468</v>
      </c>
      <c r="C88" s="104">
        <v>5</v>
      </c>
      <c r="D88" s="104">
        <v>11</v>
      </c>
      <c r="E88" s="104">
        <v>100</v>
      </c>
      <c r="F88" s="104">
        <v>61</v>
      </c>
      <c r="G88" s="104"/>
      <c r="H88" s="210"/>
      <c r="I88" s="104">
        <v>56</v>
      </c>
      <c r="J88" s="104">
        <v>2</v>
      </c>
      <c r="K88" s="104">
        <v>0</v>
      </c>
      <c r="L88" s="104">
        <v>0</v>
      </c>
      <c r="M88" s="104">
        <v>0</v>
      </c>
      <c r="N88" s="104">
        <v>0</v>
      </c>
      <c r="O88" s="104">
        <v>0</v>
      </c>
      <c r="P88" s="104">
        <v>0</v>
      </c>
      <c r="Q88" s="104">
        <v>0</v>
      </c>
      <c r="R88" s="210"/>
      <c r="S88" s="104">
        <v>17</v>
      </c>
      <c r="T88" s="104">
        <v>1</v>
      </c>
      <c r="U88" s="104">
        <v>0</v>
      </c>
      <c r="V88" s="104">
        <v>1</v>
      </c>
      <c r="W88" s="104">
        <v>38</v>
      </c>
      <c r="X88" s="104">
        <v>3</v>
      </c>
      <c r="Y88" s="210"/>
      <c r="Z88" s="104">
        <v>60</v>
      </c>
      <c r="AA88" s="104">
        <v>3</v>
      </c>
      <c r="AB88" s="104">
        <v>0</v>
      </c>
      <c r="AC88" s="104">
        <v>0</v>
      </c>
      <c r="AD88" s="104">
        <v>1</v>
      </c>
      <c r="AE88" s="104">
        <v>9</v>
      </c>
      <c r="AF88" s="104">
        <v>13</v>
      </c>
      <c r="AG88" s="104">
        <v>2</v>
      </c>
      <c r="AH88" s="104">
        <v>5</v>
      </c>
      <c r="AI88" s="104">
        <v>8</v>
      </c>
      <c r="AJ88" s="104">
        <v>0</v>
      </c>
      <c r="AK88" s="104">
        <v>0</v>
      </c>
      <c r="AL88" s="104">
        <v>4</v>
      </c>
      <c r="AM88" s="104">
        <v>0</v>
      </c>
      <c r="AN88" s="104">
        <v>0</v>
      </c>
      <c r="AO88" s="104">
        <v>1</v>
      </c>
      <c r="AP88" s="104">
        <v>1</v>
      </c>
      <c r="AQ88" s="210"/>
      <c r="AR88" s="104">
        <v>0</v>
      </c>
      <c r="AS88" s="104">
        <v>0</v>
      </c>
      <c r="AT88" s="104">
        <v>0</v>
      </c>
      <c r="AU88" s="104">
        <v>0</v>
      </c>
      <c r="AV88" s="104">
        <v>61</v>
      </c>
      <c r="AW88" s="210"/>
      <c r="AX88" s="104">
        <v>61</v>
      </c>
      <c r="AY88" s="66">
        <v>2</v>
      </c>
      <c r="AZ88" s="210"/>
      <c r="BA88" s="104">
        <v>2</v>
      </c>
      <c r="BB88" s="104">
        <v>0</v>
      </c>
      <c r="BC88" s="104">
        <v>0</v>
      </c>
      <c r="BD88" s="104">
        <v>0</v>
      </c>
      <c r="BE88" s="104">
        <v>0</v>
      </c>
      <c r="BF88" s="210"/>
      <c r="BG88" s="66">
        <v>0</v>
      </c>
      <c r="BH88" s="104">
        <v>29</v>
      </c>
      <c r="BI88" s="104">
        <v>1</v>
      </c>
      <c r="BJ88" s="104">
        <v>0</v>
      </c>
      <c r="BK88" s="104">
        <v>0</v>
      </c>
      <c r="BL88" s="104">
        <v>0</v>
      </c>
      <c r="BM88" s="104">
        <v>0</v>
      </c>
      <c r="BN88" s="104">
        <v>0</v>
      </c>
      <c r="BO88" s="104">
        <v>0</v>
      </c>
      <c r="BP88" s="104">
        <v>0</v>
      </c>
      <c r="BQ88" s="104">
        <v>0</v>
      </c>
      <c r="BR88" s="66">
        <v>0</v>
      </c>
      <c r="BS88" s="66">
        <v>0</v>
      </c>
      <c r="BT88" s="210"/>
      <c r="BU88" s="104"/>
      <c r="BV88" s="104"/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04"/>
      <c r="CI88" s="104"/>
      <c r="CJ88" s="104"/>
      <c r="CK88" s="104"/>
      <c r="CL88" s="104"/>
      <c r="CM88" s="104"/>
      <c r="CN88" s="104"/>
      <c r="CO88" s="104"/>
      <c r="CP88" s="104"/>
      <c r="CQ88" s="104"/>
      <c r="CR88" s="104"/>
      <c r="CS88" s="104"/>
      <c r="CT88" s="104"/>
      <c r="CU88" s="104"/>
    </row>
    <row r="89" spans="1:99" s="65" customFormat="1">
      <c r="A89" s="103"/>
      <c r="B89" s="23" t="s">
        <v>1469</v>
      </c>
      <c r="C89" s="104">
        <v>0</v>
      </c>
      <c r="D89" s="104">
        <v>0</v>
      </c>
      <c r="E89" s="104">
        <v>11</v>
      </c>
      <c r="F89" s="104">
        <v>11</v>
      </c>
      <c r="G89" s="104"/>
      <c r="H89" s="210"/>
      <c r="I89" s="104">
        <v>11</v>
      </c>
      <c r="J89" s="104">
        <v>0</v>
      </c>
      <c r="K89" s="104">
        <v>0</v>
      </c>
      <c r="L89" s="104">
        <v>0</v>
      </c>
      <c r="M89" s="104">
        <v>0</v>
      </c>
      <c r="N89" s="104">
        <v>0</v>
      </c>
      <c r="O89" s="104">
        <v>0</v>
      </c>
      <c r="P89" s="104">
        <v>0</v>
      </c>
      <c r="Q89" s="104">
        <v>0</v>
      </c>
      <c r="R89" s="210"/>
      <c r="S89" s="104">
        <v>0</v>
      </c>
      <c r="T89" s="104">
        <v>0</v>
      </c>
      <c r="U89" s="104">
        <v>0</v>
      </c>
      <c r="V89" s="104">
        <v>0</v>
      </c>
      <c r="W89" s="104">
        <v>11</v>
      </c>
      <c r="X89" s="104">
        <v>0</v>
      </c>
      <c r="Y89" s="210"/>
      <c r="Z89" s="104">
        <v>11</v>
      </c>
      <c r="AA89" s="104">
        <v>0</v>
      </c>
      <c r="AB89" s="104">
        <v>0</v>
      </c>
      <c r="AC89" s="104">
        <v>0</v>
      </c>
      <c r="AD89" s="104">
        <v>0</v>
      </c>
      <c r="AE89" s="104">
        <v>0</v>
      </c>
      <c r="AF89" s="104">
        <v>0</v>
      </c>
      <c r="AG89" s="104">
        <v>0</v>
      </c>
      <c r="AH89" s="104">
        <v>0</v>
      </c>
      <c r="AI89" s="104">
        <v>0</v>
      </c>
      <c r="AJ89" s="104">
        <v>0</v>
      </c>
      <c r="AK89" s="104">
        <v>0</v>
      </c>
      <c r="AL89" s="104">
        <v>0</v>
      </c>
      <c r="AM89" s="104">
        <v>0</v>
      </c>
      <c r="AN89" s="104">
        <v>0</v>
      </c>
      <c r="AO89" s="104">
        <v>0</v>
      </c>
      <c r="AP89" s="104">
        <v>0</v>
      </c>
      <c r="AQ89" s="210"/>
      <c r="AR89" s="104">
        <v>0</v>
      </c>
      <c r="AS89" s="104">
        <v>0</v>
      </c>
      <c r="AT89" s="104">
        <v>0</v>
      </c>
      <c r="AU89" s="104">
        <v>0</v>
      </c>
      <c r="AV89" s="104">
        <v>11</v>
      </c>
      <c r="AW89" s="210"/>
      <c r="AX89" s="104">
        <v>11</v>
      </c>
      <c r="AY89" s="66">
        <v>0</v>
      </c>
      <c r="AZ89" s="210"/>
      <c r="BA89" s="104">
        <v>0</v>
      </c>
      <c r="BB89" s="104">
        <v>0</v>
      </c>
      <c r="BC89" s="104">
        <v>0</v>
      </c>
      <c r="BD89" s="104">
        <v>0</v>
      </c>
      <c r="BE89" s="104">
        <v>0</v>
      </c>
      <c r="BF89" s="210"/>
      <c r="BG89" s="66">
        <v>0</v>
      </c>
      <c r="BH89" s="104">
        <v>1</v>
      </c>
      <c r="BI89" s="104">
        <v>0</v>
      </c>
      <c r="BJ89" s="104">
        <v>0</v>
      </c>
      <c r="BK89" s="104">
        <v>0</v>
      </c>
      <c r="BL89" s="104">
        <v>0</v>
      </c>
      <c r="BM89" s="104">
        <v>0</v>
      </c>
      <c r="BN89" s="104">
        <v>0</v>
      </c>
      <c r="BO89" s="104">
        <v>0</v>
      </c>
      <c r="BP89" s="104">
        <v>0</v>
      </c>
      <c r="BQ89" s="104">
        <v>0</v>
      </c>
      <c r="BR89" s="66">
        <v>0</v>
      </c>
      <c r="BS89" s="66">
        <v>0</v>
      </c>
      <c r="BT89" s="210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</row>
    <row r="90" spans="1:99" s="65" customFormat="1">
      <c r="A90" s="103"/>
      <c r="B90" s="66" t="s">
        <v>1470</v>
      </c>
      <c r="C90" s="105">
        <v>35</v>
      </c>
      <c r="D90" s="104">
        <v>290</v>
      </c>
      <c r="E90" s="66">
        <v>909</v>
      </c>
      <c r="F90" s="104">
        <v>332</v>
      </c>
      <c r="G90" s="104">
        <v>9</v>
      </c>
      <c r="H90" s="210"/>
      <c r="I90" s="104">
        <v>297</v>
      </c>
      <c r="J90" s="104">
        <v>22</v>
      </c>
      <c r="K90" s="104">
        <v>9</v>
      </c>
      <c r="L90" s="105">
        <v>4</v>
      </c>
      <c r="M90" s="104">
        <v>0</v>
      </c>
      <c r="N90" s="104">
        <v>0</v>
      </c>
      <c r="O90" s="104">
        <v>0</v>
      </c>
      <c r="P90" s="104">
        <v>0</v>
      </c>
      <c r="Q90" s="104">
        <v>0</v>
      </c>
      <c r="R90" s="210"/>
      <c r="S90" s="104">
        <v>110</v>
      </c>
      <c r="T90" s="104">
        <v>10</v>
      </c>
      <c r="U90" s="104">
        <v>24</v>
      </c>
      <c r="V90" s="104">
        <v>18</v>
      </c>
      <c r="W90" s="104">
        <v>166</v>
      </c>
      <c r="X90" s="105">
        <v>11</v>
      </c>
      <c r="Y90" s="210"/>
      <c r="Z90" s="104">
        <v>339</v>
      </c>
      <c r="AA90" s="104">
        <v>10</v>
      </c>
      <c r="AB90" s="104">
        <v>3</v>
      </c>
      <c r="AC90" s="104">
        <v>15</v>
      </c>
      <c r="AD90" s="104">
        <v>19</v>
      </c>
      <c r="AE90" s="104">
        <v>109</v>
      </c>
      <c r="AF90" s="104">
        <v>149</v>
      </c>
      <c r="AG90" s="104">
        <v>36</v>
      </c>
      <c r="AH90" s="104">
        <v>93</v>
      </c>
      <c r="AI90" s="104">
        <v>88</v>
      </c>
      <c r="AJ90" s="104">
        <v>26</v>
      </c>
      <c r="AK90" s="104">
        <v>32</v>
      </c>
      <c r="AL90" s="104">
        <v>52</v>
      </c>
      <c r="AM90" s="104">
        <v>11</v>
      </c>
      <c r="AN90" s="104">
        <v>32</v>
      </c>
      <c r="AO90" s="104">
        <v>33</v>
      </c>
      <c r="AP90" s="104">
        <v>17</v>
      </c>
      <c r="AQ90" s="210"/>
      <c r="AR90" s="104">
        <v>0</v>
      </c>
      <c r="AS90" s="104">
        <v>0</v>
      </c>
      <c r="AT90" s="104">
        <v>0</v>
      </c>
      <c r="AU90" s="105">
        <v>1</v>
      </c>
      <c r="AV90" s="104">
        <v>331</v>
      </c>
      <c r="AW90" s="210"/>
      <c r="AX90" s="104">
        <v>332</v>
      </c>
      <c r="AY90" s="106">
        <v>7</v>
      </c>
      <c r="AZ90" s="210"/>
      <c r="BA90" s="104">
        <v>6</v>
      </c>
      <c r="BB90" s="105">
        <v>1</v>
      </c>
      <c r="BC90" s="104">
        <v>0</v>
      </c>
      <c r="BD90" s="104">
        <v>0</v>
      </c>
      <c r="BE90" s="105">
        <v>1</v>
      </c>
      <c r="BF90" s="210"/>
      <c r="BG90" s="66">
        <v>0</v>
      </c>
      <c r="BH90" s="104">
        <v>434</v>
      </c>
      <c r="BI90" s="104">
        <v>1</v>
      </c>
      <c r="BJ90" s="104">
        <v>0</v>
      </c>
      <c r="BK90" s="104">
        <v>13</v>
      </c>
      <c r="BL90" s="104">
        <v>5680</v>
      </c>
      <c r="BM90" s="104">
        <v>13</v>
      </c>
      <c r="BN90" s="104">
        <v>8304</v>
      </c>
      <c r="BO90" s="104">
        <v>0</v>
      </c>
      <c r="BP90" s="104">
        <v>10</v>
      </c>
      <c r="BQ90" s="104">
        <v>3797</v>
      </c>
      <c r="BR90" s="66">
        <v>0</v>
      </c>
      <c r="BS90" s="66">
        <v>0</v>
      </c>
      <c r="BT90" s="210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</row>
    <row r="91" spans="1:99" s="65" customFormat="1">
      <c r="A91" s="122"/>
      <c r="B91" s="57" t="s">
        <v>1471</v>
      </c>
      <c r="C91" s="104"/>
      <c r="D91" s="104"/>
      <c r="E91" s="104"/>
      <c r="F91" s="104"/>
      <c r="G91" s="104" t="s">
        <v>1472</v>
      </c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66"/>
      <c r="AZ91" s="104"/>
      <c r="BA91" s="104"/>
      <c r="BB91" s="104"/>
      <c r="BC91" s="104"/>
      <c r="BD91" s="104"/>
      <c r="BE91" s="104"/>
      <c r="BF91" s="104"/>
      <c r="BG91" s="66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66"/>
      <c r="BS91" s="66"/>
      <c r="BT91" s="104"/>
      <c r="BU91" s="104"/>
      <c r="BV91" s="104"/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/>
      <c r="CJ91" s="104"/>
      <c r="CK91" s="104"/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</row>
    <row r="92" spans="1:99" s="65" customFormat="1">
      <c r="A92" s="122"/>
      <c r="B92" s="57" t="s">
        <v>1473</v>
      </c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66"/>
      <c r="AZ92" s="104"/>
      <c r="BA92" s="104"/>
      <c r="BB92" s="104"/>
      <c r="BC92" s="104"/>
      <c r="BD92" s="104"/>
      <c r="BE92" s="104"/>
      <c r="BF92" s="104"/>
      <c r="BG92" s="66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66"/>
      <c r="BS92" s="66"/>
      <c r="BT92" s="104"/>
      <c r="BU92" s="104"/>
      <c r="BV92" s="104"/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/>
      <c r="CJ92" s="104"/>
      <c r="CK92" s="104"/>
      <c r="CL92" s="104"/>
      <c r="CM92" s="104"/>
      <c r="CN92" s="104"/>
      <c r="CO92" s="104"/>
      <c r="CP92" s="104"/>
      <c r="CQ92" s="104"/>
      <c r="CR92" s="104"/>
      <c r="CS92" s="104"/>
      <c r="CT92" s="104"/>
      <c r="CU92" s="104"/>
    </row>
    <row r="93" spans="1:99" s="65" customFormat="1">
      <c r="A93" s="122"/>
      <c r="B93" s="66" t="s">
        <v>1474</v>
      </c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66"/>
      <c r="AZ93" s="104"/>
      <c r="BA93" s="104"/>
      <c r="BB93" s="104"/>
      <c r="BC93" s="104"/>
      <c r="BD93" s="104"/>
      <c r="BE93" s="104"/>
      <c r="BF93" s="104"/>
      <c r="BG93" s="66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66"/>
      <c r="BS93" s="66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4"/>
      <c r="CP93" s="104"/>
      <c r="CQ93" s="104"/>
      <c r="CR93" s="104"/>
      <c r="CS93" s="104"/>
      <c r="CT93" s="104"/>
      <c r="CU93" s="104"/>
    </row>
    <row r="94" spans="1:99" s="65" customFormat="1">
      <c r="A94" s="122"/>
      <c r="B94" s="66" t="s">
        <v>1475</v>
      </c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66"/>
      <c r="AZ94" s="104"/>
      <c r="BA94" s="104"/>
      <c r="BB94" s="104"/>
      <c r="BC94" s="104"/>
      <c r="BD94" s="104"/>
      <c r="BE94" s="104"/>
      <c r="BF94" s="104"/>
      <c r="BG94" s="66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66"/>
      <c r="BS94" s="66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</row>
    <row r="95" spans="1:99" s="65" customFormat="1">
      <c r="A95" s="122"/>
      <c r="B95" s="66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66"/>
      <c r="AZ95" s="104"/>
      <c r="BA95" s="104"/>
      <c r="BB95" s="104"/>
      <c r="BC95" s="104"/>
      <c r="BD95" s="104"/>
      <c r="BE95" s="104"/>
      <c r="BF95" s="104"/>
      <c r="BG95" s="66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66"/>
      <c r="BS95" s="66"/>
      <c r="BT95" s="104"/>
      <c r="BU95" s="104"/>
      <c r="BV95" s="104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</row>
    <row r="96" spans="1:99" s="65" customFormat="1">
      <c r="A96" s="122"/>
      <c r="B96" s="66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66"/>
      <c r="AZ96" s="104"/>
      <c r="BA96" s="104"/>
      <c r="BB96" s="104"/>
      <c r="BC96" s="104"/>
      <c r="BD96" s="104"/>
      <c r="BE96" s="104"/>
      <c r="BF96" s="104"/>
      <c r="BG96" s="66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66"/>
      <c r="BS96" s="66"/>
      <c r="BT96" s="104"/>
      <c r="BU96" s="104"/>
      <c r="BV96" s="104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</row>
    <row r="97" spans="1:100" s="65" customFormat="1">
      <c r="A97" s="122"/>
      <c r="B97" s="66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66"/>
      <c r="AZ97" s="104"/>
      <c r="BA97" s="104"/>
      <c r="BB97" s="104"/>
      <c r="BC97" s="104"/>
      <c r="BD97" s="104"/>
      <c r="BE97" s="104"/>
      <c r="BF97" s="104"/>
      <c r="BG97" s="66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66"/>
      <c r="BS97" s="66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</row>
    <row r="98" spans="1:100" s="126" customFormat="1" ht="21">
      <c r="A98" s="123"/>
      <c r="B98" s="124" t="s">
        <v>1476</v>
      </c>
      <c r="C98" s="125">
        <f>SUM(C81:C90)</f>
        <v>100</v>
      </c>
      <c r="D98" s="125">
        <f>SUM(D81:D90)</f>
        <v>858</v>
      </c>
      <c r="E98" s="125">
        <f>SUM(E81:E90)</f>
        <v>2855</v>
      </c>
      <c r="F98" s="125">
        <f>SUM(F81:F90)</f>
        <v>1086</v>
      </c>
      <c r="G98" s="125"/>
      <c r="H98" s="123"/>
      <c r="I98" s="125">
        <f t="shared" ref="I98:Q98" si="13">SUM(I81:I90)</f>
        <v>972</v>
      </c>
      <c r="J98" s="125">
        <f t="shared" si="13"/>
        <v>71</v>
      </c>
      <c r="K98" s="125">
        <f t="shared" si="13"/>
        <v>24</v>
      </c>
      <c r="L98" s="125">
        <f t="shared" si="13"/>
        <v>9</v>
      </c>
      <c r="M98" s="125">
        <f t="shared" si="13"/>
        <v>0</v>
      </c>
      <c r="N98" s="125">
        <f t="shared" si="13"/>
        <v>0</v>
      </c>
      <c r="O98" s="125">
        <f t="shared" si="13"/>
        <v>0</v>
      </c>
      <c r="P98" s="125">
        <f t="shared" si="13"/>
        <v>0</v>
      </c>
      <c r="Q98" s="125">
        <f t="shared" si="13"/>
        <v>0</v>
      </c>
      <c r="R98" s="123"/>
      <c r="S98" s="125">
        <f t="shared" ref="S98:X98" si="14">SUM(S81:S90)</f>
        <v>368</v>
      </c>
      <c r="T98" s="125">
        <f t="shared" si="14"/>
        <v>23</v>
      </c>
      <c r="U98" s="125">
        <f t="shared" si="14"/>
        <v>35</v>
      </c>
      <c r="V98" s="125">
        <f t="shared" si="14"/>
        <v>30</v>
      </c>
      <c r="W98" s="125">
        <f t="shared" si="14"/>
        <v>606</v>
      </c>
      <c r="X98" s="125">
        <f t="shared" si="14"/>
        <v>38</v>
      </c>
      <c r="Y98" s="123"/>
      <c r="Z98" s="125">
        <f t="shared" ref="Z98:AP98" si="15">SUM(Z81:Z90)</f>
        <v>1115</v>
      </c>
      <c r="AA98" s="125">
        <f t="shared" si="15"/>
        <v>27</v>
      </c>
      <c r="AB98" s="125">
        <f t="shared" si="15"/>
        <v>8</v>
      </c>
      <c r="AC98" s="125">
        <f t="shared" si="15"/>
        <v>29</v>
      </c>
      <c r="AD98" s="125">
        <f t="shared" si="15"/>
        <v>69</v>
      </c>
      <c r="AE98" s="125">
        <f t="shared" si="15"/>
        <v>338</v>
      </c>
      <c r="AF98" s="125">
        <f t="shared" si="15"/>
        <v>433</v>
      </c>
      <c r="AG98" s="125">
        <f t="shared" si="15"/>
        <v>98</v>
      </c>
      <c r="AH98" s="125">
        <f t="shared" si="15"/>
        <v>293</v>
      </c>
      <c r="AI98" s="125">
        <f t="shared" si="15"/>
        <v>246</v>
      </c>
      <c r="AJ98" s="125">
        <f t="shared" si="15"/>
        <v>73</v>
      </c>
      <c r="AK98" s="125">
        <f t="shared" si="15"/>
        <v>91</v>
      </c>
      <c r="AL98" s="125">
        <f t="shared" si="15"/>
        <v>147</v>
      </c>
      <c r="AM98" s="125">
        <f t="shared" si="15"/>
        <v>29</v>
      </c>
      <c r="AN98" s="125">
        <f t="shared" si="15"/>
        <v>92</v>
      </c>
      <c r="AO98" s="125">
        <f t="shared" si="15"/>
        <v>82</v>
      </c>
      <c r="AP98" s="125">
        <f t="shared" si="15"/>
        <v>43</v>
      </c>
      <c r="AQ98" s="123"/>
      <c r="AR98" s="125">
        <f>SUM(AR81:AR90)</f>
        <v>0</v>
      </c>
      <c r="AS98" s="125">
        <f>SUM(AS81:AS90)</f>
        <v>0</v>
      </c>
      <c r="AT98" s="125">
        <f>SUM(AT81:AT90)</f>
        <v>0</v>
      </c>
      <c r="AU98" s="125">
        <f>SUM(AU81:AU90)</f>
        <v>1</v>
      </c>
      <c r="AV98" s="125">
        <f>SUM(AV81:AV90)</f>
        <v>1085</v>
      </c>
      <c r="AW98" s="123"/>
      <c r="AX98" s="125">
        <f>SUM(AX81:AX90)</f>
        <v>1086</v>
      </c>
      <c r="AY98" s="125">
        <f>SUM(AY81:AY90)</f>
        <v>21</v>
      </c>
      <c r="AZ98" s="123"/>
      <c r="BA98" s="125">
        <f>SUM(AZ81:AZ90)</f>
        <v>0</v>
      </c>
      <c r="BB98" s="125">
        <f>SUM(BA81:BA90)</f>
        <v>19</v>
      </c>
      <c r="BC98" s="125">
        <f>SUM(BC81:BC90)</f>
        <v>0</v>
      </c>
      <c r="BD98" s="125">
        <f>SUM(BD81:BD90)</f>
        <v>0</v>
      </c>
      <c r="BE98" s="125">
        <f>SUM(BE81:BE90)</f>
        <v>1</v>
      </c>
      <c r="BF98" s="123"/>
      <c r="BG98" s="125">
        <f t="shared" ref="BG98:BS98" si="16">SUM(BG81:BG90)</f>
        <v>1</v>
      </c>
      <c r="BH98" s="125">
        <f t="shared" si="16"/>
        <v>1399</v>
      </c>
      <c r="BI98" s="125">
        <f t="shared" si="16"/>
        <v>4</v>
      </c>
      <c r="BJ98" s="125">
        <f t="shared" si="16"/>
        <v>0</v>
      </c>
      <c r="BK98" s="125">
        <f t="shared" si="16"/>
        <v>20</v>
      </c>
      <c r="BL98" s="125">
        <f t="shared" si="16"/>
        <v>10122</v>
      </c>
      <c r="BM98" s="125">
        <f t="shared" si="16"/>
        <v>35</v>
      </c>
      <c r="BN98" s="125">
        <f t="shared" si="16"/>
        <v>29696</v>
      </c>
      <c r="BO98" s="125">
        <f t="shared" si="16"/>
        <v>2</v>
      </c>
      <c r="BP98" s="125">
        <f t="shared" si="16"/>
        <v>19</v>
      </c>
      <c r="BQ98" s="125">
        <f t="shared" si="16"/>
        <v>11182</v>
      </c>
      <c r="BR98" s="125">
        <f t="shared" si="16"/>
        <v>0</v>
      </c>
      <c r="BS98" s="125">
        <f t="shared" si="16"/>
        <v>0</v>
      </c>
      <c r="BT98" s="123"/>
      <c r="BU98" s="127"/>
      <c r="BV98" s="127"/>
      <c r="BW98" s="127"/>
      <c r="BX98" s="127"/>
      <c r="BY98" s="127"/>
      <c r="BZ98" s="127"/>
      <c r="CA98" s="127"/>
      <c r="CB98" s="127"/>
      <c r="CC98" s="127"/>
      <c r="CD98" s="127"/>
      <c r="CE98" s="127"/>
      <c r="CF98" s="127"/>
      <c r="CG98" s="127"/>
      <c r="CH98" s="127"/>
      <c r="CI98" s="127"/>
      <c r="CJ98" s="127"/>
      <c r="CK98" s="127"/>
      <c r="CL98" s="127"/>
      <c r="CM98" s="127"/>
      <c r="CN98" s="127"/>
      <c r="CO98" s="127"/>
      <c r="CP98" s="127"/>
      <c r="CQ98" s="127"/>
      <c r="CR98" s="127"/>
      <c r="CS98" s="127"/>
      <c r="CT98" s="128"/>
      <c r="CU98" s="128"/>
      <c r="CV98" s="128"/>
    </row>
    <row r="99" spans="1:100" s="104" customFormat="1">
      <c r="B99" s="121"/>
      <c r="C99" s="121"/>
      <c r="D99" s="121"/>
      <c r="E99" s="121"/>
      <c r="F99" s="121"/>
      <c r="G99" s="121"/>
      <c r="I99" s="121"/>
      <c r="J99" s="121"/>
      <c r="K99" s="121"/>
      <c r="L99" s="121"/>
      <c r="M99" s="121"/>
      <c r="N99" s="121"/>
      <c r="O99" s="121"/>
      <c r="P99" s="121"/>
      <c r="Q99" s="121"/>
      <c r="S99" s="121"/>
      <c r="T99" s="121"/>
      <c r="U99" s="121"/>
      <c r="V99" s="121"/>
      <c r="W99" s="121"/>
      <c r="X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R99" s="121"/>
      <c r="AS99" s="121"/>
      <c r="AT99" s="121"/>
      <c r="AU99" s="121"/>
      <c r="AV99" s="121"/>
      <c r="AX99" s="121"/>
      <c r="AY99" s="121"/>
      <c r="BA99" s="121"/>
      <c r="BB99" s="121"/>
      <c r="BC99" s="121"/>
      <c r="BD99" s="121"/>
      <c r="BE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5"/>
      <c r="CU99" s="65"/>
      <c r="CV99" s="65"/>
    </row>
    <row r="100" spans="1:100" s="104" customFormat="1">
      <c r="B100" s="129"/>
      <c r="BP100" s="9"/>
      <c r="BR100" s="9"/>
    </row>
    <row r="101" spans="1:100" s="130" customFormat="1" ht="21">
      <c r="A101" s="124"/>
      <c r="B101" s="124" t="s">
        <v>1477</v>
      </c>
      <c r="C101" s="124">
        <f>SUM(C78, C98)</f>
        <v>637</v>
      </c>
      <c r="D101" s="124">
        <f>SUM(D78, D98)</f>
        <v>6756</v>
      </c>
      <c r="E101" s="124">
        <f>SUM(E78, E98)</f>
        <v>28868</v>
      </c>
      <c r="F101" s="124">
        <f>SUM(F78, F98)</f>
        <v>15133</v>
      </c>
      <c r="G101" s="124"/>
      <c r="H101" s="124"/>
      <c r="I101" s="124">
        <f t="shared" ref="I101:Q101" si="17">SUM(I78, I98)</f>
        <v>14128</v>
      </c>
      <c r="J101" s="124">
        <f t="shared" si="17"/>
        <v>526</v>
      </c>
      <c r="K101" s="124">
        <f t="shared" si="17"/>
        <v>208</v>
      </c>
      <c r="L101" s="124">
        <f t="shared" si="17"/>
        <v>95</v>
      </c>
      <c r="M101" s="124">
        <f t="shared" si="17"/>
        <v>8</v>
      </c>
      <c r="N101" s="124">
        <f t="shared" si="17"/>
        <v>2</v>
      </c>
      <c r="O101" s="124">
        <f t="shared" si="17"/>
        <v>0</v>
      </c>
      <c r="P101" s="124">
        <f t="shared" si="17"/>
        <v>0</v>
      </c>
      <c r="Q101" s="124">
        <f t="shared" si="17"/>
        <v>0</v>
      </c>
      <c r="R101" s="124"/>
      <c r="S101" s="124">
        <f t="shared" ref="S101:X101" si="18">SUM(S78, S98)</f>
        <v>2423</v>
      </c>
      <c r="T101" s="124">
        <f t="shared" si="18"/>
        <v>76</v>
      </c>
      <c r="U101" s="124">
        <f t="shared" si="18"/>
        <v>2399</v>
      </c>
      <c r="V101" s="124">
        <f t="shared" si="18"/>
        <v>349</v>
      </c>
      <c r="W101" s="124">
        <f t="shared" si="18"/>
        <v>8078</v>
      </c>
      <c r="X101" s="124">
        <f t="shared" si="18"/>
        <v>371</v>
      </c>
      <c r="Y101" s="124"/>
      <c r="Z101" s="124">
        <f t="shared" ref="Z101:AP101" si="19">SUM(Z78, Z98)</f>
        <v>15562</v>
      </c>
      <c r="AA101" s="124">
        <f t="shared" si="19"/>
        <v>464</v>
      </c>
      <c r="AB101" s="124">
        <f t="shared" si="19"/>
        <v>74</v>
      </c>
      <c r="AC101" s="124">
        <f t="shared" si="19"/>
        <v>355</v>
      </c>
      <c r="AD101" s="124">
        <f t="shared" si="19"/>
        <v>445</v>
      </c>
      <c r="AE101" s="124">
        <f t="shared" si="19"/>
        <v>2179</v>
      </c>
      <c r="AF101" s="124">
        <f t="shared" si="19"/>
        <v>2684</v>
      </c>
      <c r="AG101" s="124">
        <f t="shared" si="19"/>
        <v>705</v>
      </c>
      <c r="AH101" s="124">
        <f t="shared" si="19"/>
        <v>2524</v>
      </c>
      <c r="AI101" s="124">
        <f t="shared" si="19"/>
        <v>2033</v>
      </c>
      <c r="AJ101" s="124">
        <f t="shared" si="19"/>
        <v>453</v>
      </c>
      <c r="AK101" s="124">
        <f t="shared" si="19"/>
        <v>718</v>
      </c>
      <c r="AL101" s="124">
        <f t="shared" si="19"/>
        <v>1450</v>
      </c>
      <c r="AM101" s="124">
        <f t="shared" si="19"/>
        <v>286</v>
      </c>
      <c r="AN101" s="124">
        <f t="shared" si="19"/>
        <v>734</v>
      </c>
      <c r="AO101" s="124">
        <f t="shared" si="19"/>
        <v>549</v>
      </c>
      <c r="AP101" s="124">
        <f t="shared" si="19"/>
        <v>514</v>
      </c>
      <c r="AQ101" s="124"/>
      <c r="AR101" s="124">
        <f>SUM(AR78, AR98)</f>
        <v>7</v>
      </c>
      <c r="AS101" s="124">
        <f>SUM(AS78, AS98)</f>
        <v>73</v>
      </c>
      <c r="AT101" s="124">
        <f>SUM(AT78, AT98)</f>
        <v>31</v>
      </c>
      <c r="AU101" s="124">
        <f>SUM(AU78, AU98)</f>
        <v>23</v>
      </c>
      <c r="AV101" s="124">
        <f>SUM(AV78, AV98)</f>
        <v>12379</v>
      </c>
      <c r="AW101" s="124"/>
      <c r="AX101" s="124">
        <f>SUM(AX78, AX98)</f>
        <v>15133</v>
      </c>
      <c r="AY101" s="124">
        <f>SUM(AY78, AY98)</f>
        <v>210</v>
      </c>
      <c r="AZ101" s="124"/>
      <c r="BA101" s="124">
        <f>SUM(BA78, BA98)</f>
        <v>153</v>
      </c>
      <c r="BB101" s="124">
        <f>SUM(BB78, BB98)</f>
        <v>50</v>
      </c>
      <c r="BC101" s="124">
        <f>SUM(BC78, BC98)</f>
        <v>4</v>
      </c>
      <c r="BD101" s="124">
        <f>SUM(BD78, BD98)</f>
        <v>9</v>
      </c>
      <c r="BE101" s="124">
        <f>SUM(BE78, BE98)</f>
        <v>10</v>
      </c>
      <c r="BF101" s="124"/>
      <c r="BG101" s="124">
        <f t="shared" ref="BG101:BS101" si="20">SUM(BG78, BG98)</f>
        <v>54</v>
      </c>
      <c r="BH101" s="124">
        <f t="shared" si="20"/>
        <v>10727</v>
      </c>
      <c r="BI101" s="124">
        <f t="shared" si="20"/>
        <v>145</v>
      </c>
      <c r="BJ101" s="124">
        <f t="shared" si="20"/>
        <v>13</v>
      </c>
      <c r="BK101" s="124">
        <f t="shared" si="20"/>
        <v>431</v>
      </c>
      <c r="BL101" s="124">
        <f t="shared" si="20"/>
        <v>632848</v>
      </c>
      <c r="BM101" s="124">
        <f t="shared" si="20"/>
        <v>1151</v>
      </c>
      <c r="BN101" s="124">
        <f t="shared" si="20"/>
        <v>1552008</v>
      </c>
      <c r="BO101" s="124">
        <f t="shared" si="20"/>
        <v>63</v>
      </c>
      <c r="BP101" s="124">
        <f t="shared" si="20"/>
        <v>367</v>
      </c>
      <c r="BQ101" s="124">
        <f t="shared" si="20"/>
        <v>390117</v>
      </c>
      <c r="BR101" s="124">
        <f t="shared" si="20"/>
        <v>16</v>
      </c>
      <c r="BS101" s="124">
        <f t="shared" si="20"/>
        <v>5069</v>
      </c>
      <c r="BT101" s="124"/>
    </row>
    <row r="102" spans="1:100" s="104" customFormat="1" ht="19">
      <c r="B102" s="129"/>
      <c r="L102" s="131"/>
      <c r="W102" s="120" t="s">
        <v>1478</v>
      </c>
      <c r="BG102" s="132"/>
      <c r="BI102" s="132"/>
      <c r="BM102" s="9"/>
    </row>
    <row r="103" spans="1:100" s="104" customFormat="1">
      <c r="B103" s="129"/>
      <c r="W103" s="120" t="s">
        <v>1479</v>
      </c>
      <c r="BK103" s="9"/>
      <c r="BM103" s="9"/>
    </row>
    <row r="104" spans="1:100" s="104" customFormat="1">
      <c r="B104" s="129"/>
      <c r="W104" s="120"/>
      <c r="BK104" s="9"/>
      <c r="BM104" s="9"/>
    </row>
    <row r="105" spans="1:100" s="42" customFormat="1">
      <c r="B105" s="41"/>
      <c r="C105" s="42" t="s">
        <v>191</v>
      </c>
      <c r="G105" s="42" t="s">
        <v>1383</v>
      </c>
      <c r="S105" s="41" t="s">
        <v>192</v>
      </c>
      <c r="Z105" s="41" t="s">
        <v>1384</v>
      </c>
      <c r="AA105" s="41"/>
      <c r="AB105" s="41"/>
      <c r="AC105" s="41"/>
      <c r="AD105" s="41"/>
      <c r="AR105" s="41" t="s">
        <v>1385</v>
      </c>
      <c r="AY105" s="42" t="s">
        <v>124</v>
      </c>
      <c r="BA105" s="41" t="s">
        <v>1386</v>
      </c>
      <c r="BG105" s="42" t="s">
        <v>1387</v>
      </c>
      <c r="BH105" s="42" t="s">
        <v>1388</v>
      </c>
    </row>
    <row r="106" spans="1:100" s="42" customFormat="1">
      <c r="B106" s="41"/>
      <c r="C106" s="42" t="s">
        <v>1389</v>
      </c>
      <c r="D106" s="42" t="s">
        <v>191</v>
      </c>
      <c r="E106" s="42" t="s">
        <v>124</v>
      </c>
      <c r="F106" s="42" t="s">
        <v>124</v>
      </c>
      <c r="G106" s="42" t="s">
        <v>1390</v>
      </c>
      <c r="I106" s="43" t="s">
        <v>194</v>
      </c>
      <c r="J106" s="44"/>
      <c r="K106" s="44"/>
      <c r="L106" s="44"/>
      <c r="S106" s="44" t="s">
        <v>20</v>
      </c>
      <c r="T106" s="44"/>
      <c r="U106" s="44"/>
      <c r="V106" s="44"/>
      <c r="W106" s="44"/>
      <c r="X106" s="44"/>
      <c r="Z106" s="42" t="s">
        <v>195</v>
      </c>
      <c r="AA106" s="42" t="s">
        <v>196</v>
      </c>
      <c r="AB106" s="42" t="s">
        <v>197</v>
      </c>
      <c r="AC106" s="42" t="s">
        <v>198</v>
      </c>
      <c r="AD106" s="42" t="s">
        <v>199</v>
      </c>
      <c r="AE106" s="42" t="s">
        <v>14</v>
      </c>
      <c r="AF106" s="42" t="s">
        <v>200</v>
      </c>
      <c r="AI106" s="42" t="s">
        <v>201</v>
      </c>
      <c r="AJ106" s="42" t="s">
        <v>202</v>
      </c>
      <c r="AK106" s="42" t="s">
        <v>203</v>
      </c>
      <c r="AL106" s="42" t="s">
        <v>204</v>
      </c>
      <c r="AN106" s="42" t="s">
        <v>205</v>
      </c>
      <c r="AP106" s="42" t="s">
        <v>206</v>
      </c>
      <c r="AR106" s="41" t="s">
        <v>207</v>
      </c>
      <c r="AX106" s="42" t="s">
        <v>124</v>
      </c>
      <c r="AY106" s="42" t="s">
        <v>1391</v>
      </c>
      <c r="BA106" s="46" t="s">
        <v>209</v>
      </c>
      <c r="BB106" s="46" t="s">
        <v>210</v>
      </c>
      <c r="BC106" s="46" t="s">
        <v>211</v>
      </c>
      <c r="BD106" s="46" t="s">
        <v>212</v>
      </c>
      <c r="BE106" s="46" t="s">
        <v>213</v>
      </c>
      <c r="BG106" s="42" t="s">
        <v>1392</v>
      </c>
      <c r="BH106" s="42" t="s">
        <v>38</v>
      </c>
      <c r="BI106" s="42" t="s">
        <v>40</v>
      </c>
      <c r="BJ106" s="42" t="s">
        <v>21</v>
      </c>
      <c r="BK106" s="42" t="s">
        <v>21</v>
      </c>
      <c r="BL106" s="42" t="s">
        <v>21</v>
      </c>
      <c r="BM106" s="42" t="s">
        <v>22</v>
      </c>
      <c r="BN106" s="42" t="s">
        <v>22</v>
      </c>
      <c r="BP106" s="42" t="s">
        <v>23</v>
      </c>
      <c r="BQ106" s="42" t="s">
        <v>23</v>
      </c>
      <c r="BR106" s="42" t="s">
        <v>24</v>
      </c>
      <c r="BS106" s="42" t="s">
        <v>24</v>
      </c>
    </row>
    <row r="107" spans="1:100" s="53" customFormat="1" ht="17" thickBot="1">
      <c r="B107" s="53" t="s">
        <v>34</v>
      </c>
      <c r="C107" s="53" t="s">
        <v>1393</v>
      </c>
      <c r="D107" s="53" t="s">
        <v>216</v>
      </c>
      <c r="E107" s="53" t="s">
        <v>216</v>
      </c>
      <c r="F107" s="53" t="s">
        <v>2</v>
      </c>
      <c r="G107" s="53" t="s">
        <v>2</v>
      </c>
      <c r="I107" s="49" t="s">
        <v>217</v>
      </c>
      <c r="J107" s="48" t="s">
        <v>218</v>
      </c>
      <c r="K107" s="48" t="s">
        <v>219</v>
      </c>
      <c r="L107" s="48" t="s">
        <v>220</v>
      </c>
      <c r="M107" s="48" t="s">
        <v>101</v>
      </c>
      <c r="N107" s="48" t="s">
        <v>102</v>
      </c>
      <c r="O107" s="48" t="s">
        <v>221</v>
      </c>
      <c r="P107" s="48" t="s">
        <v>222</v>
      </c>
      <c r="Q107" s="48" t="s">
        <v>1394</v>
      </c>
      <c r="S107" s="51" t="s">
        <v>26</v>
      </c>
      <c r="T107" s="51" t="s">
        <v>27</v>
      </c>
      <c r="U107" s="51" t="s">
        <v>28</v>
      </c>
      <c r="V107" s="51" t="s">
        <v>29</v>
      </c>
      <c r="W107" s="51" t="s">
        <v>14</v>
      </c>
      <c r="X107" s="51" t="s">
        <v>30</v>
      </c>
      <c r="Z107" s="53" t="s">
        <v>225</v>
      </c>
      <c r="AA107" s="53" t="s">
        <v>226</v>
      </c>
      <c r="AB107" s="53" t="s">
        <v>226</v>
      </c>
      <c r="AC107" s="53" t="s">
        <v>215</v>
      </c>
      <c r="AD107" s="53" t="s">
        <v>227</v>
      </c>
      <c r="AE107" s="53" t="s">
        <v>228</v>
      </c>
      <c r="AF107" s="53" t="s">
        <v>229</v>
      </c>
      <c r="AG107" s="53" t="s">
        <v>230</v>
      </c>
      <c r="AH107" s="53" t="s">
        <v>231</v>
      </c>
      <c r="AI107" s="53" t="s">
        <v>232</v>
      </c>
      <c r="AJ107" s="53" t="s">
        <v>233</v>
      </c>
      <c r="AK107" s="53" t="s">
        <v>234</v>
      </c>
      <c r="AL107" s="53" t="s">
        <v>235</v>
      </c>
      <c r="AM107" s="53" t="s">
        <v>236</v>
      </c>
      <c r="AN107" s="53" t="s">
        <v>237</v>
      </c>
      <c r="AO107" s="53" t="s">
        <v>238</v>
      </c>
      <c r="AP107" s="53" t="s">
        <v>239</v>
      </c>
      <c r="AR107" s="53" t="s">
        <v>240</v>
      </c>
      <c r="AS107" s="53" t="s">
        <v>241</v>
      </c>
      <c r="AT107" s="53" t="s">
        <v>242</v>
      </c>
      <c r="AU107" s="53" t="s">
        <v>243</v>
      </c>
      <c r="AV107" s="53" t="s">
        <v>14</v>
      </c>
      <c r="AX107" s="53" t="s">
        <v>2</v>
      </c>
      <c r="AY107" s="53" t="s">
        <v>2</v>
      </c>
      <c r="BA107" s="53" t="s">
        <v>244</v>
      </c>
      <c r="BB107" s="53" t="s">
        <v>244</v>
      </c>
      <c r="BC107" s="53" t="s">
        <v>244</v>
      </c>
      <c r="BD107" s="53" t="s">
        <v>34</v>
      </c>
      <c r="BE107" s="53" t="s">
        <v>196</v>
      </c>
      <c r="BG107" s="53" t="s">
        <v>1395</v>
      </c>
      <c r="BH107" s="53" t="s">
        <v>39</v>
      </c>
      <c r="BI107" s="53" t="s">
        <v>39</v>
      </c>
      <c r="BJ107" s="53" t="s">
        <v>1396</v>
      </c>
      <c r="BK107" s="53" t="s">
        <v>39</v>
      </c>
      <c r="BL107" s="53" t="s">
        <v>42</v>
      </c>
      <c r="BM107" s="53" t="s">
        <v>39</v>
      </c>
      <c r="BN107" s="53" t="s">
        <v>43</v>
      </c>
      <c r="BO107" s="53" t="s">
        <v>1397</v>
      </c>
      <c r="BP107" s="53" t="s">
        <v>39</v>
      </c>
      <c r="BQ107" s="53" t="s">
        <v>42</v>
      </c>
      <c r="BR107" s="53" t="s">
        <v>45</v>
      </c>
      <c r="BS107" s="53" t="s">
        <v>42</v>
      </c>
    </row>
    <row r="108" spans="1:100" s="104" customFormat="1">
      <c r="B108" s="129"/>
      <c r="W108" s="120"/>
      <c r="BK108" s="9"/>
      <c r="BM108" s="9"/>
    </row>
    <row r="109" spans="1:100" s="104" customFormat="1" ht="19">
      <c r="B109" s="133" t="s">
        <v>1480</v>
      </c>
      <c r="BD109" s="129"/>
      <c r="BH109" s="71">
        <f>SUM(BH101, BI101, BL101, BN101, BQ101, BS101)</f>
        <v>2590914</v>
      </c>
      <c r="BM109" s="9"/>
    </row>
    <row r="110" spans="1:100" s="104" customFormat="1" ht="21">
      <c r="B110" s="134" t="s">
        <v>1482</v>
      </c>
      <c r="BH110" s="135">
        <v>2590620</v>
      </c>
    </row>
    <row r="111" spans="1:100" s="104" customFormat="1">
      <c r="B111" s="129" t="s">
        <v>1483</v>
      </c>
      <c r="BH111" s="129" t="s">
        <v>1484</v>
      </c>
    </row>
    <row r="112" spans="1:100" s="104" customFormat="1">
      <c r="B112" s="129"/>
      <c r="BH112" s="129" t="s">
        <v>1485</v>
      </c>
      <c r="BK112" s="9"/>
      <c r="BM112" s="9"/>
    </row>
    <row r="113" spans="2:3" s="104" customFormat="1">
      <c r="B113" s="133" t="s">
        <v>1486</v>
      </c>
      <c r="C113" s="129"/>
    </row>
    <row r="114" spans="2:3" s="104" customFormat="1">
      <c r="B114" s="129" t="s">
        <v>1487</v>
      </c>
      <c r="C114" s="129" t="s">
        <v>1488</v>
      </c>
    </row>
    <row r="115" spans="2:3" s="104" customFormat="1">
      <c r="B115" s="129" t="s">
        <v>1489</v>
      </c>
      <c r="C115" s="129" t="s">
        <v>1490</v>
      </c>
    </row>
    <row r="116" spans="2:3" s="104" customFormat="1">
      <c r="B116" s="129" t="s">
        <v>1491</v>
      </c>
      <c r="C116" s="129" t="s">
        <v>1492</v>
      </c>
    </row>
    <row r="117" spans="2:3" s="104" customFormat="1">
      <c r="B117" s="129" t="s">
        <v>1493</v>
      </c>
      <c r="C117" s="129" t="s">
        <v>1494</v>
      </c>
    </row>
    <row r="118" spans="2:3" s="104" customFormat="1">
      <c r="B118" s="129" t="s">
        <v>1495</v>
      </c>
      <c r="C118" s="129" t="s">
        <v>1496</v>
      </c>
    </row>
    <row r="119" spans="2:3" s="104" customFormat="1">
      <c r="B119" s="129" t="s">
        <v>14</v>
      </c>
      <c r="C119" s="129" t="s">
        <v>1497</v>
      </c>
    </row>
    <row r="120" spans="2:3" s="104" customFormat="1">
      <c r="B120" s="129" t="s">
        <v>1498</v>
      </c>
      <c r="C120" s="129" t="s">
        <v>1499</v>
      </c>
    </row>
    <row r="121" spans="2:3" s="104" customFormat="1">
      <c r="B121" s="129" t="s">
        <v>230</v>
      </c>
      <c r="C121" s="129" t="s">
        <v>1500</v>
      </c>
    </row>
    <row r="122" spans="2:3" s="104" customFormat="1">
      <c r="B122" s="129" t="s">
        <v>231</v>
      </c>
      <c r="C122" s="129" t="s">
        <v>1501</v>
      </c>
    </row>
    <row r="123" spans="2:3" s="104" customFormat="1">
      <c r="B123" s="129" t="s">
        <v>1502</v>
      </c>
      <c r="C123" s="129" t="s">
        <v>1503</v>
      </c>
    </row>
    <row r="124" spans="2:3" s="104" customFormat="1">
      <c r="B124" s="129" t="s">
        <v>1504</v>
      </c>
      <c r="C124" s="129" t="s">
        <v>1505</v>
      </c>
    </row>
    <row r="125" spans="2:3" s="104" customFormat="1">
      <c r="B125" s="129" t="s">
        <v>1506</v>
      </c>
      <c r="C125" s="129" t="s">
        <v>1507</v>
      </c>
    </row>
    <row r="126" spans="2:3" s="104" customFormat="1">
      <c r="B126" s="129" t="s">
        <v>204</v>
      </c>
      <c r="C126" s="129" t="s">
        <v>1508</v>
      </c>
    </row>
    <row r="127" spans="2:3" s="104" customFormat="1">
      <c r="B127" s="129" t="s">
        <v>1509</v>
      </c>
      <c r="C127" s="129" t="s">
        <v>1510</v>
      </c>
    </row>
    <row r="128" spans="2:3" s="104" customFormat="1">
      <c r="B128" s="129" t="s">
        <v>1511</v>
      </c>
      <c r="C128" s="129" t="s">
        <v>1512</v>
      </c>
    </row>
    <row r="129" spans="2:65" s="104" customFormat="1">
      <c r="B129" s="129" t="s">
        <v>238</v>
      </c>
      <c r="C129" s="129" t="s">
        <v>1513</v>
      </c>
    </row>
    <row r="130" spans="2:65" s="104" customFormat="1">
      <c r="B130" s="129" t="s">
        <v>1514</v>
      </c>
      <c r="C130" s="129" t="s">
        <v>1515</v>
      </c>
    </row>
    <row r="131" spans="2:65" s="104" customFormat="1">
      <c r="B131" s="129"/>
      <c r="BK131" s="9"/>
      <c r="BM131" s="9"/>
    </row>
    <row r="132" spans="2:65" s="104" customFormat="1">
      <c r="B132" s="129"/>
      <c r="BK132" s="9"/>
      <c r="BM132" s="9"/>
    </row>
    <row r="133" spans="2:65" s="104" customFormat="1">
      <c r="B133" s="133" t="s">
        <v>1516</v>
      </c>
    </row>
    <row r="134" spans="2:65" s="104" customFormat="1">
      <c r="B134" s="129" t="s">
        <v>1517</v>
      </c>
      <c r="C134" s="129" t="s">
        <v>1518</v>
      </c>
    </row>
    <row r="135" spans="2:65" s="104" customFormat="1">
      <c r="B135" s="129" t="s">
        <v>21</v>
      </c>
      <c r="C135" s="129" t="s">
        <v>1519</v>
      </c>
    </row>
    <row r="136" spans="2:65" s="104" customFormat="1">
      <c r="B136" s="129" t="s">
        <v>1520</v>
      </c>
      <c r="C136" s="136" t="s">
        <v>1521</v>
      </c>
    </row>
    <row r="137" spans="2:65" s="104" customFormat="1">
      <c r="B137" s="129" t="s">
        <v>22</v>
      </c>
      <c r="C137" s="129" t="s">
        <v>1522</v>
      </c>
    </row>
    <row r="138" spans="2:65" s="104" customFormat="1">
      <c r="B138" s="129" t="s">
        <v>1397</v>
      </c>
      <c r="C138" s="129" t="s">
        <v>1523</v>
      </c>
    </row>
    <row r="139" spans="2:65" s="104" customFormat="1">
      <c r="B139" s="129" t="s">
        <v>23</v>
      </c>
      <c r="C139" s="129" t="s">
        <v>1519</v>
      </c>
    </row>
    <row r="140" spans="2:65" s="104" customFormat="1">
      <c r="B140" s="129" t="s">
        <v>1524</v>
      </c>
      <c r="C140" s="129" t="s">
        <v>1519</v>
      </c>
    </row>
    <row r="141" spans="2:65" s="104" customFormat="1">
      <c r="B141" s="129" t="s">
        <v>1525</v>
      </c>
    </row>
    <row r="142" spans="2:65" s="104" customFormat="1">
      <c r="B142" s="129"/>
      <c r="BK142" s="9"/>
      <c r="BM142" s="9"/>
    </row>
    <row r="143" spans="2:65" s="104" customFormat="1">
      <c r="B143" s="133" t="s">
        <v>1526</v>
      </c>
    </row>
    <row r="144" spans="2:65" s="104" customFormat="1">
      <c r="B144" s="129" t="s">
        <v>1527</v>
      </c>
    </row>
    <row r="145" spans="2:65" s="104" customFormat="1">
      <c r="B145" s="129" t="s">
        <v>1528</v>
      </c>
    </row>
    <row r="146" spans="2:65" s="104" customFormat="1">
      <c r="B146" s="129" t="s">
        <v>1529</v>
      </c>
    </row>
    <row r="147" spans="2:65" s="104" customFormat="1">
      <c r="B147" s="129" t="s">
        <v>1530</v>
      </c>
    </row>
    <row r="148" spans="2:65" s="104" customFormat="1">
      <c r="B148" s="129"/>
      <c r="BK148" s="9"/>
      <c r="BM148" s="9"/>
    </row>
    <row r="149" spans="2:65" s="104" customFormat="1">
      <c r="B149" s="129"/>
      <c r="BK149" s="9"/>
      <c r="BM149" s="9"/>
    </row>
    <row r="150" spans="2:65" s="104" customFormat="1"/>
    <row r="151" spans="2:65" s="104" customFormat="1"/>
  </sheetData>
  <sortState xmlns:xlrd2="http://schemas.microsoft.com/office/spreadsheetml/2017/richdata2" ref="A8:CV60">
    <sortCondition ref="B8:B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8E8B-92E8-1F4E-B4E0-D224AB81C1ED}">
  <dimension ref="A1:AQ53"/>
  <sheetViews>
    <sheetView workbookViewId="0">
      <selection activeCell="M24" sqref="M24"/>
    </sheetView>
  </sheetViews>
  <sheetFormatPr baseColWidth="10" defaultRowHeight="16"/>
  <cols>
    <col min="1" max="1" width="5.83203125" style="7" customWidth="1"/>
    <col min="2" max="2" width="17.1640625" style="7" customWidth="1"/>
    <col min="3" max="3" width="12.83203125" style="7" customWidth="1"/>
    <col min="4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38" style="7" bestFit="1" customWidth="1"/>
    <col min="15" max="15" width="22.33203125" style="7" bestFit="1" customWidth="1"/>
    <col min="16" max="16" width="24.83203125" style="7" bestFit="1" customWidth="1"/>
    <col min="17" max="17" width="25.83203125" style="7" bestFit="1" customWidth="1"/>
    <col min="18" max="18" width="7.1640625" style="7" bestFit="1" customWidth="1"/>
    <col min="19" max="19" width="6.1640625" style="7" bestFit="1" customWidth="1"/>
    <col min="20" max="20" width="12.33203125" style="7" bestFit="1" customWidth="1"/>
    <col min="21" max="21" width="5.83203125" style="7" customWidth="1"/>
    <col min="22" max="22" width="48.6640625" style="7" bestFit="1" customWidth="1"/>
    <col min="23" max="23" width="22.83203125" style="7" bestFit="1" customWidth="1"/>
    <col min="24" max="24" width="5.33203125" style="7" bestFit="1" customWidth="1"/>
    <col min="25" max="25" width="9.33203125" style="7" bestFit="1" customWidth="1"/>
    <col min="26" max="26" width="5.33203125" style="7" bestFit="1" customWidth="1"/>
    <col min="27" max="29" width="9.5" style="7" bestFit="1" customWidth="1"/>
    <col min="30" max="33" width="12" style="7" bestFit="1" customWidth="1"/>
    <col min="34" max="34" width="14.5" style="7" bestFit="1" customWidth="1"/>
    <col min="35" max="35" width="5.33203125" style="7" bestFit="1" customWidth="1"/>
    <col min="36" max="38" width="12.5" style="7" bestFit="1" customWidth="1"/>
    <col min="39" max="39" width="8.33203125" style="7" bestFit="1" customWidth="1"/>
    <col min="40" max="40" width="5.33203125" style="7" bestFit="1" customWidth="1"/>
    <col min="41" max="41" width="12" style="7" bestFit="1" customWidth="1"/>
    <col min="42" max="42" width="5.83203125" style="7" customWidth="1"/>
    <col min="43" max="16384" width="10.83203125" style="7"/>
  </cols>
  <sheetData>
    <row r="1" spans="2:16" customFormat="1">
      <c r="C1" s="32"/>
      <c r="D1" s="32"/>
      <c r="G1" s="32"/>
    </row>
    <row r="2" spans="2:16" s="1" customFormat="1" ht="21">
      <c r="B2" s="1" t="s">
        <v>0</v>
      </c>
      <c r="C2" s="33"/>
      <c r="D2" s="33"/>
      <c r="F2" s="1" t="s">
        <v>972</v>
      </c>
      <c r="G2" s="33"/>
    </row>
    <row r="3" spans="2:16" s="1" customFormat="1" ht="21">
      <c r="C3" s="33"/>
      <c r="D3" s="33"/>
      <c r="G3" s="33"/>
    </row>
    <row r="4" spans="2:16" s="1" customFormat="1" ht="21">
      <c r="C4" s="33"/>
      <c r="D4" s="33"/>
      <c r="G4" s="33"/>
    </row>
    <row r="5" spans="2:16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</row>
    <row r="6" spans="2:16" s="4" customFormat="1">
      <c r="B6" s="5" t="s">
        <v>4</v>
      </c>
      <c r="C6" s="6">
        <v>708</v>
      </c>
      <c r="D6" s="6">
        <v>46</v>
      </c>
    </row>
    <row r="7" spans="2:16" ht="21">
      <c r="B7" s="8" t="s">
        <v>5</v>
      </c>
      <c r="C7" s="9">
        <v>319</v>
      </c>
      <c r="D7" s="9">
        <v>21</v>
      </c>
      <c r="N7" s="78" t="s">
        <v>6</v>
      </c>
    </row>
    <row r="8" spans="2:16">
      <c r="B8" s="10" t="s">
        <v>7</v>
      </c>
      <c r="C8" s="9">
        <v>37</v>
      </c>
      <c r="D8" s="9">
        <v>2</v>
      </c>
      <c r="N8" s="7" t="s">
        <v>8</v>
      </c>
    </row>
    <row r="9" spans="2:16">
      <c r="B9" s="8" t="s">
        <v>9</v>
      </c>
      <c r="C9" s="9">
        <v>33</v>
      </c>
      <c r="D9" s="9">
        <v>2</v>
      </c>
    </row>
    <row r="10" spans="2:16">
      <c r="B10" s="8" t="s">
        <v>10</v>
      </c>
      <c r="C10" s="9">
        <v>16</v>
      </c>
      <c r="D10" s="9">
        <v>1</v>
      </c>
      <c r="N10" s="11" t="s">
        <v>11</v>
      </c>
    </row>
    <row r="11" spans="2:16">
      <c r="B11" s="8" t="s">
        <v>12</v>
      </c>
      <c r="C11" s="9">
        <v>0</v>
      </c>
      <c r="D11" s="9"/>
      <c r="N11" s="22" t="s">
        <v>13</v>
      </c>
      <c r="O11" s="11" t="s">
        <v>15</v>
      </c>
      <c r="P11" s="11" t="s">
        <v>16</v>
      </c>
    </row>
    <row r="12" spans="2:16">
      <c r="B12" s="8" t="s">
        <v>14</v>
      </c>
      <c r="C12" s="9">
        <v>397</v>
      </c>
      <c r="D12" s="9">
        <v>26</v>
      </c>
    </row>
    <row r="13" spans="2:16">
      <c r="C13" s="9"/>
      <c r="D13" s="9"/>
      <c r="G13" s="13"/>
    </row>
    <row r="14" spans="2:16" ht="21">
      <c r="B14" s="225" t="s">
        <v>1949</v>
      </c>
      <c r="C14" s="9">
        <f>SUM(C6:C13)</f>
        <v>1510</v>
      </c>
      <c r="D14" s="9">
        <f>SUM(D6:D13)</f>
        <v>98</v>
      </c>
      <c r="G14" s="13"/>
      <c r="N14" s="207" t="s">
        <v>3094</v>
      </c>
    </row>
    <row r="15" spans="2:16">
      <c r="C15" s="9"/>
      <c r="D15" s="9"/>
      <c r="G15" s="9"/>
      <c r="N15" s="7" t="s">
        <v>3182</v>
      </c>
    </row>
    <row r="16" spans="2:16" s="30" customFormat="1">
      <c r="C16" s="79"/>
      <c r="D16" s="79"/>
      <c r="G16" s="79"/>
    </row>
    <row r="17" spans="1:43" s="30" customFormat="1">
      <c r="B17" s="81" t="s">
        <v>108</v>
      </c>
      <c r="C17" s="79"/>
      <c r="D17" s="79">
        <f>SUM(D8:D11)</f>
        <v>5</v>
      </c>
      <c r="G17" s="79"/>
    </row>
    <row r="18" spans="1:43" s="30" customFormat="1">
      <c r="C18" s="79"/>
      <c r="D18" s="79"/>
      <c r="G18" s="79"/>
    </row>
    <row r="19" spans="1:43" s="30" customFormat="1">
      <c r="C19" s="79"/>
      <c r="D19" s="79"/>
      <c r="G19" s="79"/>
    </row>
    <row r="20" spans="1:43">
      <c r="B20" s="14"/>
      <c r="C20" s="9"/>
      <c r="D20" s="9"/>
      <c r="G20" s="9"/>
    </row>
    <row r="21" spans="1:43" s="16" customFormat="1" ht="21">
      <c r="A21" s="15"/>
      <c r="D21" s="15"/>
      <c r="E21" s="15"/>
      <c r="F21" s="1" t="s">
        <v>17</v>
      </c>
      <c r="G21" s="1"/>
      <c r="H21" s="1"/>
      <c r="I21" s="1"/>
      <c r="J21" s="1"/>
      <c r="K21" s="1"/>
      <c r="L21" s="1"/>
      <c r="M21" s="15"/>
      <c r="N21" s="17"/>
      <c r="S21" s="17"/>
      <c r="T21" s="15"/>
      <c r="U21" s="15"/>
      <c r="W21" s="18"/>
      <c r="X21" s="15"/>
      <c r="Y21" s="15"/>
      <c r="Z21" s="15"/>
      <c r="AA21" s="17"/>
      <c r="AB21" s="15"/>
      <c r="AC21" s="15"/>
      <c r="AD21" s="15"/>
      <c r="AE21" s="17"/>
      <c r="AF21" s="15"/>
      <c r="AG21" s="15"/>
      <c r="AH21" s="17"/>
      <c r="AI21" s="15"/>
      <c r="AJ21" s="17"/>
      <c r="AK21" s="15"/>
      <c r="AL21" s="15"/>
      <c r="AP21" s="15"/>
    </row>
    <row r="22" spans="1:43" s="16" customFormat="1" ht="21">
      <c r="A22" s="15"/>
      <c r="B22" s="16" t="s">
        <v>18</v>
      </c>
      <c r="C22" s="16" t="s">
        <v>19</v>
      </c>
      <c r="D22" s="15"/>
      <c r="E22" s="15"/>
      <c r="F22" s="1" t="s">
        <v>20</v>
      </c>
      <c r="G22" s="1"/>
      <c r="H22" s="1"/>
      <c r="I22" s="1"/>
      <c r="J22" s="1"/>
      <c r="K22" s="1"/>
      <c r="L22" s="1"/>
      <c r="M22" s="15"/>
      <c r="N22" s="17"/>
      <c r="S22" s="17"/>
      <c r="T22" s="15"/>
      <c r="U22" s="15"/>
      <c r="W22" s="18"/>
      <c r="X22" s="15"/>
      <c r="Y22" s="15"/>
      <c r="Z22" s="15"/>
      <c r="AA22" s="17"/>
      <c r="AB22" s="15" t="s">
        <v>21</v>
      </c>
      <c r="AC22" s="15" t="s">
        <v>21</v>
      </c>
      <c r="AD22" s="15" t="s">
        <v>21</v>
      </c>
      <c r="AE22" s="17"/>
      <c r="AF22" s="15" t="s">
        <v>22</v>
      </c>
      <c r="AG22" s="15" t="s">
        <v>22</v>
      </c>
      <c r="AH22" s="17"/>
      <c r="AI22" s="15"/>
      <c r="AJ22" s="17"/>
      <c r="AK22" s="15" t="s">
        <v>23</v>
      </c>
      <c r="AL22" s="15" t="s">
        <v>23</v>
      </c>
      <c r="AM22" s="15" t="s">
        <v>24</v>
      </c>
      <c r="AN22" s="15"/>
      <c r="AP22" s="15"/>
    </row>
    <row r="23" spans="1:43" s="20" customFormat="1" ht="22" thickBot="1">
      <c r="A23" s="19"/>
      <c r="B23" s="20" t="s">
        <v>25</v>
      </c>
      <c r="C23" s="20" t="s">
        <v>25</v>
      </c>
      <c r="D23" s="19"/>
      <c r="E23" s="19"/>
      <c r="F23" s="2" t="s">
        <v>26</v>
      </c>
      <c r="G23" s="2" t="s">
        <v>27</v>
      </c>
      <c r="H23" s="2" t="s">
        <v>28</v>
      </c>
      <c r="I23" s="2" t="s">
        <v>29</v>
      </c>
      <c r="J23" s="2" t="s">
        <v>14</v>
      </c>
      <c r="K23" s="2" t="s">
        <v>24</v>
      </c>
      <c r="L23" s="2" t="s">
        <v>30</v>
      </c>
      <c r="M23" s="19"/>
      <c r="N23" s="21" t="s">
        <v>31</v>
      </c>
      <c r="O23" s="20" t="s">
        <v>962</v>
      </c>
      <c r="P23" s="20" t="s">
        <v>32</v>
      </c>
      <c r="Q23" s="20" t="s">
        <v>33</v>
      </c>
      <c r="R23" s="20" t="s">
        <v>34</v>
      </c>
      <c r="S23" s="21" t="s">
        <v>35</v>
      </c>
      <c r="T23" s="21" t="s">
        <v>118</v>
      </c>
      <c r="U23" s="19"/>
      <c r="V23" s="20" t="s">
        <v>37</v>
      </c>
      <c r="W23" s="21" t="s">
        <v>38</v>
      </c>
      <c r="X23" s="19" t="s">
        <v>39</v>
      </c>
      <c r="Y23" s="21" t="s">
        <v>40</v>
      </c>
      <c r="Z23" s="19" t="s">
        <v>39</v>
      </c>
      <c r="AA23" s="21" t="s">
        <v>21</v>
      </c>
      <c r="AB23" s="19" t="s">
        <v>41</v>
      </c>
      <c r="AC23" s="19" t="s">
        <v>39</v>
      </c>
      <c r="AD23" s="19" t="s">
        <v>42</v>
      </c>
      <c r="AE23" s="21" t="s">
        <v>22</v>
      </c>
      <c r="AF23" s="19" t="s">
        <v>39</v>
      </c>
      <c r="AG23" s="19" t="s">
        <v>43</v>
      </c>
      <c r="AH23" s="21" t="s">
        <v>44</v>
      </c>
      <c r="AI23" s="19" t="s">
        <v>39</v>
      </c>
      <c r="AJ23" s="21" t="s">
        <v>23</v>
      </c>
      <c r="AK23" s="19" t="s">
        <v>39</v>
      </c>
      <c r="AL23" s="19" t="s">
        <v>42</v>
      </c>
      <c r="AM23" s="19" t="s">
        <v>45</v>
      </c>
      <c r="AN23" s="20" t="s">
        <v>39</v>
      </c>
      <c r="AO23" s="19" t="s">
        <v>42</v>
      </c>
      <c r="AP23" s="19"/>
      <c r="AQ23" s="20" t="s">
        <v>46</v>
      </c>
    </row>
    <row r="24" spans="1:43" s="4" customFormat="1">
      <c r="D24" s="6"/>
      <c r="E24" s="210"/>
      <c r="M24" s="210"/>
      <c r="U24" s="210"/>
      <c r="AP24" s="210"/>
    </row>
    <row r="25" spans="1:43" s="22" customFormat="1">
      <c r="B25" s="22" t="s">
        <v>47</v>
      </c>
      <c r="C25" s="22" t="s">
        <v>48</v>
      </c>
      <c r="D25" s="23"/>
      <c r="E25" s="210"/>
      <c r="F25" s="23">
        <v>1</v>
      </c>
      <c r="G25" s="23"/>
      <c r="H25" s="23"/>
      <c r="I25" s="23"/>
      <c r="J25" s="23"/>
      <c r="K25" s="23"/>
      <c r="L25" s="23"/>
      <c r="M25" s="210"/>
      <c r="N25" s="22" t="s">
        <v>49</v>
      </c>
      <c r="Q25" s="22" t="s">
        <v>50</v>
      </c>
      <c r="R25" s="22" t="s">
        <v>51</v>
      </c>
      <c r="U25" s="210"/>
      <c r="AP25" s="210"/>
    </row>
    <row r="26" spans="1:43" s="22" customFormat="1">
      <c r="B26" s="73" t="s">
        <v>52</v>
      </c>
      <c r="C26" s="22" t="s">
        <v>53</v>
      </c>
      <c r="D26" s="23"/>
      <c r="E26" s="210"/>
      <c r="F26" s="23"/>
      <c r="G26" s="23"/>
      <c r="H26" s="23">
        <v>1</v>
      </c>
      <c r="I26" s="23"/>
      <c r="J26" s="23"/>
      <c r="K26" s="23"/>
      <c r="L26" s="23">
        <v>1</v>
      </c>
      <c r="M26" s="210"/>
      <c r="N26" s="22" t="s">
        <v>54</v>
      </c>
      <c r="Q26" s="22" t="s">
        <v>55</v>
      </c>
      <c r="R26" s="22" t="s">
        <v>56</v>
      </c>
      <c r="U26" s="210"/>
      <c r="AP26" s="210"/>
      <c r="AQ26" s="22" t="s">
        <v>57</v>
      </c>
    </row>
    <row r="27" spans="1:43" s="22" customFormat="1">
      <c r="B27" s="22" t="s">
        <v>58</v>
      </c>
      <c r="C27" s="22" t="s">
        <v>59</v>
      </c>
      <c r="D27" s="23"/>
      <c r="E27" s="210"/>
      <c r="F27" s="23">
        <v>1</v>
      </c>
      <c r="G27" s="23"/>
      <c r="H27" s="23"/>
      <c r="I27" s="23"/>
      <c r="J27" s="23"/>
      <c r="K27" s="23"/>
      <c r="L27" s="23"/>
      <c r="M27" s="210"/>
      <c r="N27" s="22" t="s">
        <v>60</v>
      </c>
      <c r="Q27" s="22" t="s">
        <v>61</v>
      </c>
      <c r="R27" s="22" t="s">
        <v>62</v>
      </c>
      <c r="U27" s="210"/>
      <c r="AP27" s="210"/>
      <c r="AQ27" s="22" t="s">
        <v>971</v>
      </c>
    </row>
    <row r="28" spans="1:43" s="22" customFormat="1">
      <c r="B28" s="22" t="s">
        <v>63</v>
      </c>
      <c r="C28" s="22" t="s">
        <v>64</v>
      </c>
      <c r="D28" s="23"/>
      <c r="E28" s="210"/>
      <c r="F28" s="23"/>
      <c r="G28" s="23"/>
      <c r="H28" s="23"/>
      <c r="I28" s="23"/>
      <c r="J28" s="23"/>
      <c r="K28" s="23"/>
      <c r="L28" s="23"/>
      <c r="M28" s="210"/>
      <c r="N28" s="22" t="s">
        <v>65</v>
      </c>
      <c r="Q28" s="22" t="s">
        <v>66</v>
      </c>
      <c r="R28" s="22" t="s">
        <v>67</v>
      </c>
      <c r="U28" s="210"/>
      <c r="AP28" s="210"/>
    </row>
    <row r="29" spans="1:43" s="22" customFormat="1">
      <c r="D29" s="23"/>
      <c r="E29" s="37"/>
      <c r="F29" s="23"/>
      <c r="G29" s="23"/>
      <c r="H29" s="23"/>
      <c r="I29" s="23"/>
      <c r="J29" s="23"/>
      <c r="K29" s="23"/>
      <c r="L29" s="23"/>
      <c r="M29" s="37"/>
      <c r="U29" s="37"/>
      <c r="AP29" s="37"/>
    </row>
    <row r="31" spans="1:43" s="68" customFormat="1" ht="19">
      <c r="A31" s="87"/>
      <c r="B31" s="87" t="s">
        <v>684</v>
      </c>
      <c r="C31" s="87"/>
      <c r="D31" s="87"/>
      <c r="E31" s="192"/>
      <c r="F31" s="70">
        <f t="shared" ref="F31:L31" si="0">SUM(F25:F28)</f>
        <v>2</v>
      </c>
      <c r="G31" s="70">
        <f t="shared" si="0"/>
        <v>0</v>
      </c>
      <c r="H31" s="70">
        <f t="shared" si="0"/>
        <v>1</v>
      </c>
      <c r="I31" s="70">
        <f t="shared" si="0"/>
        <v>0</v>
      </c>
      <c r="J31" s="70">
        <f t="shared" si="0"/>
        <v>0</v>
      </c>
      <c r="K31" s="70">
        <f t="shared" si="0"/>
        <v>0</v>
      </c>
      <c r="L31" s="70">
        <f t="shared" si="0"/>
        <v>1</v>
      </c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</row>
    <row r="32" spans="1:43" s="22" customFormat="1">
      <c r="D32" s="23"/>
      <c r="E32" s="37"/>
      <c r="F32" s="23"/>
      <c r="G32" s="23"/>
      <c r="H32" s="23"/>
      <c r="I32" s="23"/>
      <c r="J32" s="23"/>
      <c r="K32" s="23"/>
      <c r="L32" s="23"/>
      <c r="M32" s="37"/>
      <c r="U32" s="37"/>
      <c r="AP32" s="37"/>
    </row>
    <row r="33" spans="1:43" s="22" customFormat="1">
      <c r="D33" s="23"/>
      <c r="E33" s="37"/>
      <c r="F33" s="23"/>
      <c r="G33" s="23"/>
      <c r="H33" s="23"/>
      <c r="I33" s="23"/>
      <c r="J33" s="23"/>
      <c r="K33" s="23"/>
      <c r="L33" s="23"/>
      <c r="M33" s="37"/>
      <c r="U33" s="37"/>
      <c r="AP33" s="37"/>
    </row>
    <row r="34" spans="1:43" s="22" customFormat="1">
      <c r="D34" s="23"/>
      <c r="E34" s="37"/>
      <c r="F34" s="23"/>
      <c r="G34" s="23"/>
      <c r="H34" s="23"/>
      <c r="I34" s="23"/>
      <c r="J34" s="23"/>
      <c r="K34" s="23"/>
      <c r="L34" s="23"/>
      <c r="M34" s="37"/>
      <c r="U34" s="37"/>
      <c r="AP34" s="37"/>
    </row>
    <row r="35" spans="1:43" s="22" customFormat="1">
      <c r="B35" s="95" t="s">
        <v>3089</v>
      </c>
      <c r="E35" s="210"/>
      <c r="M35" s="210"/>
      <c r="N35" s="95" t="s">
        <v>3090</v>
      </c>
      <c r="U35" s="210"/>
      <c r="AP35" s="210"/>
    </row>
    <row r="36" spans="1:43" s="22" customFormat="1">
      <c r="B36" s="24" t="s">
        <v>68</v>
      </c>
      <c r="C36" s="22" t="s">
        <v>69</v>
      </c>
      <c r="D36" s="23"/>
      <c r="E36" s="210"/>
      <c r="F36" s="23"/>
      <c r="G36" s="23">
        <v>1</v>
      </c>
      <c r="H36" s="23"/>
      <c r="I36" s="23"/>
      <c r="J36" s="23"/>
      <c r="K36" s="23"/>
      <c r="L36" s="23">
        <v>1</v>
      </c>
      <c r="M36" s="210"/>
      <c r="N36" s="22" t="s">
        <v>70</v>
      </c>
      <c r="U36" s="210"/>
      <c r="V36" s="22" t="s">
        <v>71</v>
      </c>
      <c r="W36" s="22" t="s">
        <v>72</v>
      </c>
      <c r="X36" s="22">
        <v>1</v>
      </c>
      <c r="AP36" s="210"/>
      <c r="AQ36" s="22" t="s">
        <v>73</v>
      </c>
    </row>
    <row r="37" spans="1:43" s="22" customFormat="1">
      <c r="B37" s="22" t="s">
        <v>74</v>
      </c>
      <c r="C37" s="22" t="s">
        <v>75</v>
      </c>
      <c r="D37" s="23"/>
      <c r="E37" s="210"/>
      <c r="F37" s="23">
        <v>1</v>
      </c>
      <c r="G37" s="23"/>
      <c r="H37" s="23">
        <v>1</v>
      </c>
      <c r="I37" s="23"/>
      <c r="J37" s="23"/>
      <c r="K37" s="23"/>
      <c r="L37" s="23"/>
      <c r="M37" s="210"/>
      <c r="N37" s="22" t="s">
        <v>76</v>
      </c>
      <c r="U37" s="210"/>
      <c r="V37" s="22" t="s">
        <v>77</v>
      </c>
      <c r="AP37" s="210"/>
      <c r="AQ37" s="22" t="s">
        <v>78</v>
      </c>
    </row>
    <row r="38" spans="1:43" s="22" customFormat="1">
      <c r="B38" s="24" t="s">
        <v>79</v>
      </c>
      <c r="C38" s="22" t="s">
        <v>80</v>
      </c>
      <c r="D38" s="23"/>
      <c r="E38" s="210"/>
      <c r="F38" s="23"/>
      <c r="G38" s="23"/>
      <c r="H38" s="23">
        <v>1</v>
      </c>
      <c r="I38" s="23"/>
      <c r="J38" s="23"/>
      <c r="K38" s="25"/>
      <c r="L38" s="23"/>
      <c r="M38" s="210"/>
      <c r="N38" s="22" t="s">
        <v>81</v>
      </c>
      <c r="U38" s="210"/>
      <c r="V38" s="22" t="s">
        <v>82</v>
      </c>
      <c r="AP38" s="210"/>
      <c r="AQ38" s="22" t="s">
        <v>83</v>
      </c>
    </row>
    <row r="39" spans="1:43" s="22" customFormat="1">
      <c r="B39" s="24" t="s">
        <v>84</v>
      </c>
      <c r="C39" s="22" t="s">
        <v>85</v>
      </c>
      <c r="D39" s="23"/>
      <c r="E39" s="210"/>
      <c r="F39" s="23">
        <v>1</v>
      </c>
      <c r="G39" s="23"/>
      <c r="H39" s="23"/>
      <c r="I39" s="23"/>
      <c r="J39" s="23"/>
      <c r="K39" s="23"/>
      <c r="L39" s="23"/>
      <c r="M39" s="210"/>
      <c r="N39" s="22" t="s">
        <v>86</v>
      </c>
      <c r="U39" s="210"/>
      <c r="V39" s="22" t="s">
        <v>87</v>
      </c>
      <c r="AP39" s="210"/>
      <c r="AQ39" s="22" t="s">
        <v>88</v>
      </c>
    </row>
    <row r="40" spans="1:43" s="22" customFormat="1">
      <c r="B40" s="24" t="s">
        <v>89</v>
      </c>
      <c r="C40" s="22" t="s">
        <v>90</v>
      </c>
      <c r="D40" s="23"/>
      <c r="E40" s="210"/>
      <c r="F40" s="23"/>
      <c r="G40" s="23"/>
      <c r="H40" s="23"/>
      <c r="I40" s="23"/>
      <c r="J40" s="23">
        <v>1</v>
      </c>
      <c r="K40" s="23"/>
      <c r="L40" s="23"/>
      <c r="M40" s="210"/>
      <c r="N40" s="22" t="s">
        <v>91</v>
      </c>
      <c r="U40" s="210"/>
      <c r="V40" s="22" t="s">
        <v>92</v>
      </c>
      <c r="AP40" s="210"/>
      <c r="AQ40" s="22" t="s">
        <v>93</v>
      </c>
    </row>
    <row r="41" spans="1:43" s="22" customFormat="1">
      <c r="B41" s="7" t="s">
        <v>94</v>
      </c>
      <c r="C41" s="22" t="s">
        <v>95</v>
      </c>
      <c r="D41" s="23"/>
      <c r="E41" s="210"/>
      <c r="F41" s="23">
        <v>1</v>
      </c>
      <c r="G41" s="23"/>
      <c r="H41" s="23"/>
      <c r="I41" s="23"/>
      <c r="J41" s="23"/>
      <c r="K41" s="23"/>
      <c r="L41" s="23"/>
      <c r="M41" s="210"/>
      <c r="N41" s="22" t="s">
        <v>96</v>
      </c>
      <c r="U41" s="210"/>
      <c r="V41" s="22" t="s">
        <v>97</v>
      </c>
      <c r="AP41" s="210"/>
      <c r="AQ41" s="22" t="s">
        <v>98</v>
      </c>
    </row>
    <row r="42" spans="1:43" s="22" customFormat="1"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43">
      <c r="D43" s="9"/>
      <c r="G43" s="9"/>
    </row>
    <row r="44" spans="1:43" s="71" customFormat="1" ht="19">
      <c r="A44" s="87"/>
      <c r="B44" s="87" t="s">
        <v>684</v>
      </c>
      <c r="C44" s="87"/>
      <c r="D44" s="87"/>
      <c r="E44" s="70"/>
      <c r="F44" s="70">
        <f t="shared" ref="F44:L44" si="1">SUM(F36:F42)</f>
        <v>3</v>
      </c>
      <c r="G44" s="70">
        <f t="shared" si="1"/>
        <v>1</v>
      </c>
      <c r="H44" s="70">
        <f t="shared" si="1"/>
        <v>2</v>
      </c>
      <c r="I44" s="70">
        <f t="shared" si="1"/>
        <v>0</v>
      </c>
      <c r="J44" s="70">
        <f t="shared" si="1"/>
        <v>1</v>
      </c>
      <c r="K44" s="70">
        <f t="shared" si="1"/>
        <v>0</v>
      </c>
      <c r="L44" s="70">
        <f t="shared" si="1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9" spans="1:42" s="16" customFormat="1" ht="21">
      <c r="A49" s="15"/>
      <c r="D49" s="15"/>
      <c r="F49" s="17" t="s">
        <v>192</v>
      </c>
      <c r="G49" s="15"/>
      <c r="H49" s="15"/>
      <c r="I49" s="15"/>
      <c r="J49" s="15"/>
      <c r="K49" s="15"/>
      <c r="L49" s="15"/>
      <c r="N49" s="17" t="s">
        <v>936</v>
      </c>
      <c r="S49" s="17"/>
      <c r="T49" s="15"/>
      <c r="W49" s="17"/>
      <c r="X49" s="15"/>
      <c r="Y49" s="17"/>
      <c r="Z49" s="15"/>
      <c r="AA49" s="17"/>
      <c r="AB49" s="15"/>
      <c r="AC49" s="15"/>
      <c r="AD49" s="15"/>
      <c r="AE49" s="17"/>
      <c r="AF49" s="15"/>
      <c r="AG49" s="15"/>
      <c r="AH49" s="17"/>
      <c r="AI49" s="15"/>
      <c r="AJ49" s="17"/>
      <c r="AK49" s="15"/>
      <c r="AL49" s="15"/>
    </row>
    <row r="50" spans="1:42" s="16" customFormat="1" ht="21">
      <c r="A50" s="15"/>
      <c r="B50" s="16" t="s">
        <v>18</v>
      </c>
      <c r="C50" s="16" t="s">
        <v>19</v>
      </c>
      <c r="D50" s="15"/>
      <c r="F50" s="16" t="s">
        <v>20</v>
      </c>
      <c r="N50" s="17"/>
      <c r="O50" s="17"/>
      <c r="S50" s="17"/>
      <c r="T50" s="15"/>
      <c r="W50" s="17"/>
      <c r="X50" s="15"/>
      <c r="Y50" s="17"/>
      <c r="Z50" s="15"/>
      <c r="AA50" s="17"/>
      <c r="AB50" s="15" t="s">
        <v>21</v>
      </c>
      <c r="AC50" s="15"/>
      <c r="AD50" s="15"/>
      <c r="AE50" s="17"/>
      <c r="AF50" s="15"/>
      <c r="AG50" s="15"/>
      <c r="AH50" s="17"/>
      <c r="AI50" s="15"/>
      <c r="AJ50" s="17"/>
      <c r="AK50" s="15"/>
      <c r="AL50" s="15"/>
      <c r="AM50" s="15" t="s">
        <v>24</v>
      </c>
      <c r="AN50" s="15"/>
    </row>
    <row r="51" spans="1:42" s="20" customFormat="1" ht="22" thickBot="1">
      <c r="A51" s="19"/>
      <c r="B51" s="20" t="s">
        <v>25</v>
      </c>
      <c r="C51" s="20" t="s">
        <v>25</v>
      </c>
      <c r="D51" s="19"/>
      <c r="F51" s="20" t="s">
        <v>26</v>
      </c>
      <c r="G51" s="20" t="s">
        <v>27</v>
      </c>
      <c r="H51" s="20" t="s">
        <v>28</v>
      </c>
      <c r="I51" s="20" t="s">
        <v>29</v>
      </c>
      <c r="J51" s="19" t="s">
        <v>14</v>
      </c>
      <c r="K51" s="20" t="s">
        <v>24</v>
      </c>
      <c r="L51" s="20" t="s">
        <v>30</v>
      </c>
      <c r="N51" s="21" t="s">
        <v>31</v>
      </c>
      <c r="O51" s="21" t="s">
        <v>954</v>
      </c>
      <c r="P51" s="20" t="s">
        <v>32</v>
      </c>
      <c r="Q51" s="20" t="s">
        <v>33</v>
      </c>
      <c r="R51" s="20" t="s">
        <v>34</v>
      </c>
      <c r="S51" s="21" t="s">
        <v>35</v>
      </c>
      <c r="T51" s="21" t="s">
        <v>36</v>
      </c>
      <c r="V51" s="20" t="s">
        <v>37</v>
      </c>
      <c r="W51" s="21" t="s">
        <v>38</v>
      </c>
      <c r="X51" s="19" t="s">
        <v>39</v>
      </c>
      <c r="Y51" s="21" t="s">
        <v>40</v>
      </c>
      <c r="Z51" s="19" t="s">
        <v>39</v>
      </c>
      <c r="AA51" s="21" t="s">
        <v>21</v>
      </c>
      <c r="AB51" s="19" t="s">
        <v>41</v>
      </c>
      <c r="AC51" s="19" t="s">
        <v>39</v>
      </c>
      <c r="AD51" s="19" t="s">
        <v>246</v>
      </c>
      <c r="AE51" s="21" t="s">
        <v>22</v>
      </c>
      <c r="AF51" s="19" t="s">
        <v>39</v>
      </c>
      <c r="AG51" s="19" t="s">
        <v>43</v>
      </c>
      <c r="AH51" s="21" t="s">
        <v>44</v>
      </c>
      <c r="AI51" s="19" t="s">
        <v>39</v>
      </c>
      <c r="AJ51" s="21" t="s">
        <v>23</v>
      </c>
      <c r="AK51" s="19" t="s">
        <v>39</v>
      </c>
      <c r="AL51" s="19" t="s">
        <v>42</v>
      </c>
      <c r="AM51" s="19" t="s">
        <v>45</v>
      </c>
      <c r="AN51" s="20" t="s">
        <v>39</v>
      </c>
      <c r="AO51" s="19" t="s">
        <v>42</v>
      </c>
    </row>
    <row r="52" spans="1:42" s="55" customFormat="1">
      <c r="A52" s="7"/>
      <c r="B52" s="55" t="s">
        <v>959</v>
      </c>
      <c r="C52" s="55" t="s">
        <v>960</v>
      </c>
      <c r="D52" s="54"/>
      <c r="E52" s="210"/>
      <c r="F52" s="54">
        <v>1</v>
      </c>
      <c r="G52" s="54"/>
      <c r="H52" s="54"/>
      <c r="I52" s="54"/>
      <c r="J52" s="54"/>
      <c r="K52" s="54"/>
      <c r="L52" s="54">
        <v>1</v>
      </c>
      <c r="M52" s="210"/>
      <c r="N52" s="55" t="s">
        <v>49</v>
      </c>
      <c r="O52" s="55" t="s">
        <v>955</v>
      </c>
      <c r="P52" s="55" t="s">
        <v>957</v>
      </c>
      <c r="Q52" s="55" t="s">
        <v>958</v>
      </c>
      <c r="R52" s="55" t="s">
        <v>300</v>
      </c>
      <c r="S52" s="55">
        <v>91773</v>
      </c>
      <c r="T52" s="55" t="s">
        <v>963</v>
      </c>
      <c r="U52" s="210"/>
      <c r="V52" s="56" t="s">
        <v>956</v>
      </c>
      <c r="X52" s="54"/>
      <c r="Z52" s="54"/>
      <c r="AH52" s="90" t="s">
        <v>961</v>
      </c>
      <c r="AP52" s="210"/>
    </row>
    <row r="53" spans="1:42" s="22" customFormat="1">
      <c r="A53" s="7"/>
      <c r="B53" s="22" t="s">
        <v>366</v>
      </c>
      <c r="C53" s="22" t="s">
        <v>969</v>
      </c>
      <c r="D53" s="23"/>
      <c r="E53" s="210"/>
      <c r="F53" s="23">
        <v>1</v>
      </c>
      <c r="G53" s="23"/>
      <c r="H53" s="23"/>
      <c r="I53" s="23"/>
      <c r="J53" s="23"/>
      <c r="K53" s="23"/>
      <c r="L53" s="23"/>
      <c r="M53" s="210"/>
      <c r="N53" s="22" t="s">
        <v>965</v>
      </c>
      <c r="O53" s="22" t="s">
        <v>968</v>
      </c>
      <c r="P53" s="22" t="s">
        <v>966</v>
      </c>
      <c r="Q53" s="22" t="s">
        <v>967</v>
      </c>
      <c r="R53" s="22" t="s">
        <v>559</v>
      </c>
      <c r="S53" s="22">
        <v>24073</v>
      </c>
      <c r="T53" s="22" t="s">
        <v>970</v>
      </c>
      <c r="U53" s="210"/>
      <c r="V53" s="36" t="s">
        <v>964</v>
      </c>
      <c r="X53" s="23"/>
      <c r="Z53" s="23"/>
      <c r="AP53" s="210"/>
    </row>
  </sheetData>
  <hyperlinks>
    <hyperlink ref="B36" r:id="rId1" display="mailto:ccrutcher@foursquare.org" xr:uid="{4954E71D-616A-6544-A355-FD108838ABE4}"/>
    <hyperlink ref="B38" r:id="rId2" display="mailto:ccrutcher@foursquare.org" xr:uid="{2993F1EC-FC42-FE40-A210-24DF20A1258D}"/>
    <hyperlink ref="B39" display="Dave" xr:uid="{887D2FF8-5306-4447-AB25-7A3B82C82505}"/>
    <hyperlink ref="B40" r:id="rId3" display="mailto:ccrutcher@foursquare.org" xr:uid="{79B5A1AD-E307-BE40-B446-4E6D63FDD8E3}"/>
    <hyperlink ref="AH52" r:id="rId4" display="https://angierichey.com/" xr:uid="{04AF7D05-BEC3-8946-85A6-1270273E487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1F73-4741-BE4F-BE75-366BE3EB796F}">
  <dimension ref="A1:CD141"/>
  <sheetViews>
    <sheetView workbookViewId="0">
      <selection activeCell="Q22" sqref="Q22"/>
    </sheetView>
  </sheetViews>
  <sheetFormatPr baseColWidth="10" defaultRowHeight="16"/>
  <cols>
    <col min="1" max="1" width="5.83203125" style="7" customWidth="1"/>
    <col min="2" max="2" width="22.83203125" style="7" customWidth="1"/>
    <col min="3" max="3" width="18" style="9" customWidth="1"/>
    <col min="4" max="4" width="7.33203125" style="9" bestFit="1" customWidth="1"/>
    <col min="5" max="5" width="8.5" style="9" bestFit="1" customWidth="1"/>
    <col min="6" max="6" width="8.83203125" style="9" bestFit="1" customWidth="1"/>
    <col min="7" max="7" width="6.33203125" style="9" customWidth="1"/>
    <col min="8" max="8" width="10.83203125" style="7"/>
    <col min="9" max="9" width="8.33203125" style="7" bestFit="1" customWidth="1"/>
    <col min="10" max="10" width="9.33203125" style="7" bestFit="1" customWidth="1"/>
    <col min="11" max="12" width="5.83203125" style="7" bestFit="1" customWidth="1"/>
    <col min="13" max="13" width="7.83203125" style="7" bestFit="1" customWidth="1"/>
    <col min="14" max="15" width="8.1640625" style="7" customWidth="1"/>
    <col min="16" max="17" width="6.33203125" style="9" customWidth="1"/>
    <col min="18" max="18" width="6.83203125" style="7" customWidth="1"/>
    <col min="19" max="19" width="5.6640625" style="7" bestFit="1" customWidth="1"/>
    <col min="20" max="20" width="6.1640625" style="7" bestFit="1" customWidth="1"/>
    <col min="21" max="21" width="5.6640625" style="7" bestFit="1" customWidth="1"/>
    <col min="22" max="22" width="9" style="7" bestFit="1" customWidth="1"/>
    <col min="23" max="23" width="5.83203125" style="7" bestFit="1" customWidth="1"/>
    <col min="24" max="24" width="7.6640625" style="7" bestFit="1" customWidth="1"/>
    <col min="25" max="26" width="6.33203125" style="9" customWidth="1"/>
    <col min="27" max="27" width="5.6640625" style="9" bestFit="1" customWidth="1"/>
    <col min="28" max="28" width="6.1640625" style="9" bestFit="1" customWidth="1"/>
    <col min="29" max="29" width="5.6640625" style="9" bestFit="1" customWidth="1"/>
    <col min="30" max="30" width="9" style="9" bestFit="1" customWidth="1"/>
    <col min="31" max="31" width="5.83203125" style="9" bestFit="1" customWidth="1"/>
    <col min="32" max="32" width="7.6640625" style="9" bestFit="1" customWidth="1"/>
    <col min="33" max="33" width="6.33203125" style="9" customWidth="1"/>
    <col min="34" max="34" width="11.6640625" style="7" customWidth="1"/>
    <col min="35" max="35" width="7.6640625" style="7" bestFit="1" customWidth="1"/>
    <col min="36" max="36" width="8.5" style="7" bestFit="1" customWidth="1"/>
    <col min="37" max="37" width="9.1640625" style="7" bestFit="1" customWidth="1"/>
    <col min="38" max="38" width="12" style="7" bestFit="1" customWidth="1"/>
    <col min="39" max="40" width="13.33203125" style="7" bestFit="1" customWidth="1"/>
    <col min="41" max="41" width="9" style="7" bestFit="1" customWidth="1"/>
    <col min="42" max="42" width="9.1640625" style="7" bestFit="1" customWidth="1"/>
    <col min="43" max="43" width="9.1640625" style="7" customWidth="1"/>
    <col min="44" max="44" width="13.1640625" style="7" bestFit="1" customWidth="1"/>
    <col min="45" max="45" width="11.5" style="7" bestFit="1" customWidth="1"/>
    <col min="46" max="46" width="9.33203125" style="7" bestFit="1" customWidth="1"/>
    <col min="47" max="47" width="9.6640625" style="7" bestFit="1" customWidth="1"/>
    <col min="48" max="48" width="12.33203125" style="7" bestFit="1" customWidth="1"/>
    <col min="49" max="49" width="4.83203125" style="7" bestFit="1" customWidth="1"/>
    <col min="50" max="50" width="9.5" style="7" bestFit="1" customWidth="1"/>
    <col min="51" max="51" width="6.33203125" style="9" customWidth="1"/>
    <col min="52" max="52" width="13" style="7" bestFit="1" customWidth="1"/>
    <col min="53" max="54" width="8.83203125" style="7" bestFit="1" customWidth="1"/>
    <col min="55" max="55" width="6.33203125" style="7" bestFit="1" customWidth="1"/>
    <col min="56" max="56" width="6" style="7" bestFit="1" customWidth="1"/>
    <col min="57" max="57" width="4.1640625" style="7" bestFit="1" customWidth="1"/>
    <col min="58" max="58" width="9" style="7" bestFit="1" customWidth="1"/>
    <col min="59" max="59" width="6.33203125" style="9" customWidth="1"/>
    <col min="60" max="61" width="8.5" style="9" bestFit="1" customWidth="1"/>
    <col min="62" max="62" width="6.33203125" style="9" customWidth="1"/>
    <col min="63" max="63" width="10.5" style="9" customWidth="1"/>
    <col min="64" max="65" width="9.5" style="9" bestFit="1" customWidth="1"/>
    <col min="66" max="66" width="8.6640625" style="9" bestFit="1" customWidth="1"/>
    <col min="67" max="67" width="7.6640625" style="9" bestFit="1" customWidth="1"/>
    <col min="68" max="68" width="6.33203125" style="9" customWidth="1"/>
    <col min="69" max="69" width="11.1640625" style="9" bestFit="1" customWidth="1"/>
    <col min="70" max="70" width="11.6640625" style="9" bestFit="1" customWidth="1"/>
    <col min="71" max="71" width="8.33203125" style="9" bestFit="1" customWidth="1"/>
    <col min="72" max="72" width="7.1640625" style="9" bestFit="1" customWidth="1"/>
    <col min="73" max="74" width="8.6640625" style="9" customWidth="1"/>
    <col min="75" max="75" width="9" style="9" bestFit="1" customWidth="1"/>
    <col min="76" max="76" width="9" style="9" customWidth="1"/>
    <col min="77" max="77" width="5.6640625" style="9" bestFit="1" customWidth="1"/>
    <col min="78" max="79" width="9.5" style="7" bestFit="1" customWidth="1"/>
    <col min="80" max="80" width="6.33203125" style="7" bestFit="1" customWidth="1"/>
    <col min="81" max="81" width="9.1640625" style="7" bestFit="1" customWidth="1"/>
    <col min="82" max="82" width="6.33203125" style="9" customWidth="1"/>
    <col min="83" max="16384" width="10.83203125" style="7"/>
  </cols>
  <sheetData>
    <row r="1" spans="1:82" customFormat="1">
      <c r="C1" s="32"/>
      <c r="D1" s="32"/>
      <c r="E1" s="32"/>
      <c r="F1" s="32"/>
      <c r="G1" s="32"/>
      <c r="P1" s="32"/>
      <c r="Q1" s="32"/>
      <c r="Y1" s="32"/>
      <c r="Z1" s="32"/>
      <c r="AA1" s="32"/>
      <c r="AB1" s="32"/>
      <c r="AC1" s="32"/>
      <c r="AD1" s="32"/>
      <c r="AE1" s="32"/>
      <c r="AF1" s="32"/>
      <c r="AG1" s="32"/>
      <c r="AY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CD1" s="32"/>
    </row>
    <row r="2" spans="1:82" s="38" customFormat="1" ht="21">
      <c r="B2" s="1" t="s">
        <v>1951</v>
      </c>
      <c r="C2" s="137"/>
      <c r="D2" s="137"/>
      <c r="E2" s="137"/>
      <c r="F2" s="137"/>
      <c r="G2" s="137"/>
      <c r="P2" s="137"/>
      <c r="Q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CD2" s="137"/>
    </row>
    <row r="3" spans="1:82" s="38" customFormat="1">
      <c r="B3" s="102" t="s">
        <v>1381</v>
      </c>
      <c r="C3" s="137"/>
      <c r="D3" s="137"/>
      <c r="E3" s="137"/>
      <c r="F3" s="137"/>
      <c r="G3" s="137"/>
      <c r="P3" s="137"/>
      <c r="Q3" s="137"/>
      <c r="Y3" s="137"/>
      <c r="Z3" s="137"/>
      <c r="AA3" s="137"/>
      <c r="AB3" s="137"/>
      <c r="AC3" s="137"/>
      <c r="AD3" s="137"/>
      <c r="AE3" s="137"/>
      <c r="AF3" s="137"/>
      <c r="AG3" s="137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CD3" s="137"/>
    </row>
    <row r="4" spans="1:82" s="38" customFormat="1">
      <c r="B4" s="140" t="s">
        <v>1533</v>
      </c>
      <c r="C4" s="137"/>
      <c r="D4" s="137"/>
      <c r="E4" s="137"/>
      <c r="F4" s="137"/>
      <c r="G4" s="137"/>
      <c r="P4" s="137"/>
      <c r="Q4" s="137"/>
      <c r="Y4" s="137"/>
      <c r="Z4" s="137"/>
      <c r="AA4" s="137"/>
      <c r="AB4" s="137"/>
      <c r="AC4" s="137"/>
      <c r="AD4" s="137"/>
      <c r="AE4" s="137"/>
      <c r="AF4" s="137"/>
      <c r="AG4" s="137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CD4" s="137"/>
    </row>
    <row r="5" spans="1:82" s="38" customFormat="1">
      <c r="B5" s="140"/>
      <c r="C5" s="137"/>
      <c r="D5" s="137"/>
      <c r="E5" s="137"/>
      <c r="F5" s="137"/>
      <c r="G5" s="137"/>
      <c r="P5" s="137"/>
      <c r="Q5" s="137"/>
      <c r="Y5" s="137"/>
      <c r="Z5" s="137"/>
      <c r="AA5" s="137"/>
      <c r="AB5" s="137"/>
      <c r="AC5" s="137"/>
      <c r="AD5" s="137"/>
      <c r="AE5" s="137"/>
      <c r="AF5" s="137"/>
      <c r="AG5" s="137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CD5" s="137"/>
    </row>
    <row r="6" spans="1:82" s="38" customFormat="1">
      <c r="C6" s="42" t="s">
        <v>191</v>
      </c>
      <c r="D6" s="137"/>
      <c r="E6" s="137"/>
      <c r="F6" s="137"/>
      <c r="G6" s="137"/>
      <c r="P6" s="137"/>
      <c r="Q6" s="137"/>
      <c r="R6" s="41" t="s">
        <v>192</v>
      </c>
      <c r="S6" s="42"/>
      <c r="T6" s="42"/>
      <c r="U6" s="42"/>
      <c r="V6" s="42"/>
      <c r="W6" s="42"/>
      <c r="X6" s="42"/>
      <c r="Y6" s="137"/>
      <c r="Z6" s="38" t="s">
        <v>193</v>
      </c>
      <c r="AG6" s="137"/>
      <c r="AH6" s="139" t="s">
        <v>1384</v>
      </c>
      <c r="AI6" s="139"/>
      <c r="AJ6" s="139"/>
      <c r="AK6" s="139"/>
      <c r="AL6" s="139"/>
      <c r="AM6" s="42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37"/>
      <c r="AZ6" s="38" t="s">
        <v>1534</v>
      </c>
      <c r="BG6" s="137"/>
      <c r="BH6" s="42"/>
      <c r="BI6" s="42" t="s">
        <v>124</v>
      </c>
      <c r="BJ6" s="137"/>
      <c r="BK6" s="41" t="s">
        <v>1386</v>
      </c>
      <c r="BL6" s="42"/>
      <c r="BM6" s="42"/>
      <c r="BN6" s="42"/>
      <c r="BO6" s="42"/>
      <c r="BP6" s="137"/>
      <c r="BQ6" s="42" t="s">
        <v>1535</v>
      </c>
      <c r="BR6" s="42" t="s">
        <v>1388</v>
      </c>
      <c r="BS6" s="42"/>
      <c r="BT6" s="42"/>
      <c r="BU6" s="142"/>
      <c r="BV6" s="142"/>
      <c r="BW6" s="137"/>
      <c r="BX6" s="137"/>
      <c r="BY6" s="137"/>
      <c r="CD6" s="137"/>
    </row>
    <row r="7" spans="1:82" s="38" customFormat="1">
      <c r="C7" s="42" t="s">
        <v>1389</v>
      </c>
      <c r="D7" s="42" t="s">
        <v>191</v>
      </c>
      <c r="E7" s="42" t="s">
        <v>124</v>
      </c>
      <c r="F7" s="42" t="s">
        <v>124</v>
      </c>
      <c r="G7" s="137"/>
      <c r="H7" s="43" t="s">
        <v>194</v>
      </c>
      <c r="I7" s="39"/>
      <c r="J7" s="39"/>
      <c r="K7" s="39"/>
      <c r="L7" s="39"/>
      <c r="M7" s="39"/>
      <c r="N7" s="39"/>
      <c r="O7" s="39"/>
      <c r="P7" s="137"/>
      <c r="Q7" s="137"/>
      <c r="R7" s="44" t="s">
        <v>20</v>
      </c>
      <c r="S7" s="44"/>
      <c r="T7" s="44"/>
      <c r="U7" s="44"/>
      <c r="V7" s="44"/>
      <c r="W7" s="44"/>
      <c r="X7" s="44"/>
      <c r="Y7" s="137"/>
      <c r="Z7" s="38" t="s">
        <v>20</v>
      </c>
      <c r="AG7" s="137"/>
      <c r="AH7" s="141" t="s">
        <v>195</v>
      </c>
      <c r="AI7" s="42" t="s">
        <v>196</v>
      </c>
      <c r="AJ7" s="42" t="s">
        <v>197</v>
      </c>
      <c r="AK7" s="42" t="s">
        <v>198</v>
      </c>
      <c r="AL7" s="42" t="s">
        <v>199</v>
      </c>
      <c r="AM7" s="141" t="s">
        <v>14</v>
      </c>
      <c r="AN7" s="141" t="s">
        <v>200</v>
      </c>
      <c r="AO7" s="42"/>
      <c r="AP7" s="141"/>
      <c r="AQ7" s="42" t="s">
        <v>201</v>
      </c>
      <c r="AR7" s="42" t="s">
        <v>202</v>
      </c>
      <c r="AS7" s="141" t="s">
        <v>203</v>
      </c>
      <c r="AT7" s="42" t="s">
        <v>204</v>
      </c>
      <c r="AU7" s="42"/>
      <c r="AV7" s="42" t="s">
        <v>205</v>
      </c>
      <c r="AW7" s="42"/>
      <c r="AX7" s="141" t="s">
        <v>206</v>
      </c>
      <c r="AY7" s="137"/>
      <c r="AZ7" s="38" t="s">
        <v>1536</v>
      </c>
      <c r="BG7" s="137"/>
      <c r="BH7" s="42" t="s">
        <v>124</v>
      </c>
      <c r="BI7" s="42" t="s">
        <v>1391</v>
      </c>
      <c r="BJ7" s="137"/>
      <c r="BK7" s="46" t="s">
        <v>209</v>
      </c>
      <c r="BL7" s="46" t="s">
        <v>210</v>
      </c>
      <c r="BM7" s="46" t="s">
        <v>211</v>
      </c>
      <c r="BN7" s="46" t="s">
        <v>212</v>
      </c>
      <c r="BO7" s="46" t="s">
        <v>213</v>
      </c>
      <c r="BP7" s="137"/>
      <c r="BQ7" s="42" t="s">
        <v>1387</v>
      </c>
      <c r="BR7" s="42" t="s">
        <v>1537</v>
      </c>
      <c r="BS7" s="42" t="s">
        <v>1538</v>
      </c>
      <c r="BT7" s="42" t="s">
        <v>21</v>
      </c>
      <c r="BU7" s="42" t="s">
        <v>21</v>
      </c>
      <c r="BV7" s="42" t="s">
        <v>21</v>
      </c>
      <c r="BW7" s="137" t="s">
        <v>22</v>
      </c>
      <c r="BX7" s="137" t="s">
        <v>22</v>
      </c>
      <c r="BY7" s="137"/>
      <c r="BZ7" s="42" t="s">
        <v>23</v>
      </c>
      <c r="CA7" s="42" t="s">
        <v>23</v>
      </c>
      <c r="CB7" s="42" t="s">
        <v>24</v>
      </c>
      <c r="CC7" s="42" t="s">
        <v>24</v>
      </c>
      <c r="CD7" s="137"/>
    </row>
    <row r="8" spans="1:82" s="47" customFormat="1" ht="17" thickBot="1">
      <c r="B8" s="47" t="s">
        <v>34</v>
      </c>
      <c r="C8" s="53" t="s">
        <v>1393</v>
      </c>
      <c r="D8" s="53" t="s">
        <v>216</v>
      </c>
      <c r="E8" s="53" t="s">
        <v>216</v>
      </c>
      <c r="F8" s="143" t="s">
        <v>2</v>
      </c>
      <c r="H8" s="49" t="s">
        <v>217</v>
      </c>
      <c r="I8" s="48" t="s">
        <v>218</v>
      </c>
      <c r="J8" s="48" t="s">
        <v>1539</v>
      </c>
      <c r="K8" s="47" t="s">
        <v>220</v>
      </c>
      <c r="L8" s="47" t="s">
        <v>101</v>
      </c>
      <c r="M8" s="47" t="s">
        <v>102</v>
      </c>
      <c r="N8" s="47" t="s">
        <v>221</v>
      </c>
      <c r="O8" s="47" t="s">
        <v>222</v>
      </c>
      <c r="P8" s="47" t="s">
        <v>223</v>
      </c>
      <c r="R8" s="51" t="s">
        <v>26</v>
      </c>
      <c r="S8" s="51" t="s">
        <v>27</v>
      </c>
      <c r="T8" s="51" t="s">
        <v>28</v>
      </c>
      <c r="U8" s="51" t="s">
        <v>29</v>
      </c>
      <c r="V8" s="51" t="s">
        <v>14</v>
      </c>
      <c r="W8" s="51" t="s">
        <v>24</v>
      </c>
      <c r="X8" s="51" t="s">
        <v>30</v>
      </c>
      <c r="Z8" s="47" t="s">
        <v>26</v>
      </c>
      <c r="AA8" s="47" t="s">
        <v>27</v>
      </c>
      <c r="AB8" s="47" t="s">
        <v>28</v>
      </c>
      <c r="AC8" s="47" t="s">
        <v>29</v>
      </c>
      <c r="AD8" s="47" t="s">
        <v>14</v>
      </c>
      <c r="AE8" s="47" t="s">
        <v>24</v>
      </c>
      <c r="AF8" s="51" t="s">
        <v>30</v>
      </c>
      <c r="AH8" s="144" t="s">
        <v>225</v>
      </c>
      <c r="AI8" s="53" t="s">
        <v>226</v>
      </c>
      <c r="AJ8" s="53" t="s">
        <v>226</v>
      </c>
      <c r="AK8" s="53" t="s">
        <v>215</v>
      </c>
      <c r="AL8" s="53" t="s">
        <v>227</v>
      </c>
      <c r="AM8" s="144" t="s">
        <v>228</v>
      </c>
      <c r="AN8" s="144" t="s">
        <v>229</v>
      </c>
      <c r="AO8" s="144" t="s">
        <v>230</v>
      </c>
      <c r="AP8" s="144" t="s">
        <v>231</v>
      </c>
      <c r="AQ8" s="53" t="s">
        <v>232</v>
      </c>
      <c r="AR8" s="53" t="s">
        <v>233</v>
      </c>
      <c r="AS8" s="144" t="s">
        <v>234</v>
      </c>
      <c r="AT8" s="53" t="s">
        <v>235</v>
      </c>
      <c r="AU8" s="53" t="s">
        <v>236</v>
      </c>
      <c r="AV8" s="53" t="s">
        <v>237</v>
      </c>
      <c r="AW8" s="144" t="s">
        <v>238</v>
      </c>
      <c r="AX8" s="144" t="s">
        <v>239</v>
      </c>
      <c r="AZ8" s="47" t="s">
        <v>4</v>
      </c>
      <c r="BA8" s="47" t="s">
        <v>1540</v>
      </c>
      <c r="BB8" s="47" t="s">
        <v>1541</v>
      </c>
      <c r="BC8" s="47" t="s">
        <v>1542</v>
      </c>
      <c r="BD8" s="53" t="s">
        <v>242</v>
      </c>
      <c r="BE8" s="53" t="s">
        <v>243</v>
      </c>
      <c r="BF8" s="53" t="s">
        <v>14</v>
      </c>
      <c r="BH8" s="53" t="s">
        <v>2</v>
      </c>
      <c r="BI8" s="53" t="s">
        <v>2</v>
      </c>
      <c r="BK8" s="53" t="s">
        <v>244</v>
      </c>
      <c r="BL8" s="53" t="s">
        <v>244</v>
      </c>
      <c r="BM8" s="53" t="s">
        <v>244</v>
      </c>
      <c r="BN8" s="53" t="s">
        <v>34</v>
      </c>
      <c r="BO8" s="53" t="s">
        <v>196</v>
      </c>
      <c r="BQ8" s="53" t="s">
        <v>1543</v>
      </c>
      <c r="BR8" s="53" t="s">
        <v>39</v>
      </c>
      <c r="BS8" s="53" t="s">
        <v>39</v>
      </c>
      <c r="BT8" s="53" t="s">
        <v>1396</v>
      </c>
      <c r="BU8" s="53" t="s">
        <v>39</v>
      </c>
      <c r="BV8" s="53" t="s">
        <v>42</v>
      </c>
      <c r="BW8" s="53" t="s">
        <v>39</v>
      </c>
      <c r="BX8" s="145" t="s">
        <v>43</v>
      </c>
      <c r="BY8" s="145" t="s">
        <v>1397</v>
      </c>
      <c r="BZ8" s="53" t="s">
        <v>39</v>
      </c>
      <c r="CA8" s="53" t="s">
        <v>42</v>
      </c>
      <c r="CB8" s="53" t="s">
        <v>45</v>
      </c>
      <c r="CC8" s="53" t="s">
        <v>42</v>
      </c>
    </row>
    <row r="9" spans="1:82">
      <c r="A9" s="146"/>
      <c r="B9" s="9" t="s">
        <v>1398</v>
      </c>
      <c r="C9" s="9">
        <v>0</v>
      </c>
      <c r="D9" s="9">
        <v>9</v>
      </c>
      <c r="E9" s="9">
        <v>21</v>
      </c>
      <c r="F9" s="9">
        <v>2</v>
      </c>
      <c r="G9" s="210"/>
      <c r="H9" s="9">
        <v>1</v>
      </c>
      <c r="I9" s="9">
        <v>0</v>
      </c>
      <c r="J9" s="9">
        <v>0</v>
      </c>
      <c r="K9" s="9">
        <v>1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210"/>
      <c r="R9" s="9">
        <v>0</v>
      </c>
      <c r="S9" s="9">
        <v>0</v>
      </c>
      <c r="T9" s="9">
        <v>0</v>
      </c>
      <c r="U9" s="9">
        <v>2</v>
      </c>
      <c r="V9" s="9">
        <v>0</v>
      </c>
      <c r="W9" s="9">
        <v>0</v>
      </c>
      <c r="X9" s="9">
        <v>0</v>
      </c>
      <c r="Y9" s="210"/>
      <c r="Z9" s="9">
        <v>2</v>
      </c>
      <c r="AA9" s="147">
        <v>2</v>
      </c>
      <c r="AB9" s="9">
        <v>0</v>
      </c>
      <c r="AC9" s="9">
        <v>0</v>
      </c>
      <c r="AD9" s="9">
        <v>0</v>
      </c>
      <c r="AE9" s="147">
        <v>4</v>
      </c>
      <c r="AF9" s="147">
        <v>4</v>
      </c>
      <c r="AG9" s="210"/>
      <c r="AH9" s="9">
        <v>2</v>
      </c>
      <c r="AI9" s="9">
        <v>2</v>
      </c>
      <c r="AJ9" s="9">
        <v>0</v>
      </c>
      <c r="AK9" s="9">
        <v>0</v>
      </c>
      <c r="AL9" s="9">
        <v>0</v>
      </c>
      <c r="AM9" s="9">
        <v>4</v>
      </c>
      <c r="AN9" s="9">
        <v>4</v>
      </c>
      <c r="AO9" s="9">
        <v>0</v>
      </c>
      <c r="AP9" s="9">
        <v>2</v>
      </c>
      <c r="AQ9" s="9">
        <v>2</v>
      </c>
      <c r="AR9" s="9">
        <v>2</v>
      </c>
      <c r="AS9" s="9">
        <v>1</v>
      </c>
      <c r="AT9" s="9">
        <v>2</v>
      </c>
      <c r="AU9" s="9">
        <v>0</v>
      </c>
      <c r="AV9" s="9">
        <v>0</v>
      </c>
      <c r="AW9" s="9">
        <v>1</v>
      </c>
      <c r="AX9" s="9">
        <v>0</v>
      </c>
      <c r="AY9" s="210"/>
      <c r="AZ9" s="9">
        <v>0</v>
      </c>
      <c r="BA9" s="9">
        <v>2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210"/>
      <c r="BH9" s="104">
        <v>2</v>
      </c>
      <c r="BI9" s="104">
        <v>1</v>
      </c>
      <c r="BJ9" s="210"/>
      <c r="BK9" s="104">
        <v>1</v>
      </c>
      <c r="BL9" s="104">
        <v>0</v>
      </c>
      <c r="BM9" s="104">
        <v>0</v>
      </c>
      <c r="BN9" s="104">
        <v>0</v>
      </c>
      <c r="BO9" s="104">
        <v>0</v>
      </c>
      <c r="BP9" s="210"/>
      <c r="BQ9" s="104">
        <v>0</v>
      </c>
      <c r="BR9" s="9">
        <v>3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210"/>
    </row>
    <row r="10" spans="1:82" s="9" customFormat="1">
      <c r="A10" s="146"/>
      <c r="B10" s="9" t="s">
        <v>1399</v>
      </c>
      <c r="C10" s="9">
        <v>0</v>
      </c>
      <c r="D10" s="9">
        <v>0</v>
      </c>
      <c r="E10" s="9">
        <v>3</v>
      </c>
      <c r="F10" s="9">
        <v>3</v>
      </c>
      <c r="G10" s="210"/>
      <c r="H10" s="9">
        <v>3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210"/>
      <c r="R10" s="9">
        <v>0</v>
      </c>
      <c r="S10" s="9">
        <v>0</v>
      </c>
      <c r="T10" s="9">
        <v>1</v>
      </c>
      <c r="U10" s="9">
        <v>0</v>
      </c>
      <c r="V10" s="9">
        <v>2</v>
      </c>
      <c r="W10" s="9">
        <v>0</v>
      </c>
      <c r="X10" s="9">
        <v>0</v>
      </c>
      <c r="Y10" s="210"/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210"/>
      <c r="AH10" s="9">
        <v>3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210"/>
      <c r="AZ10" s="9">
        <v>3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210"/>
      <c r="BH10" s="104">
        <v>3</v>
      </c>
      <c r="BI10" s="104">
        <v>0</v>
      </c>
      <c r="BJ10" s="210"/>
      <c r="BK10" s="104">
        <v>0</v>
      </c>
      <c r="BL10" s="104">
        <v>0</v>
      </c>
      <c r="BM10" s="104">
        <v>0</v>
      </c>
      <c r="BN10" s="104">
        <v>0</v>
      </c>
      <c r="BO10" s="104">
        <v>0</v>
      </c>
      <c r="BP10" s="210"/>
      <c r="BQ10" s="104">
        <v>0</v>
      </c>
      <c r="BR10" s="9">
        <v>3</v>
      </c>
      <c r="BS10" s="9">
        <v>1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210"/>
    </row>
    <row r="11" spans="1:82" s="9" customFormat="1">
      <c r="A11" s="146"/>
      <c r="B11" s="9" t="s">
        <v>1400</v>
      </c>
      <c r="C11" s="9">
        <v>1</v>
      </c>
      <c r="D11" s="9">
        <v>37</v>
      </c>
      <c r="E11" s="9">
        <v>103</v>
      </c>
      <c r="F11" s="9">
        <v>25</v>
      </c>
      <c r="G11" s="210"/>
      <c r="H11" s="9">
        <v>20</v>
      </c>
      <c r="I11" s="9">
        <v>1</v>
      </c>
      <c r="J11" s="9">
        <v>2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210"/>
      <c r="R11" s="9">
        <v>5</v>
      </c>
      <c r="S11" s="9">
        <v>1</v>
      </c>
      <c r="T11" s="9">
        <v>3</v>
      </c>
      <c r="U11" s="9">
        <v>0</v>
      </c>
      <c r="V11" s="9">
        <v>16</v>
      </c>
      <c r="W11" s="9">
        <v>0</v>
      </c>
      <c r="X11" s="9">
        <v>3</v>
      </c>
      <c r="Y11" s="210"/>
      <c r="Z11" s="9">
        <v>0</v>
      </c>
      <c r="AA11" s="9">
        <v>0</v>
      </c>
      <c r="AB11" s="9">
        <v>1</v>
      </c>
      <c r="AC11" s="9">
        <v>0</v>
      </c>
      <c r="AD11" s="9">
        <v>0</v>
      </c>
      <c r="AE11" s="9">
        <v>0</v>
      </c>
      <c r="AF11" s="9">
        <v>0</v>
      </c>
      <c r="AG11" s="210"/>
      <c r="AH11" s="9">
        <v>27</v>
      </c>
      <c r="AI11" s="9">
        <v>3</v>
      </c>
      <c r="AJ11" s="9">
        <v>1</v>
      </c>
      <c r="AK11" s="9">
        <v>4</v>
      </c>
      <c r="AL11" s="9">
        <v>3</v>
      </c>
      <c r="AM11" s="9">
        <v>16</v>
      </c>
      <c r="AN11" s="9">
        <v>9</v>
      </c>
      <c r="AO11" s="9">
        <v>2</v>
      </c>
      <c r="AP11" s="9">
        <v>8</v>
      </c>
      <c r="AQ11" s="9">
        <v>13</v>
      </c>
      <c r="AR11" s="9">
        <v>5</v>
      </c>
      <c r="AS11" s="9">
        <v>10</v>
      </c>
      <c r="AT11" s="9">
        <v>6</v>
      </c>
      <c r="AU11" s="9">
        <v>2</v>
      </c>
      <c r="AV11" s="9">
        <v>3</v>
      </c>
      <c r="AW11" s="9">
        <v>4</v>
      </c>
      <c r="AX11" s="9">
        <v>5</v>
      </c>
      <c r="AY11" s="210"/>
      <c r="AZ11" s="9">
        <v>12</v>
      </c>
      <c r="BA11" s="9">
        <v>7</v>
      </c>
      <c r="BB11" s="9">
        <v>1</v>
      </c>
      <c r="BC11" s="9">
        <v>0</v>
      </c>
      <c r="BD11" s="9">
        <v>0</v>
      </c>
      <c r="BE11" s="9">
        <v>0</v>
      </c>
      <c r="BF11" s="9">
        <v>5</v>
      </c>
      <c r="BG11" s="210"/>
      <c r="BH11" s="104">
        <v>25</v>
      </c>
      <c r="BI11" s="104">
        <v>1</v>
      </c>
      <c r="BJ11" s="210"/>
      <c r="BK11" s="104">
        <v>1</v>
      </c>
      <c r="BL11" s="104">
        <v>0</v>
      </c>
      <c r="BM11" s="104">
        <v>0</v>
      </c>
      <c r="BN11" s="104">
        <v>0</v>
      </c>
      <c r="BO11" s="104">
        <v>0</v>
      </c>
      <c r="BP11" s="210"/>
      <c r="BQ11" s="104">
        <v>0</v>
      </c>
      <c r="BR11" s="9">
        <v>34</v>
      </c>
      <c r="BS11" s="9">
        <v>1</v>
      </c>
      <c r="BT11" s="9">
        <v>0</v>
      </c>
      <c r="BU11" s="9">
        <v>0</v>
      </c>
      <c r="BV11" s="9">
        <v>0</v>
      </c>
      <c r="BW11" s="9">
        <v>4</v>
      </c>
      <c r="BX11" s="9">
        <v>923</v>
      </c>
      <c r="BY11" s="9">
        <v>1</v>
      </c>
      <c r="BZ11" s="9">
        <v>2</v>
      </c>
      <c r="CA11" s="9">
        <v>2054</v>
      </c>
      <c r="CB11" s="9">
        <v>0</v>
      </c>
      <c r="CC11" s="9">
        <v>0</v>
      </c>
      <c r="CD11" s="210"/>
    </row>
    <row r="12" spans="1:82" s="9" customFormat="1">
      <c r="A12" s="146"/>
      <c r="B12" s="9" t="s">
        <v>1401</v>
      </c>
      <c r="C12" s="9">
        <v>0</v>
      </c>
      <c r="D12" s="9">
        <v>7</v>
      </c>
      <c r="E12" s="9">
        <v>22</v>
      </c>
      <c r="F12" s="9">
        <v>10</v>
      </c>
      <c r="G12" s="210"/>
      <c r="H12" s="9">
        <v>10</v>
      </c>
      <c r="I12" s="9">
        <v>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210"/>
      <c r="R12" s="9">
        <v>1</v>
      </c>
      <c r="S12" s="9">
        <v>0</v>
      </c>
      <c r="T12" s="9">
        <v>0</v>
      </c>
      <c r="U12" s="9">
        <v>0</v>
      </c>
      <c r="V12" s="9">
        <v>10</v>
      </c>
      <c r="W12" s="9">
        <v>0</v>
      </c>
      <c r="X12" s="9">
        <v>0</v>
      </c>
      <c r="Y12" s="210"/>
      <c r="Z12" s="9">
        <v>1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</v>
      </c>
      <c r="AG12" s="210"/>
      <c r="AH12" s="9">
        <v>12</v>
      </c>
      <c r="AI12" s="9">
        <v>0</v>
      </c>
      <c r="AJ12" s="9">
        <v>0</v>
      </c>
      <c r="AK12" s="9">
        <v>0</v>
      </c>
      <c r="AL12" s="9">
        <v>0</v>
      </c>
      <c r="AM12" s="9">
        <v>3</v>
      </c>
      <c r="AN12" s="9">
        <v>2</v>
      </c>
      <c r="AO12" s="9">
        <v>0</v>
      </c>
      <c r="AP12" s="9">
        <v>3</v>
      </c>
      <c r="AQ12" s="9">
        <v>2</v>
      </c>
      <c r="AR12" s="9">
        <v>0</v>
      </c>
      <c r="AS12" s="9">
        <v>2</v>
      </c>
      <c r="AT12" s="9">
        <v>3</v>
      </c>
      <c r="AU12" s="9">
        <v>0</v>
      </c>
      <c r="AV12" s="9">
        <v>0</v>
      </c>
      <c r="AW12" s="9">
        <v>0</v>
      </c>
      <c r="AX12" s="9">
        <v>0</v>
      </c>
      <c r="AY12" s="210"/>
      <c r="AZ12" s="9">
        <v>9</v>
      </c>
      <c r="BA12" s="9">
        <v>1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210"/>
      <c r="BH12" s="104">
        <v>10</v>
      </c>
      <c r="BI12" s="104">
        <v>0</v>
      </c>
      <c r="BJ12" s="210"/>
      <c r="BK12" s="104">
        <v>0</v>
      </c>
      <c r="BL12" s="104">
        <v>0</v>
      </c>
      <c r="BM12" s="104">
        <v>0</v>
      </c>
      <c r="BN12" s="104">
        <v>0</v>
      </c>
      <c r="BO12" s="104">
        <v>0</v>
      </c>
      <c r="BP12" s="210"/>
      <c r="BQ12" s="104">
        <v>0</v>
      </c>
      <c r="BR12" s="9">
        <v>8</v>
      </c>
      <c r="BS12" s="9">
        <v>1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210"/>
    </row>
    <row r="13" spans="1:82" s="9" customFormat="1">
      <c r="A13" s="146"/>
      <c r="B13" s="9" t="s">
        <v>1402</v>
      </c>
      <c r="C13" s="147">
        <v>60</v>
      </c>
      <c r="D13" s="9">
        <v>291</v>
      </c>
      <c r="E13" s="9">
        <v>1172</v>
      </c>
      <c r="F13" s="9">
        <v>449</v>
      </c>
      <c r="G13" s="210"/>
      <c r="H13" s="9">
        <v>384</v>
      </c>
      <c r="I13" s="9">
        <v>27</v>
      </c>
      <c r="J13" s="9">
        <v>12</v>
      </c>
      <c r="K13" s="9">
        <v>5</v>
      </c>
      <c r="L13" s="147">
        <v>2</v>
      </c>
      <c r="M13" s="9">
        <v>0</v>
      </c>
      <c r="N13" s="9">
        <v>0</v>
      </c>
      <c r="O13" s="9">
        <v>0</v>
      </c>
      <c r="P13" s="9">
        <v>0</v>
      </c>
      <c r="Q13" s="210"/>
      <c r="R13" s="9">
        <v>100</v>
      </c>
      <c r="S13" s="9">
        <v>3</v>
      </c>
      <c r="T13" s="9">
        <v>90</v>
      </c>
      <c r="U13" s="9">
        <v>8</v>
      </c>
      <c r="V13" s="9">
        <v>230</v>
      </c>
      <c r="W13" s="9">
        <v>3</v>
      </c>
      <c r="X13" s="147">
        <v>42</v>
      </c>
      <c r="Y13" s="210"/>
      <c r="Z13" s="9">
        <v>25</v>
      </c>
      <c r="AA13" s="9">
        <v>11</v>
      </c>
      <c r="AB13" s="9">
        <v>6</v>
      </c>
      <c r="AC13" s="9">
        <v>5</v>
      </c>
      <c r="AD13" s="9">
        <v>0</v>
      </c>
      <c r="AE13" s="9">
        <v>2</v>
      </c>
      <c r="AF13" s="147">
        <v>23</v>
      </c>
      <c r="AG13" s="210"/>
      <c r="AH13" s="9">
        <v>479</v>
      </c>
      <c r="AI13" s="9">
        <v>39</v>
      </c>
      <c r="AJ13" s="9">
        <v>9</v>
      </c>
      <c r="AK13" s="9">
        <v>13</v>
      </c>
      <c r="AL13" s="9">
        <v>18</v>
      </c>
      <c r="AM13" s="9">
        <v>159</v>
      </c>
      <c r="AN13" s="9">
        <v>130</v>
      </c>
      <c r="AO13" s="9">
        <v>32</v>
      </c>
      <c r="AP13" s="9">
        <v>95</v>
      </c>
      <c r="AQ13" s="9">
        <v>91</v>
      </c>
      <c r="AR13" s="9">
        <v>23</v>
      </c>
      <c r="AS13" s="9">
        <v>34</v>
      </c>
      <c r="AT13" s="9">
        <v>65</v>
      </c>
      <c r="AU13" s="9">
        <v>10</v>
      </c>
      <c r="AV13" s="9">
        <v>30</v>
      </c>
      <c r="AW13" s="9">
        <v>27</v>
      </c>
      <c r="AX13" s="9">
        <v>28</v>
      </c>
      <c r="AY13" s="210"/>
      <c r="AZ13" s="9">
        <v>215</v>
      </c>
      <c r="BA13" s="9">
        <v>101</v>
      </c>
      <c r="BB13" s="9">
        <v>12</v>
      </c>
      <c r="BC13" s="9">
        <v>23</v>
      </c>
      <c r="BD13" s="9">
        <v>6</v>
      </c>
      <c r="BE13" s="9">
        <v>0</v>
      </c>
      <c r="BF13" s="9">
        <v>92</v>
      </c>
      <c r="BG13" s="210"/>
      <c r="BH13" s="104">
        <v>449</v>
      </c>
      <c r="BI13" s="105">
        <v>4</v>
      </c>
      <c r="BJ13" s="210"/>
      <c r="BK13" s="105">
        <v>3</v>
      </c>
      <c r="BL13" s="104">
        <v>0</v>
      </c>
      <c r="BM13" s="105">
        <v>1</v>
      </c>
      <c r="BN13" s="105">
        <v>1</v>
      </c>
      <c r="BO13" s="104">
        <v>0</v>
      </c>
      <c r="BP13" s="210"/>
      <c r="BQ13" s="105">
        <v>5</v>
      </c>
      <c r="BR13" s="147">
        <v>779</v>
      </c>
      <c r="BS13" s="9">
        <v>47</v>
      </c>
      <c r="BT13" s="9">
        <v>0</v>
      </c>
      <c r="BU13" s="9">
        <v>20</v>
      </c>
      <c r="BV13" s="9">
        <v>5629</v>
      </c>
      <c r="BW13" s="9">
        <v>49</v>
      </c>
      <c r="BX13" s="9">
        <v>34266</v>
      </c>
      <c r="BY13" s="9">
        <v>8</v>
      </c>
      <c r="BZ13" s="9">
        <v>28</v>
      </c>
      <c r="CA13" s="9">
        <v>14925</v>
      </c>
      <c r="CB13" s="9">
        <v>1</v>
      </c>
      <c r="CC13" s="9">
        <v>21</v>
      </c>
      <c r="CD13" s="210"/>
    </row>
    <row r="14" spans="1:82" s="9" customFormat="1">
      <c r="A14" s="146"/>
      <c r="B14" s="9" t="s">
        <v>1403</v>
      </c>
      <c r="C14" s="9">
        <v>4</v>
      </c>
      <c r="D14" s="9">
        <v>38</v>
      </c>
      <c r="E14" s="9">
        <v>156</v>
      </c>
      <c r="F14" s="9">
        <v>60</v>
      </c>
      <c r="G14" s="210"/>
      <c r="H14" s="9">
        <v>52</v>
      </c>
      <c r="I14" s="9">
        <v>6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210"/>
      <c r="R14" s="9">
        <v>9</v>
      </c>
      <c r="S14" s="9">
        <v>1</v>
      </c>
      <c r="T14" s="9">
        <v>19</v>
      </c>
      <c r="U14" s="9">
        <v>0</v>
      </c>
      <c r="V14" s="9">
        <v>29</v>
      </c>
      <c r="W14" s="9">
        <v>0</v>
      </c>
      <c r="X14" s="147">
        <v>6</v>
      </c>
      <c r="Y14" s="210"/>
      <c r="Z14" s="9">
        <v>1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1</v>
      </c>
      <c r="AG14" s="210"/>
      <c r="AH14" s="9">
        <v>63</v>
      </c>
      <c r="AI14" s="9">
        <v>1</v>
      </c>
      <c r="AJ14" s="9">
        <v>3</v>
      </c>
      <c r="AK14" s="9">
        <v>1</v>
      </c>
      <c r="AL14" s="9">
        <v>3</v>
      </c>
      <c r="AM14" s="9">
        <v>16</v>
      </c>
      <c r="AN14" s="9">
        <v>18</v>
      </c>
      <c r="AO14" s="9">
        <v>3</v>
      </c>
      <c r="AP14" s="9">
        <v>15</v>
      </c>
      <c r="AQ14" s="9">
        <v>11</v>
      </c>
      <c r="AR14" s="9">
        <v>2</v>
      </c>
      <c r="AS14" s="9">
        <v>2</v>
      </c>
      <c r="AT14" s="9">
        <v>8</v>
      </c>
      <c r="AU14" s="9">
        <v>7</v>
      </c>
      <c r="AV14" s="9">
        <v>5</v>
      </c>
      <c r="AW14" s="9">
        <v>3</v>
      </c>
      <c r="AX14" s="9">
        <v>3</v>
      </c>
      <c r="AY14" s="210"/>
      <c r="AZ14" s="9">
        <v>24</v>
      </c>
      <c r="BA14" s="9">
        <v>10</v>
      </c>
      <c r="BB14" s="9">
        <v>1</v>
      </c>
      <c r="BC14" s="9">
        <v>0</v>
      </c>
      <c r="BD14" s="9">
        <v>0</v>
      </c>
      <c r="BE14" s="9">
        <v>0</v>
      </c>
      <c r="BF14" s="9">
        <v>5</v>
      </c>
      <c r="BG14" s="210"/>
      <c r="BH14" s="104">
        <v>60</v>
      </c>
      <c r="BI14" s="104">
        <v>1</v>
      </c>
      <c r="BJ14" s="210"/>
      <c r="BK14" s="104">
        <v>1</v>
      </c>
      <c r="BL14" s="104">
        <v>0</v>
      </c>
      <c r="BM14" s="104">
        <v>0</v>
      </c>
      <c r="BN14" s="104">
        <v>0</v>
      </c>
      <c r="BO14" s="104">
        <v>0</v>
      </c>
      <c r="BP14" s="210"/>
      <c r="BQ14" s="104">
        <v>0</v>
      </c>
      <c r="BR14" s="9">
        <v>86</v>
      </c>
      <c r="BS14" s="9">
        <v>0</v>
      </c>
      <c r="BT14" s="9">
        <v>0</v>
      </c>
      <c r="BU14" s="9">
        <v>0</v>
      </c>
      <c r="BV14" s="9">
        <v>0</v>
      </c>
      <c r="BW14" s="9">
        <v>4</v>
      </c>
      <c r="BX14" s="9">
        <v>5917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210"/>
    </row>
    <row r="15" spans="1:82" s="9" customFormat="1">
      <c r="A15" s="146"/>
      <c r="B15" s="9" t="s">
        <v>1404</v>
      </c>
      <c r="C15" s="9">
        <v>0</v>
      </c>
      <c r="D15" s="9">
        <v>0</v>
      </c>
      <c r="E15" s="9">
        <v>6</v>
      </c>
      <c r="F15" s="9">
        <v>3</v>
      </c>
      <c r="G15" s="210"/>
      <c r="H15" s="9">
        <v>3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210"/>
      <c r="R15" s="9">
        <v>1</v>
      </c>
      <c r="S15" s="9">
        <v>0</v>
      </c>
      <c r="T15" s="9">
        <v>0</v>
      </c>
      <c r="U15" s="9">
        <v>0</v>
      </c>
      <c r="V15" s="9">
        <v>2</v>
      </c>
      <c r="W15" s="9">
        <v>0</v>
      </c>
      <c r="X15" s="9">
        <v>0</v>
      </c>
      <c r="Y15" s="210"/>
      <c r="Z15" s="9">
        <v>0</v>
      </c>
      <c r="AA15" s="147">
        <v>1</v>
      </c>
      <c r="AB15" s="9">
        <v>0</v>
      </c>
      <c r="AC15" s="9">
        <v>0</v>
      </c>
      <c r="AD15" s="9">
        <v>0</v>
      </c>
      <c r="AE15" s="9">
        <v>0</v>
      </c>
      <c r="AF15" s="9">
        <v>1</v>
      </c>
      <c r="AG15" s="210"/>
      <c r="AH15" s="9">
        <v>3</v>
      </c>
      <c r="AI15" s="9">
        <v>0</v>
      </c>
      <c r="AJ15" s="9">
        <v>0</v>
      </c>
      <c r="AK15" s="9">
        <v>0</v>
      </c>
      <c r="AL15" s="9">
        <v>1</v>
      </c>
      <c r="AM15" s="9">
        <v>1</v>
      </c>
      <c r="AN15" s="9">
        <v>0</v>
      </c>
      <c r="AO15" s="9">
        <v>0</v>
      </c>
      <c r="AP15" s="9">
        <v>0</v>
      </c>
      <c r="AQ15" s="9">
        <v>1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210"/>
      <c r="AZ15" s="9">
        <v>3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210"/>
      <c r="BH15" s="9">
        <v>3</v>
      </c>
      <c r="BI15" s="9">
        <v>0</v>
      </c>
      <c r="BJ15" s="210"/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210"/>
      <c r="BQ15" s="9">
        <v>0</v>
      </c>
      <c r="BR15" s="9">
        <v>4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210"/>
    </row>
    <row r="16" spans="1:82" s="6" customFormat="1">
      <c r="A16" s="146"/>
      <c r="B16" s="6" t="s">
        <v>1405</v>
      </c>
      <c r="C16" s="6">
        <v>0</v>
      </c>
      <c r="D16" s="6">
        <v>0</v>
      </c>
      <c r="E16" s="6">
        <v>0</v>
      </c>
      <c r="F16" s="6">
        <v>0</v>
      </c>
      <c r="G16" s="210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10"/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210"/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210"/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210"/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210"/>
      <c r="BH16" s="6">
        <v>0</v>
      </c>
      <c r="BI16" s="6">
        <v>0</v>
      </c>
      <c r="BJ16" s="210"/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210"/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210"/>
    </row>
    <row r="17" spans="1:82" s="9" customFormat="1">
      <c r="A17" s="146"/>
      <c r="B17" s="9" t="s">
        <v>1406</v>
      </c>
      <c r="C17" s="9">
        <v>0</v>
      </c>
      <c r="D17" s="9">
        <v>0</v>
      </c>
      <c r="E17" s="9">
        <v>0</v>
      </c>
      <c r="F17" s="9">
        <v>0</v>
      </c>
      <c r="G17" s="210"/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210"/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210"/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210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210"/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6">
        <v>0</v>
      </c>
      <c r="BF17" s="6">
        <v>0</v>
      </c>
      <c r="BG17" s="210"/>
      <c r="BH17" s="6">
        <v>0</v>
      </c>
      <c r="BI17" s="6">
        <v>0</v>
      </c>
      <c r="BJ17" s="210"/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210"/>
      <c r="BQ17" s="6">
        <v>0</v>
      </c>
      <c r="BR17" s="6">
        <v>0</v>
      </c>
      <c r="BS17" s="6">
        <v>0</v>
      </c>
      <c r="BT17" s="6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6">
        <v>0</v>
      </c>
      <c r="CA17" s="6">
        <v>0</v>
      </c>
      <c r="CB17" s="6">
        <v>0</v>
      </c>
      <c r="CC17" s="6">
        <v>0</v>
      </c>
      <c r="CD17" s="210"/>
    </row>
    <row r="18" spans="1:82">
      <c r="A18" s="146"/>
      <c r="B18" s="9" t="s">
        <v>1407</v>
      </c>
      <c r="C18" s="9">
        <v>3</v>
      </c>
      <c r="D18" s="9">
        <v>4</v>
      </c>
      <c r="E18" s="9">
        <v>49</v>
      </c>
      <c r="F18" s="9">
        <v>35</v>
      </c>
      <c r="G18" s="210"/>
      <c r="H18" s="9">
        <v>40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210"/>
      <c r="R18" s="9">
        <v>2</v>
      </c>
      <c r="S18" s="9">
        <v>0</v>
      </c>
      <c r="T18" s="9">
        <v>4</v>
      </c>
      <c r="U18" s="9">
        <v>0</v>
      </c>
      <c r="V18" s="9">
        <v>34</v>
      </c>
      <c r="W18" s="9">
        <v>0</v>
      </c>
      <c r="X18" s="9">
        <v>0</v>
      </c>
      <c r="Y18" s="210"/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210"/>
      <c r="AH18" s="9">
        <v>41</v>
      </c>
      <c r="AI18" s="9">
        <v>0</v>
      </c>
      <c r="AJ18" s="9">
        <v>0</v>
      </c>
      <c r="AK18" s="9">
        <v>0</v>
      </c>
      <c r="AL18" s="9">
        <v>0</v>
      </c>
      <c r="AM18" s="9">
        <v>2</v>
      </c>
      <c r="AN18" s="9">
        <v>1</v>
      </c>
      <c r="AO18" s="9">
        <v>0</v>
      </c>
      <c r="AP18" s="9">
        <v>1</v>
      </c>
      <c r="AQ18" s="9">
        <v>2</v>
      </c>
      <c r="AR18" s="9">
        <v>0</v>
      </c>
      <c r="AS18" s="9">
        <v>0</v>
      </c>
      <c r="AT18" s="9">
        <v>2</v>
      </c>
      <c r="AU18" s="9">
        <v>0</v>
      </c>
      <c r="AV18" s="9">
        <v>0</v>
      </c>
      <c r="AW18" s="9">
        <v>0</v>
      </c>
      <c r="AX18" s="9">
        <v>0</v>
      </c>
      <c r="AY18" s="210"/>
      <c r="AZ18" s="9">
        <v>19</v>
      </c>
      <c r="BA18" s="9">
        <v>3</v>
      </c>
      <c r="BB18" s="9">
        <v>0</v>
      </c>
      <c r="BC18" s="9">
        <v>0</v>
      </c>
      <c r="BD18" s="9">
        <v>0</v>
      </c>
      <c r="BE18" s="9">
        <v>0</v>
      </c>
      <c r="BF18" s="9">
        <v>13</v>
      </c>
      <c r="BG18" s="210"/>
      <c r="BH18" s="104">
        <v>35</v>
      </c>
      <c r="BI18" s="104">
        <v>0</v>
      </c>
      <c r="BJ18" s="210"/>
      <c r="BK18" s="104">
        <v>0</v>
      </c>
      <c r="BL18" s="104">
        <v>0</v>
      </c>
      <c r="BM18" s="104">
        <v>0</v>
      </c>
      <c r="BN18" s="104">
        <v>0</v>
      </c>
      <c r="BO18" s="104">
        <v>0</v>
      </c>
      <c r="BP18" s="210"/>
      <c r="BQ18" s="104">
        <v>0</v>
      </c>
      <c r="BR18" s="9">
        <v>41</v>
      </c>
      <c r="BS18" s="9">
        <v>4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210"/>
    </row>
    <row r="19" spans="1:82" s="9" customFormat="1">
      <c r="A19" s="146"/>
      <c r="B19" s="9" t="s">
        <v>1408</v>
      </c>
      <c r="C19" s="9">
        <v>1</v>
      </c>
      <c r="D19" s="9">
        <v>0</v>
      </c>
      <c r="E19" s="9">
        <v>17</v>
      </c>
      <c r="F19" s="9">
        <v>14</v>
      </c>
      <c r="G19" s="210"/>
      <c r="H19" s="9">
        <v>16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210"/>
      <c r="R19" s="9">
        <v>2</v>
      </c>
      <c r="S19" s="9">
        <v>0</v>
      </c>
      <c r="T19" s="9">
        <v>2</v>
      </c>
      <c r="U19" s="9">
        <v>0</v>
      </c>
      <c r="V19" s="9">
        <v>7</v>
      </c>
      <c r="W19" s="9">
        <v>0</v>
      </c>
      <c r="X19" s="9">
        <v>4</v>
      </c>
      <c r="Y19" s="210"/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210"/>
      <c r="AH19" s="9">
        <v>15</v>
      </c>
      <c r="AI19" s="9">
        <v>0</v>
      </c>
      <c r="AJ19" s="9">
        <v>0</v>
      </c>
      <c r="AK19" s="9">
        <v>0</v>
      </c>
      <c r="AL19" s="9">
        <v>0</v>
      </c>
      <c r="AM19" s="9">
        <v>2</v>
      </c>
      <c r="AN19" s="9">
        <v>0</v>
      </c>
      <c r="AO19" s="9">
        <v>1</v>
      </c>
      <c r="AP19" s="9">
        <v>1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210"/>
      <c r="AZ19" s="9">
        <v>5</v>
      </c>
      <c r="BA19" s="9">
        <v>2</v>
      </c>
      <c r="BB19" s="9">
        <v>0</v>
      </c>
      <c r="BC19" s="9">
        <v>0</v>
      </c>
      <c r="BD19" s="9">
        <v>0</v>
      </c>
      <c r="BE19" s="9">
        <v>0</v>
      </c>
      <c r="BF19" s="9">
        <v>2</v>
      </c>
      <c r="BG19" s="210"/>
      <c r="BH19" s="104">
        <v>14</v>
      </c>
      <c r="BI19" s="104">
        <v>0</v>
      </c>
      <c r="BJ19" s="210"/>
      <c r="BK19" s="104">
        <v>0</v>
      </c>
      <c r="BL19" s="104">
        <v>0</v>
      </c>
      <c r="BM19" s="104">
        <v>0</v>
      </c>
      <c r="BN19" s="104">
        <v>0</v>
      </c>
      <c r="BO19" s="104">
        <v>0</v>
      </c>
      <c r="BP19" s="210"/>
      <c r="BQ19" s="104">
        <v>0</v>
      </c>
      <c r="BR19" s="9">
        <v>12</v>
      </c>
      <c r="BS19" s="9">
        <v>2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210"/>
    </row>
    <row r="20" spans="1:82" s="9" customFormat="1">
      <c r="A20" s="146"/>
      <c r="B20" s="9" t="s">
        <v>93</v>
      </c>
      <c r="C20" s="9">
        <v>2</v>
      </c>
      <c r="D20" s="9">
        <v>34</v>
      </c>
      <c r="E20" s="9">
        <v>213</v>
      </c>
      <c r="F20" s="9">
        <v>55</v>
      </c>
      <c r="G20" s="210"/>
      <c r="H20" s="9">
        <v>48</v>
      </c>
      <c r="I20" s="9">
        <v>1</v>
      </c>
      <c r="J20" s="9">
        <v>1</v>
      </c>
      <c r="K20" s="9">
        <v>3</v>
      </c>
      <c r="L20" s="9">
        <v>1</v>
      </c>
      <c r="M20" s="9">
        <v>0</v>
      </c>
      <c r="N20" s="9">
        <v>0</v>
      </c>
      <c r="O20" s="9">
        <v>0</v>
      </c>
      <c r="P20" s="9">
        <v>0</v>
      </c>
      <c r="Q20" s="210"/>
      <c r="R20" s="9">
        <v>7</v>
      </c>
      <c r="S20" s="9">
        <v>2</v>
      </c>
      <c r="T20" s="9">
        <v>0</v>
      </c>
      <c r="U20" s="9">
        <v>4</v>
      </c>
      <c r="V20" s="9">
        <v>29</v>
      </c>
      <c r="W20" s="9">
        <v>8</v>
      </c>
      <c r="X20" s="9">
        <v>6</v>
      </c>
      <c r="Y20" s="210"/>
      <c r="Z20" s="9">
        <v>7</v>
      </c>
      <c r="AA20" s="9">
        <v>0</v>
      </c>
      <c r="AB20" s="9">
        <v>0</v>
      </c>
      <c r="AC20" s="9">
        <v>4</v>
      </c>
      <c r="AD20" s="9">
        <v>0</v>
      </c>
      <c r="AE20" s="9">
        <v>5</v>
      </c>
      <c r="AF20" s="9">
        <v>4</v>
      </c>
      <c r="AG20" s="210"/>
      <c r="AH20" s="9">
        <v>55</v>
      </c>
      <c r="AI20" s="9">
        <v>8</v>
      </c>
      <c r="AJ20" s="9">
        <v>2</v>
      </c>
      <c r="AK20" s="9">
        <v>8</v>
      </c>
      <c r="AL20" s="9">
        <v>7</v>
      </c>
      <c r="AM20" s="9">
        <v>43</v>
      </c>
      <c r="AN20" s="9">
        <v>35</v>
      </c>
      <c r="AO20" s="9">
        <v>6</v>
      </c>
      <c r="AP20" s="9">
        <v>16</v>
      </c>
      <c r="AQ20" s="9">
        <v>13</v>
      </c>
      <c r="AR20" s="9">
        <f>SUM('[2]Hawaii-213 clean'!AS220)</f>
        <v>2</v>
      </c>
      <c r="AS20" s="9">
        <v>10</v>
      </c>
      <c r="AT20" s="9">
        <v>15</v>
      </c>
      <c r="AU20" s="9">
        <v>12</v>
      </c>
      <c r="AV20" s="9">
        <v>17</v>
      </c>
      <c r="AW20" s="9">
        <v>5</v>
      </c>
      <c r="AX20" s="9">
        <v>4</v>
      </c>
      <c r="AY20" s="210"/>
      <c r="AZ20" s="9">
        <v>19</v>
      </c>
      <c r="BA20" s="9">
        <v>6</v>
      </c>
      <c r="BB20" s="9">
        <v>3</v>
      </c>
      <c r="BC20" s="9">
        <v>1</v>
      </c>
      <c r="BD20" s="9">
        <v>3</v>
      </c>
      <c r="BE20" s="9">
        <v>0</v>
      </c>
      <c r="BF20" s="9">
        <v>20</v>
      </c>
      <c r="BG20" s="210"/>
      <c r="BH20" s="104">
        <v>55</v>
      </c>
      <c r="BI20" s="104">
        <v>1</v>
      </c>
      <c r="BJ20" s="210"/>
      <c r="BK20" s="104">
        <v>1</v>
      </c>
      <c r="BL20" s="104">
        <v>0</v>
      </c>
      <c r="BM20" s="104">
        <v>0</v>
      </c>
      <c r="BN20" s="104">
        <v>0</v>
      </c>
      <c r="BO20" s="104">
        <v>0</v>
      </c>
      <c r="BP20" s="210"/>
      <c r="BQ20" s="104">
        <v>1</v>
      </c>
      <c r="BR20" s="9">
        <v>151</v>
      </c>
      <c r="BS20" s="9">
        <v>6</v>
      </c>
      <c r="BT20" s="9">
        <v>0</v>
      </c>
      <c r="BU20" s="9">
        <v>3</v>
      </c>
      <c r="BV20" s="9">
        <v>563</v>
      </c>
      <c r="BW20" s="9">
        <v>5</v>
      </c>
      <c r="BX20" s="9">
        <v>1083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210"/>
    </row>
    <row r="21" spans="1:82" s="9" customFormat="1">
      <c r="A21" s="146"/>
      <c r="B21" s="9" t="s">
        <v>1409</v>
      </c>
      <c r="C21" s="9">
        <v>1</v>
      </c>
      <c r="D21" s="9">
        <v>4</v>
      </c>
      <c r="E21" s="9">
        <v>28</v>
      </c>
      <c r="F21" s="9">
        <v>18</v>
      </c>
      <c r="G21" s="210"/>
      <c r="H21" s="9">
        <v>20</v>
      </c>
      <c r="I21" s="9">
        <v>1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210"/>
      <c r="R21" s="9">
        <v>0</v>
      </c>
      <c r="S21" s="9">
        <v>0</v>
      </c>
      <c r="T21" s="9">
        <v>3</v>
      </c>
      <c r="U21" s="9">
        <v>0</v>
      </c>
      <c r="V21" s="9">
        <v>18</v>
      </c>
      <c r="W21" s="9">
        <v>0</v>
      </c>
      <c r="X21" s="9">
        <v>0</v>
      </c>
      <c r="Y21" s="210"/>
      <c r="Z21" s="9">
        <v>1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1</v>
      </c>
      <c r="AG21" s="210"/>
      <c r="AH21" s="9">
        <v>22</v>
      </c>
      <c r="AI21" s="9">
        <v>0</v>
      </c>
      <c r="AJ21" s="9">
        <v>0</v>
      </c>
      <c r="AK21" s="9">
        <v>0</v>
      </c>
      <c r="AL21" s="9">
        <v>0</v>
      </c>
      <c r="AM21" s="9">
        <v>1</v>
      </c>
      <c r="AN21" s="9">
        <v>2</v>
      </c>
      <c r="AO21" s="9">
        <v>0</v>
      </c>
      <c r="AP21" s="9">
        <v>1</v>
      </c>
      <c r="AQ21" s="9">
        <v>1</v>
      </c>
      <c r="AR21" s="9">
        <v>0</v>
      </c>
      <c r="AS21" s="9">
        <v>2</v>
      </c>
      <c r="AT21" s="9">
        <v>0</v>
      </c>
      <c r="AU21" s="9">
        <v>1</v>
      </c>
      <c r="AV21" s="9">
        <v>0</v>
      </c>
      <c r="AW21" s="9">
        <v>1</v>
      </c>
      <c r="AX21" s="9">
        <v>0</v>
      </c>
      <c r="AY21" s="210"/>
      <c r="AZ21" s="9">
        <v>10</v>
      </c>
      <c r="BA21" s="9">
        <v>4</v>
      </c>
      <c r="BB21" s="9">
        <v>0</v>
      </c>
      <c r="BC21" s="9">
        <v>0</v>
      </c>
      <c r="BD21" s="9">
        <v>0</v>
      </c>
      <c r="BE21" s="9">
        <v>0</v>
      </c>
      <c r="BF21" s="9">
        <v>4</v>
      </c>
      <c r="BG21" s="210"/>
      <c r="BH21" s="104">
        <v>18</v>
      </c>
      <c r="BI21" s="104">
        <v>0</v>
      </c>
      <c r="BJ21" s="210"/>
      <c r="BK21" s="104">
        <v>0</v>
      </c>
      <c r="BL21" s="104">
        <v>0</v>
      </c>
      <c r="BM21" s="104">
        <v>0</v>
      </c>
      <c r="BN21" s="104">
        <v>0</v>
      </c>
      <c r="BO21" s="104">
        <v>0</v>
      </c>
      <c r="BP21" s="210"/>
      <c r="BQ21" s="104">
        <v>0</v>
      </c>
      <c r="BR21" s="9">
        <v>17</v>
      </c>
      <c r="BS21" s="9">
        <v>1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210"/>
    </row>
    <row r="22" spans="1:82" s="9" customFormat="1">
      <c r="A22" s="146"/>
      <c r="B22" s="9" t="s">
        <v>1410</v>
      </c>
      <c r="C22" s="9">
        <v>1</v>
      </c>
      <c r="D22" s="9">
        <v>27</v>
      </c>
      <c r="E22" s="9">
        <v>93</v>
      </c>
      <c r="F22" s="9">
        <v>40</v>
      </c>
      <c r="G22" s="210"/>
      <c r="H22" s="9">
        <v>38</v>
      </c>
      <c r="I22" s="9">
        <v>1</v>
      </c>
      <c r="J22" s="9">
        <v>1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210"/>
      <c r="R22" s="9">
        <v>6</v>
      </c>
      <c r="S22" s="9">
        <v>0</v>
      </c>
      <c r="T22" s="9">
        <v>3</v>
      </c>
      <c r="U22" s="9">
        <v>0</v>
      </c>
      <c r="V22" s="9">
        <v>30</v>
      </c>
      <c r="W22" s="9">
        <v>0</v>
      </c>
      <c r="X22" s="9">
        <v>3</v>
      </c>
      <c r="Y22" s="210"/>
      <c r="Z22" s="9">
        <v>1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1</v>
      </c>
      <c r="AG22" s="210"/>
      <c r="AH22" s="9">
        <v>43</v>
      </c>
      <c r="AI22" s="9">
        <v>4</v>
      </c>
      <c r="AJ22" s="9">
        <v>0</v>
      </c>
      <c r="AK22" s="9">
        <v>2</v>
      </c>
      <c r="AL22" s="9">
        <v>3</v>
      </c>
      <c r="AM22" s="9">
        <v>11</v>
      </c>
      <c r="AN22" s="9">
        <v>19</v>
      </c>
      <c r="AO22" s="9">
        <v>2</v>
      </c>
      <c r="AP22" s="9">
        <v>4</v>
      </c>
      <c r="AQ22" s="9">
        <v>3</v>
      </c>
      <c r="AR22" s="9">
        <v>0</v>
      </c>
      <c r="AS22" s="9">
        <v>1</v>
      </c>
      <c r="AT22" s="9">
        <v>1</v>
      </c>
      <c r="AU22" s="9">
        <v>1</v>
      </c>
      <c r="AV22" s="9">
        <v>2</v>
      </c>
      <c r="AW22" s="9">
        <v>1</v>
      </c>
      <c r="AX22" s="9">
        <v>2</v>
      </c>
      <c r="AY22" s="210"/>
      <c r="AZ22" s="9">
        <v>26</v>
      </c>
      <c r="BA22" s="9">
        <v>4</v>
      </c>
      <c r="BB22" s="9">
        <v>2</v>
      </c>
      <c r="BC22" s="9">
        <v>0</v>
      </c>
      <c r="BD22" s="9">
        <v>0</v>
      </c>
      <c r="BE22" s="9">
        <v>0</v>
      </c>
      <c r="BF22" s="9">
        <v>8</v>
      </c>
      <c r="BG22" s="210"/>
      <c r="BH22" s="104">
        <v>40</v>
      </c>
      <c r="BI22" s="104">
        <v>1</v>
      </c>
      <c r="BJ22" s="210"/>
      <c r="BK22" s="104">
        <v>1</v>
      </c>
      <c r="BL22" s="104">
        <v>0</v>
      </c>
      <c r="BM22" s="104">
        <v>0</v>
      </c>
      <c r="BN22" s="104">
        <v>0</v>
      </c>
      <c r="BO22" s="104">
        <v>0</v>
      </c>
      <c r="BP22" s="210"/>
      <c r="BQ22" s="104">
        <v>0</v>
      </c>
      <c r="BR22" s="9">
        <v>60</v>
      </c>
      <c r="BS22" s="9">
        <v>2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210"/>
    </row>
    <row r="23" spans="1:82">
      <c r="A23" s="146"/>
      <c r="B23" s="9" t="s">
        <v>1411</v>
      </c>
      <c r="C23" s="9">
        <v>1</v>
      </c>
      <c r="D23" s="9">
        <v>7</v>
      </c>
      <c r="E23" s="9">
        <v>43</v>
      </c>
      <c r="F23" s="9">
        <v>25</v>
      </c>
      <c r="G23" s="210"/>
      <c r="H23" s="9">
        <v>23</v>
      </c>
      <c r="I23" s="9">
        <v>2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210"/>
      <c r="R23" s="9">
        <v>2</v>
      </c>
      <c r="S23" s="9">
        <v>0</v>
      </c>
      <c r="T23" s="9">
        <v>1</v>
      </c>
      <c r="U23" s="9">
        <v>0</v>
      </c>
      <c r="V23" s="9">
        <v>20</v>
      </c>
      <c r="W23" s="9">
        <v>2</v>
      </c>
      <c r="X23" s="9">
        <v>2</v>
      </c>
      <c r="Y23" s="210"/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210"/>
      <c r="AH23" s="9">
        <v>26</v>
      </c>
      <c r="AI23" s="9">
        <v>0</v>
      </c>
      <c r="AJ23" s="9">
        <v>0</v>
      </c>
      <c r="AK23" s="9">
        <v>0</v>
      </c>
      <c r="AL23" s="9">
        <v>1</v>
      </c>
      <c r="AM23" s="9">
        <v>3</v>
      </c>
      <c r="AN23" s="9">
        <v>3</v>
      </c>
      <c r="AO23" s="9">
        <v>1</v>
      </c>
      <c r="AP23" s="9">
        <v>3</v>
      </c>
      <c r="AQ23" s="9">
        <v>4</v>
      </c>
      <c r="AR23" s="9">
        <v>1</v>
      </c>
      <c r="AS23" s="9">
        <v>1</v>
      </c>
      <c r="AT23" s="9">
        <v>3</v>
      </c>
      <c r="AU23" s="9">
        <v>0</v>
      </c>
      <c r="AV23" s="9">
        <v>2</v>
      </c>
      <c r="AW23" s="9">
        <v>1</v>
      </c>
      <c r="AX23" s="9">
        <v>1</v>
      </c>
      <c r="AY23" s="210"/>
      <c r="AZ23" s="9">
        <v>10</v>
      </c>
      <c r="BA23" s="9">
        <v>9</v>
      </c>
      <c r="BB23" s="9">
        <v>1</v>
      </c>
      <c r="BC23" s="9">
        <v>0</v>
      </c>
      <c r="BD23" s="9">
        <v>0</v>
      </c>
      <c r="BE23" s="9">
        <v>0</v>
      </c>
      <c r="BF23" s="9">
        <v>5</v>
      </c>
      <c r="BG23" s="210"/>
      <c r="BH23" s="104">
        <v>25</v>
      </c>
      <c r="BI23" s="104">
        <v>0</v>
      </c>
      <c r="BJ23" s="210"/>
      <c r="BK23" s="104">
        <v>0</v>
      </c>
      <c r="BL23" s="104">
        <v>0</v>
      </c>
      <c r="BM23" s="104">
        <v>0</v>
      </c>
      <c r="BN23" s="104">
        <v>0</v>
      </c>
      <c r="BO23" s="104">
        <v>0</v>
      </c>
      <c r="BP23" s="210"/>
      <c r="BQ23" s="104">
        <v>0</v>
      </c>
      <c r="BR23" s="9">
        <v>23</v>
      </c>
      <c r="BS23" s="9">
        <v>4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210"/>
    </row>
    <row r="24" spans="1:82" s="9" customFormat="1">
      <c r="A24" s="146"/>
      <c r="B24" s="9" t="s">
        <v>1412</v>
      </c>
      <c r="C24" s="9">
        <v>4</v>
      </c>
      <c r="D24" s="9">
        <v>10</v>
      </c>
      <c r="E24" s="9">
        <v>41</v>
      </c>
      <c r="F24" s="9">
        <v>26</v>
      </c>
      <c r="G24" s="210"/>
      <c r="H24" s="9">
        <v>24</v>
      </c>
      <c r="I24" s="9">
        <v>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210"/>
      <c r="R24" s="9">
        <v>4</v>
      </c>
      <c r="S24" s="9">
        <v>0</v>
      </c>
      <c r="T24" s="9">
        <v>4</v>
      </c>
      <c r="U24" s="9">
        <v>1</v>
      </c>
      <c r="V24" s="9">
        <v>13</v>
      </c>
      <c r="W24" s="9">
        <v>0</v>
      </c>
      <c r="X24" s="9">
        <v>5</v>
      </c>
      <c r="Y24" s="210"/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210"/>
      <c r="AH24" s="9">
        <v>27</v>
      </c>
      <c r="AI24" s="9">
        <v>0</v>
      </c>
      <c r="AJ24" s="9">
        <v>0</v>
      </c>
      <c r="AK24" s="9">
        <v>1</v>
      </c>
      <c r="AL24" s="9">
        <v>0</v>
      </c>
      <c r="AM24" s="9">
        <v>1</v>
      </c>
      <c r="AN24" s="9">
        <v>3</v>
      </c>
      <c r="AO24" s="9">
        <v>0</v>
      </c>
      <c r="AP24" s="9">
        <v>2</v>
      </c>
      <c r="AQ24" s="9">
        <v>4</v>
      </c>
      <c r="AR24" s="9">
        <v>1</v>
      </c>
      <c r="AS24" s="9">
        <v>0</v>
      </c>
      <c r="AT24" s="9">
        <v>3</v>
      </c>
      <c r="AU24" s="9">
        <v>0</v>
      </c>
      <c r="AV24" s="9">
        <v>0</v>
      </c>
      <c r="AW24" s="9">
        <v>0</v>
      </c>
      <c r="AX24" s="9">
        <v>0</v>
      </c>
      <c r="AY24" s="210"/>
      <c r="AZ24" s="9">
        <v>15</v>
      </c>
      <c r="BA24" s="9">
        <v>3</v>
      </c>
      <c r="BB24" s="9">
        <v>0</v>
      </c>
      <c r="BC24" s="9">
        <v>0</v>
      </c>
      <c r="BD24" s="9">
        <v>0</v>
      </c>
      <c r="BE24" s="9">
        <v>0</v>
      </c>
      <c r="BF24" s="9">
        <v>8</v>
      </c>
      <c r="BG24" s="210"/>
      <c r="BH24" s="104">
        <v>26</v>
      </c>
      <c r="BI24" s="104">
        <v>0</v>
      </c>
      <c r="BJ24" s="210"/>
      <c r="BK24" s="104">
        <v>0</v>
      </c>
      <c r="BL24" s="104">
        <v>0</v>
      </c>
      <c r="BM24" s="104">
        <v>0</v>
      </c>
      <c r="BN24" s="104">
        <v>0</v>
      </c>
      <c r="BO24" s="104">
        <v>0</v>
      </c>
      <c r="BP24" s="210"/>
      <c r="BQ24" s="104">
        <v>0</v>
      </c>
      <c r="BR24" s="9">
        <v>27</v>
      </c>
      <c r="BS24" s="9">
        <v>3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210"/>
    </row>
    <row r="25" spans="1:82" s="9" customFormat="1">
      <c r="A25" s="146"/>
      <c r="B25" s="9" t="s">
        <v>1413</v>
      </c>
      <c r="C25" s="9">
        <v>0</v>
      </c>
      <c r="D25" s="9">
        <v>12</v>
      </c>
      <c r="E25" s="9">
        <v>40</v>
      </c>
      <c r="F25" s="9">
        <v>20</v>
      </c>
      <c r="G25" s="210"/>
      <c r="H25" s="9">
        <v>20</v>
      </c>
      <c r="I25" s="9">
        <v>2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210"/>
      <c r="R25" s="9">
        <v>3</v>
      </c>
      <c r="S25" s="9">
        <v>0</v>
      </c>
      <c r="T25" s="9">
        <v>2</v>
      </c>
      <c r="U25" s="9">
        <v>0</v>
      </c>
      <c r="V25" s="9">
        <v>14</v>
      </c>
      <c r="W25" s="9">
        <v>0</v>
      </c>
      <c r="X25" s="9">
        <v>3</v>
      </c>
      <c r="Y25" s="210"/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210"/>
      <c r="AH25" s="9">
        <v>25</v>
      </c>
      <c r="AI25" s="9">
        <v>0</v>
      </c>
      <c r="AJ25" s="9">
        <v>0</v>
      </c>
      <c r="AK25" s="9">
        <v>0</v>
      </c>
      <c r="AL25" s="9">
        <v>0</v>
      </c>
      <c r="AM25" s="9">
        <v>3</v>
      </c>
      <c r="AN25" s="9">
        <v>7</v>
      </c>
      <c r="AO25" s="9">
        <v>1</v>
      </c>
      <c r="AP25" s="9">
        <v>3</v>
      </c>
      <c r="AQ25" s="9">
        <v>2</v>
      </c>
      <c r="AR25" s="9">
        <v>0</v>
      </c>
      <c r="AS25" s="9">
        <v>0</v>
      </c>
      <c r="AT25" s="9">
        <v>3</v>
      </c>
      <c r="AU25" s="9">
        <v>1</v>
      </c>
      <c r="AV25" s="9">
        <v>2</v>
      </c>
      <c r="AW25" s="9">
        <v>0</v>
      </c>
      <c r="AX25" s="9">
        <v>0</v>
      </c>
      <c r="AY25" s="210"/>
      <c r="AZ25" s="9">
        <v>12</v>
      </c>
      <c r="BA25" s="9">
        <v>3</v>
      </c>
      <c r="BB25" s="9">
        <v>0</v>
      </c>
      <c r="BC25" s="9">
        <v>0</v>
      </c>
      <c r="BD25" s="9">
        <v>0</v>
      </c>
      <c r="BE25" s="9">
        <v>0</v>
      </c>
      <c r="BF25" s="9">
        <v>5</v>
      </c>
      <c r="BG25" s="210"/>
      <c r="BH25" s="104">
        <v>20</v>
      </c>
      <c r="BI25" s="104">
        <v>0</v>
      </c>
      <c r="BJ25" s="210"/>
      <c r="BK25" s="104">
        <v>0</v>
      </c>
      <c r="BL25" s="104">
        <v>0</v>
      </c>
      <c r="BM25" s="104">
        <v>0</v>
      </c>
      <c r="BN25" s="104">
        <v>0</v>
      </c>
      <c r="BO25" s="104">
        <v>0</v>
      </c>
      <c r="BP25" s="210"/>
      <c r="BQ25" s="104">
        <v>0</v>
      </c>
      <c r="BR25" s="9">
        <v>23</v>
      </c>
      <c r="BS25" s="9">
        <v>1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210"/>
    </row>
    <row r="26" spans="1:82" s="9" customFormat="1">
      <c r="A26" s="146"/>
      <c r="B26" s="9" t="s">
        <v>1414</v>
      </c>
      <c r="C26" s="9">
        <v>0</v>
      </c>
      <c r="D26" s="9">
        <v>3</v>
      </c>
      <c r="E26" s="9">
        <v>20</v>
      </c>
      <c r="F26" s="9">
        <v>9</v>
      </c>
      <c r="G26" s="210"/>
      <c r="H26" s="9">
        <v>7</v>
      </c>
      <c r="I26" s="9">
        <v>2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210"/>
      <c r="R26" s="9">
        <v>2</v>
      </c>
      <c r="S26" s="9">
        <v>0</v>
      </c>
      <c r="T26" s="9">
        <v>0</v>
      </c>
      <c r="U26" s="9">
        <v>0</v>
      </c>
      <c r="V26" s="9">
        <v>6</v>
      </c>
      <c r="W26" s="9">
        <v>0</v>
      </c>
      <c r="X26" s="9">
        <v>1</v>
      </c>
      <c r="Y26" s="210"/>
      <c r="Z26" s="9">
        <v>1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</v>
      </c>
      <c r="AG26" s="210"/>
      <c r="AH26" s="9">
        <v>10</v>
      </c>
      <c r="AI26" s="9">
        <v>0</v>
      </c>
      <c r="AJ26" s="9">
        <v>0</v>
      </c>
      <c r="AK26" s="9">
        <v>0</v>
      </c>
      <c r="AL26" s="9">
        <v>0</v>
      </c>
      <c r="AM26" s="9">
        <v>1</v>
      </c>
      <c r="AN26" s="9">
        <v>1</v>
      </c>
      <c r="AO26" s="9">
        <v>0</v>
      </c>
      <c r="AP26" s="9">
        <v>0</v>
      </c>
      <c r="AQ26" s="9">
        <v>1</v>
      </c>
      <c r="AR26" s="9">
        <v>0</v>
      </c>
      <c r="AS26" s="9">
        <v>1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210"/>
      <c r="AZ26" s="9">
        <v>3</v>
      </c>
      <c r="BA26" s="9">
        <v>2</v>
      </c>
      <c r="BB26" s="9">
        <v>0</v>
      </c>
      <c r="BC26" s="9">
        <v>0</v>
      </c>
      <c r="BD26" s="9">
        <v>0</v>
      </c>
      <c r="BE26" s="9">
        <v>0</v>
      </c>
      <c r="BF26" s="9">
        <v>2</v>
      </c>
      <c r="BG26" s="210"/>
      <c r="BH26" s="104">
        <v>9</v>
      </c>
      <c r="BI26" s="104">
        <v>0</v>
      </c>
      <c r="BJ26" s="210"/>
      <c r="BK26" s="104">
        <v>0</v>
      </c>
      <c r="BL26" s="104">
        <v>0</v>
      </c>
      <c r="BM26" s="104">
        <v>0</v>
      </c>
      <c r="BN26" s="104">
        <v>0</v>
      </c>
      <c r="BO26" s="104">
        <v>0</v>
      </c>
      <c r="BP26" s="210"/>
      <c r="BQ26" s="104">
        <v>0</v>
      </c>
      <c r="BR26" s="9">
        <v>16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210"/>
    </row>
    <row r="27" spans="1:82" s="9" customFormat="1">
      <c r="A27" s="146"/>
      <c r="B27" s="9" t="s">
        <v>1415</v>
      </c>
      <c r="C27" s="9">
        <v>0</v>
      </c>
      <c r="D27" s="9">
        <v>0</v>
      </c>
      <c r="E27" s="9">
        <v>14</v>
      </c>
      <c r="F27" s="9">
        <v>9</v>
      </c>
      <c r="G27" s="210"/>
      <c r="H27" s="9">
        <v>9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210"/>
      <c r="R27" s="9">
        <v>1</v>
      </c>
      <c r="S27" s="9">
        <v>0</v>
      </c>
      <c r="T27" s="9">
        <v>2</v>
      </c>
      <c r="U27" s="9">
        <v>0</v>
      </c>
      <c r="V27" s="9">
        <v>6</v>
      </c>
      <c r="W27" s="9">
        <v>0</v>
      </c>
      <c r="X27" s="9">
        <v>0</v>
      </c>
      <c r="Y27" s="210"/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210"/>
      <c r="AH27" s="9">
        <v>9</v>
      </c>
      <c r="AI27" s="9">
        <v>0</v>
      </c>
      <c r="AJ27" s="9">
        <v>0</v>
      </c>
      <c r="AK27" s="9">
        <v>0</v>
      </c>
      <c r="AL27" s="9">
        <v>1</v>
      </c>
      <c r="AM27" s="9">
        <v>2</v>
      </c>
      <c r="AN27" s="9">
        <v>0</v>
      </c>
      <c r="AO27" s="9">
        <v>0</v>
      </c>
      <c r="AP27" s="9">
        <v>1</v>
      </c>
      <c r="AQ27" s="9">
        <v>1</v>
      </c>
      <c r="AR27" s="9">
        <v>0</v>
      </c>
      <c r="AS27" s="9">
        <v>2</v>
      </c>
      <c r="AT27" s="9">
        <v>0</v>
      </c>
      <c r="AU27" s="9">
        <v>0</v>
      </c>
      <c r="AV27" s="9">
        <v>0</v>
      </c>
      <c r="AW27" s="9">
        <v>0</v>
      </c>
      <c r="AX27" s="9">
        <v>1</v>
      </c>
      <c r="AY27" s="210"/>
      <c r="AZ27" s="9">
        <v>7</v>
      </c>
      <c r="BA27" s="9">
        <v>1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210"/>
      <c r="BH27" s="104">
        <v>9</v>
      </c>
      <c r="BI27" s="104">
        <v>0</v>
      </c>
      <c r="BJ27" s="210"/>
      <c r="BK27" s="104">
        <v>0</v>
      </c>
      <c r="BL27" s="104">
        <v>0</v>
      </c>
      <c r="BM27" s="104">
        <v>0</v>
      </c>
      <c r="BN27" s="104">
        <v>0</v>
      </c>
      <c r="BO27" s="104">
        <v>0</v>
      </c>
      <c r="BP27" s="210"/>
      <c r="BQ27" s="104">
        <v>0</v>
      </c>
      <c r="BR27" s="9">
        <v>6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210"/>
    </row>
    <row r="28" spans="1:82">
      <c r="A28" s="146"/>
      <c r="B28" s="9" t="s">
        <v>1416</v>
      </c>
      <c r="C28" s="9">
        <v>1</v>
      </c>
      <c r="D28" s="9">
        <v>0</v>
      </c>
      <c r="E28" s="9">
        <v>8</v>
      </c>
      <c r="F28" s="9">
        <v>4</v>
      </c>
      <c r="G28" s="210"/>
      <c r="H28" s="9">
        <v>4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210"/>
      <c r="R28" s="9">
        <v>1</v>
      </c>
      <c r="S28" s="9">
        <v>1</v>
      </c>
      <c r="T28" s="9">
        <v>0</v>
      </c>
      <c r="U28" s="9">
        <v>0</v>
      </c>
      <c r="V28" s="9">
        <v>2</v>
      </c>
      <c r="W28" s="9">
        <v>0</v>
      </c>
      <c r="X28" s="9">
        <v>0</v>
      </c>
      <c r="Y28" s="210"/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210"/>
      <c r="AH28" s="9">
        <v>4</v>
      </c>
      <c r="AI28" s="9">
        <v>0</v>
      </c>
      <c r="AJ28" s="9">
        <v>0</v>
      </c>
      <c r="AK28" s="9">
        <v>0</v>
      </c>
      <c r="AL28" s="9">
        <v>0</v>
      </c>
      <c r="AM28" s="9">
        <v>3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1</v>
      </c>
      <c r="AU28" s="9">
        <v>0</v>
      </c>
      <c r="AV28" s="9">
        <v>0</v>
      </c>
      <c r="AW28" s="9">
        <v>0</v>
      </c>
      <c r="AX28" s="9">
        <v>0</v>
      </c>
      <c r="AY28" s="210"/>
      <c r="AZ28" s="9">
        <v>4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210"/>
      <c r="BH28" s="104">
        <v>4</v>
      </c>
      <c r="BI28" s="104">
        <v>0</v>
      </c>
      <c r="BJ28" s="210"/>
      <c r="BK28" s="104">
        <v>0</v>
      </c>
      <c r="BL28" s="104">
        <v>0</v>
      </c>
      <c r="BM28" s="104">
        <v>0</v>
      </c>
      <c r="BN28" s="104">
        <v>0</v>
      </c>
      <c r="BO28" s="104">
        <v>0</v>
      </c>
      <c r="BP28" s="210"/>
      <c r="BQ28" s="104">
        <v>0</v>
      </c>
      <c r="BR28" s="9">
        <v>4</v>
      </c>
      <c r="BS28" s="9">
        <v>2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210"/>
    </row>
    <row r="29" spans="1:82" s="9" customFormat="1">
      <c r="A29" s="146"/>
      <c r="B29" s="9" t="s">
        <v>1417</v>
      </c>
      <c r="C29" s="9">
        <v>2</v>
      </c>
      <c r="D29" s="9">
        <v>6</v>
      </c>
      <c r="E29" s="9">
        <v>30</v>
      </c>
      <c r="F29" s="9">
        <v>12</v>
      </c>
      <c r="G29" s="210"/>
      <c r="H29" s="9">
        <v>11</v>
      </c>
      <c r="I29" s="9">
        <v>0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210"/>
      <c r="R29" s="9">
        <v>4</v>
      </c>
      <c r="S29" s="9">
        <v>0</v>
      </c>
      <c r="T29" s="9">
        <v>3</v>
      </c>
      <c r="U29" s="9">
        <v>0</v>
      </c>
      <c r="V29" s="9">
        <v>5</v>
      </c>
      <c r="W29" s="9">
        <v>0</v>
      </c>
      <c r="X29" s="9">
        <v>1</v>
      </c>
      <c r="Y29" s="210"/>
      <c r="Z29" s="9">
        <v>1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</v>
      </c>
      <c r="AG29" s="210"/>
      <c r="AH29" s="9">
        <v>15</v>
      </c>
      <c r="AI29" s="9">
        <v>0</v>
      </c>
      <c r="AJ29" s="9">
        <v>0</v>
      </c>
      <c r="AK29" s="9">
        <v>0</v>
      </c>
      <c r="AL29" s="9">
        <v>0</v>
      </c>
      <c r="AM29" s="9">
        <v>7</v>
      </c>
      <c r="AN29" s="9">
        <v>2</v>
      </c>
      <c r="AO29" s="9">
        <v>1</v>
      </c>
      <c r="AP29" s="9">
        <v>1</v>
      </c>
      <c r="AQ29" s="9">
        <v>2</v>
      </c>
      <c r="AR29" s="9">
        <v>0</v>
      </c>
      <c r="AS29" s="9">
        <v>0</v>
      </c>
      <c r="AT29" s="9">
        <v>0</v>
      </c>
      <c r="AU29" s="9">
        <v>0</v>
      </c>
      <c r="AV29" s="9">
        <v>2</v>
      </c>
      <c r="AW29" s="9">
        <v>0</v>
      </c>
      <c r="AX29" s="9">
        <v>1</v>
      </c>
      <c r="AY29" s="210"/>
      <c r="AZ29" s="9">
        <v>3</v>
      </c>
      <c r="BA29" s="9">
        <v>1</v>
      </c>
      <c r="BB29" s="9">
        <v>1</v>
      </c>
      <c r="BC29" s="9">
        <v>0</v>
      </c>
      <c r="BD29" s="9">
        <v>0</v>
      </c>
      <c r="BE29" s="9">
        <v>0</v>
      </c>
      <c r="BF29" s="9">
        <v>5</v>
      </c>
      <c r="BG29" s="210"/>
      <c r="BH29" s="104">
        <v>12</v>
      </c>
      <c r="BI29" s="104">
        <v>0</v>
      </c>
      <c r="BJ29" s="210"/>
      <c r="BK29" s="104">
        <v>0</v>
      </c>
      <c r="BL29" s="104">
        <v>0</v>
      </c>
      <c r="BM29" s="104">
        <v>0</v>
      </c>
      <c r="BN29" s="104">
        <v>0</v>
      </c>
      <c r="BO29" s="104">
        <v>0</v>
      </c>
      <c r="BP29" s="210"/>
      <c r="BQ29" s="104">
        <v>0</v>
      </c>
      <c r="BR29" s="9">
        <v>26</v>
      </c>
      <c r="BS29" s="9">
        <v>0</v>
      </c>
      <c r="BT29" s="9">
        <v>0</v>
      </c>
      <c r="BU29" s="9">
        <v>2</v>
      </c>
      <c r="BV29" s="9">
        <v>511</v>
      </c>
      <c r="BW29" s="9">
        <v>2</v>
      </c>
      <c r="BX29" s="9">
        <v>2357</v>
      </c>
      <c r="BY29" s="9">
        <v>0</v>
      </c>
      <c r="BZ29" s="9">
        <v>2</v>
      </c>
      <c r="CA29" s="9">
        <v>1260</v>
      </c>
      <c r="CB29" s="9">
        <v>0</v>
      </c>
      <c r="CC29" s="9">
        <v>0</v>
      </c>
      <c r="CD29" s="210"/>
    </row>
    <row r="30" spans="1:82" s="9" customFormat="1">
      <c r="B30" s="9" t="s">
        <v>1544</v>
      </c>
      <c r="C30" s="9">
        <v>1</v>
      </c>
      <c r="D30" s="9">
        <v>3</v>
      </c>
      <c r="E30" s="9">
        <v>25</v>
      </c>
      <c r="F30" s="9">
        <v>19</v>
      </c>
      <c r="G30" s="210"/>
      <c r="H30" s="9">
        <v>19</v>
      </c>
      <c r="I30" s="9">
        <v>1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210"/>
      <c r="R30" s="9">
        <v>3</v>
      </c>
      <c r="S30" s="9">
        <v>1</v>
      </c>
      <c r="T30" s="9">
        <v>4</v>
      </c>
      <c r="U30" s="9">
        <v>0</v>
      </c>
      <c r="V30" s="9">
        <v>13</v>
      </c>
      <c r="W30" s="9">
        <v>0</v>
      </c>
      <c r="X30" s="9">
        <v>0</v>
      </c>
      <c r="Y30" s="210"/>
      <c r="Z30" s="9">
        <v>1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1</v>
      </c>
      <c r="AG30" s="210"/>
      <c r="AH30" s="9">
        <v>21</v>
      </c>
      <c r="AI30" s="9">
        <v>0</v>
      </c>
      <c r="AJ30" s="9">
        <v>1</v>
      </c>
      <c r="AK30" s="9">
        <v>0</v>
      </c>
      <c r="AL30" s="9">
        <v>1</v>
      </c>
      <c r="AM30" s="9">
        <v>1</v>
      </c>
      <c r="AN30" s="9">
        <v>0</v>
      </c>
      <c r="AO30" s="9">
        <v>0</v>
      </c>
      <c r="AP30" s="9">
        <v>1</v>
      </c>
      <c r="AQ30" s="9">
        <v>1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210"/>
      <c r="AZ30" s="9">
        <v>4</v>
      </c>
      <c r="BA30" s="9">
        <v>8</v>
      </c>
      <c r="BB30" s="9">
        <v>0</v>
      </c>
      <c r="BC30" s="9">
        <v>0</v>
      </c>
      <c r="BD30" s="9">
        <v>0</v>
      </c>
      <c r="BE30" s="9">
        <v>0</v>
      </c>
      <c r="BF30" s="9">
        <v>3</v>
      </c>
      <c r="BG30" s="210"/>
      <c r="BH30" s="104">
        <v>19</v>
      </c>
      <c r="BI30" s="104">
        <v>0</v>
      </c>
      <c r="BJ30" s="210"/>
      <c r="BK30" s="104">
        <v>0</v>
      </c>
      <c r="BL30" s="104">
        <v>0</v>
      </c>
      <c r="BM30" s="104">
        <v>0</v>
      </c>
      <c r="BN30" s="104">
        <v>0</v>
      </c>
      <c r="BO30" s="104">
        <v>0</v>
      </c>
      <c r="BP30" s="210"/>
      <c r="BQ30" s="104">
        <v>0</v>
      </c>
      <c r="BR30" s="9">
        <v>21</v>
      </c>
      <c r="BS30" s="9">
        <v>2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210"/>
    </row>
    <row r="31" spans="1:82" s="9" customFormat="1">
      <c r="A31" s="146"/>
      <c r="B31" s="9" t="s">
        <v>1419</v>
      </c>
      <c r="C31" s="9">
        <v>2</v>
      </c>
      <c r="D31" s="9">
        <v>3</v>
      </c>
      <c r="E31" s="9">
        <v>28</v>
      </c>
      <c r="F31" s="9">
        <v>16</v>
      </c>
      <c r="G31" s="210"/>
      <c r="H31" s="9">
        <v>14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210"/>
      <c r="R31" s="9">
        <v>3</v>
      </c>
      <c r="S31" s="9">
        <v>1</v>
      </c>
      <c r="T31" s="9">
        <v>0</v>
      </c>
      <c r="U31" s="9">
        <v>0</v>
      </c>
      <c r="V31" s="9">
        <v>11</v>
      </c>
      <c r="W31" s="9">
        <v>0</v>
      </c>
      <c r="X31" s="9">
        <v>1</v>
      </c>
      <c r="Y31" s="210"/>
      <c r="Z31" s="9">
        <v>1</v>
      </c>
      <c r="AA31" s="9">
        <v>2</v>
      </c>
      <c r="AB31" s="9">
        <v>0</v>
      </c>
      <c r="AC31" s="9">
        <v>0</v>
      </c>
      <c r="AD31" s="9">
        <v>0</v>
      </c>
      <c r="AE31" s="9">
        <v>0</v>
      </c>
      <c r="AF31" s="9">
        <v>1</v>
      </c>
      <c r="AG31" s="210"/>
      <c r="AH31" s="9">
        <v>20</v>
      </c>
      <c r="AI31" s="9">
        <v>0</v>
      </c>
      <c r="AJ31" s="9">
        <v>0</v>
      </c>
      <c r="AK31" s="9">
        <v>0</v>
      </c>
      <c r="AL31" s="9">
        <v>0</v>
      </c>
      <c r="AM31" s="9">
        <v>1</v>
      </c>
      <c r="AN31" s="9">
        <v>0</v>
      </c>
      <c r="AO31" s="9">
        <v>1</v>
      </c>
      <c r="AP31" s="9">
        <v>3</v>
      </c>
      <c r="AQ31" s="9">
        <v>1</v>
      </c>
      <c r="AR31" s="9">
        <v>1</v>
      </c>
      <c r="AS31" s="9">
        <v>2</v>
      </c>
      <c r="AT31" s="9">
        <v>1</v>
      </c>
      <c r="AU31" s="9">
        <v>0</v>
      </c>
      <c r="AV31" s="9">
        <v>1</v>
      </c>
      <c r="AW31" s="9">
        <v>1</v>
      </c>
      <c r="AX31" s="9">
        <v>1</v>
      </c>
      <c r="AY31" s="210"/>
      <c r="AZ31" s="9">
        <v>9</v>
      </c>
      <c r="BA31" s="9">
        <v>3</v>
      </c>
      <c r="BB31" s="9">
        <v>0</v>
      </c>
      <c r="BC31" s="9">
        <v>0</v>
      </c>
      <c r="BD31" s="9">
        <v>0</v>
      </c>
      <c r="BE31" s="9">
        <v>0</v>
      </c>
      <c r="BF31" s="9">
        <v>1</v>
      </c>
      <c r="BG31" s="210"/>
      <c r="BH31" s="104">
        <v>16</v>
      </c>
      <c r="BI31" s="104">
        <v>0</v>
      </c>
      <c r="BJ31" s="210"/>
      <c r="BK31" s="104">
        <v>0</v>
      </c>
      <c r="BL31" s="104">
        <v>0</v>
      </c>
      <c r="BM31" s="104">
        <v>0</v>
      </c>
      <c r="BN31" s="104">
        <v>0</v>
      </c>
      <c r="BO31" s="104">
        <v>0</v>
      </c>
      <c r="BP31" s="210"/>
      <c r="BQ31" s="104">
        <v>0</v>
      </c>
      <c r="BR31" s="9">
        <v>17</v>
      </c>
      <c r="BS31" s="9">
        <v>1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210"/>
    </row>
    <row r="32" spans="1:82" s="9" customFormat="1">
      <c r="A32" s="146"/>
      <c r="B32" s="9" t="s">
        <v>1420</v>
      </c>
      <c r="C32" s="9">
        <v>0</v>
      </c>
      <c r="D32" s="9">
        <v>4</v>
      </c>
      <c r="E32" s="9">
        <v>14</v>
      </c>
      <c r="F32" s="9">
        <v>5</v>
      </c>
      <c r="G32" s="210"/>
      <c r="H32" s="9">
        <v>3</v>
      </c>
      <c r="I32" s="9">
        <v>1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210"/>
      <c r="R32" s="9">
        <v>2</v>
      </c>
      <c r="S32" s="9">
        <v>1</v>
      </c>
      <c r="T32" s="9">
        <v>0</v>
      </c>
      <c r="U32" s="9">
        <v>0</v>
      </c>
      <c r="V32" s="9">
        <v>2</v>
      </c>
      <c r="W32" s="9">
        <v>0</v>
      </c>
      <c r="X32" s="9">
        <v>1</v>
      </c>
      <c r="Y32" s="210"/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210"/>
      <c r="AH32" s="9">
        <v>5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2</v>
      </c>
      <c r="AO32" s="9">
        <v>0</v>
      </c>
      <c r="AP32" s="9">
        <v>2</v>
      </c>
      <c r="AQ32" s="9">
        <v>3</v>
      </c>
      <c r="AR32" s="9">
        <v>0</v>
      </c>
      <c r="AS32" s="9">
        <v>0</v>
      </c>
      <c r="AT32" s="9">
        <v>4</v>
      </c>
      <c r="AU32" s="9">
        <v>0</v>
      </c>
      <c r="AV32" s="9">
        <v>0</v>
      </c>
      <c r="AW32" s="9">
        <v>0</v>
      </c>
      <c r="AX32" s="9">
        <v>0</v>
      </c>
      <c r="AY32" s="210"/>
      <c r="AZ32" s="9">
        <v>4</v>
      </c>
      <c r="BA32" s="9">
        <v>1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210"/>
      <c r="BH32" s="104">
        <v>5</v>
      </c>
      <c r="BI32" s="104">
        <v>0</v>
      </c>
      <c r="BJ32" s="210"/>
      <c r="BK32" s="104">
        <v>0</v>
      </c>
      <c r="BL32" s="104">
        <v>0</v>
      </c>
      <c r="BM32" s="104">
        <v>0</v>
      </c>
      <c r="BN32" s="104">
        <v>0</v>
      </c>
      <c r="BO32" s="104">
        <v>0</v>
      </c>
      <c r="BP32" s="210"/>
      <c r="BQ32" s="104">
        <v>0</v>
      </c>
      <c r="BR32" s="9">
        <v>4</v>
      </c>
      <c r="BS32" s="9">
        <v>1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210"/>
    </row>
    <row r="33" spans="1:82" s="9" customFormat="1">
      <c r="A33" s="146"/>
      <c r="B33" s="9" t="s">
        <v>1421</v>
      </c>
      <c r="C33" s="9">
        <v>0</v>
      </c>
      <c r="D33" s="9">
        <v>0</v>
      </c>
      <c r="E33" s="9">
        <v>2</v>
      </c>
      <c r="F33" s="9">
        <v>2</v>
      </c>
      <c r="G33" s="210"/>
      <c r="H33" s="9">
        <v>2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210"/>
      <c r="R33" s="9">
        <v>0</v>
      </c>
      <c r="S33" s="9">
        <v>0</v>
      </c>
      <c r="T33" s="9">
        <v>0</v>
      </c>
      <c r="U33" s="9">
        <v>0</v>
      </c>
      <c r="V33" s="9">
        <v>2</v>
      </c>
      <c r="W33" s="9">
        <v>0</v>
      </c>
      <c r="X33" s="9">
        <v>0</v>
      </c>
      <c r="Y33" s="210"/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210"/>
      <c r="AH33" s="9">
        <v>2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210"/>
      <c r="AZ33" s="9">
        <v>2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210"/>
      <c r="BH33" s="104">
        <v>2</v>
      </c>
      <c r="BI33" s="104">
        <v>0</v>
      </c>
      <c r="BJ33" s="210"/>
      <c r="BK33" s="104">
        <v>0</v>
      </c>
      <c r="BL33" s="104">
        <v>0</v>
      </c>
      <c r="BM33" s="104">
        <v>0</v>
      </c>
      <c r="BN33" s="104">
        <v>0</v>
      </c>
      <c r="BO33" s="104">
        <v>0</v>
      </c>
      <c r="BP33" s="210"/>
      <c r="BQ33" s="104">
        <v>0</v>
      </c>
      <c r="BR33" s="9">
        <v>2</v>
      </c>
      <c r="BS33" s="9">
        <v>1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210"/>
    </row>
    <row r="34" spans="1:82" s="9" customFormat="1">
      <c r="A34" s="146"/>
      <c r="B34" s="9" t="s">
        <v>1422</v>
      </c>
      <c r="C34" s="9">
        <v>1</v>
      </c>
      <c r="D34" s="9">
        <v>14</v>
      </c>
      <c r="E34" s="9">
        <v>57</v>
      </c>
      <c r="F34" s="9">
        <v>23</v>
      </c>
      <c r="G34" s="210"/>
      <c r="H34" s="9">
        <v>21</v>
      </c>
      <c r="I34" s="9">
        <v>2</v>
      </c>
      <c r="J34" s="9">
        <v>1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210"/>
      <c r="R34" s="9">
        <v>2</v>
      </c>
      <c r="S34" s="9">
        <v>0</v>
      </c>
      <c r="T34" s="9">
        <v>3</v>
      </c>
      <c r="U34" s="9">
        <v>0</v>
      </c>
      <c r="V34" s="9">
        <v>16</v>
      </c>
      <c r="W34" s="9">
        <v>0</v>
      </c>
      <c r="X34" s="9">
        <v>4</v>
      </c>
      <c r="Y34" s="210"/>
      <c r="Z34" s="9">
        <v>1</v>
      </c>
      <c r="AA34" s="9">
        <v>1</v>
      </c>
      <c r="AB34" s="9">
        <v>0</v>
      </c>
      <c r="AC34" s="9">
        <v>0</v>
      </c>
      <c r="AD34" s="9">
        <v>0</v>
      </c>
      <c r="AE34" s="9">
        <v>0</v>
      </c>
      <c r="AF34" s="9">
        <v>1</v>
      </c>
      <c r="AG34" s="210"/>
      <c r="AH34" s="9">
        <v>25</v>
      </c>
      <c r="AI34" s="9">
        <v>0</v>
      </c>
      <c r="AJ34" s="9">
        <v>0</v>
      </c>
      <c r="AK34" s="9">
        <v>1</v>
      </c>
      <c r="AL34" s="9">
        <v>3</v>
      </c>
      <c r="AM34" s="9">
        <v>7</v>
      </c>
      <c r="AN34" s="9">
        <v>8</v>
      </c>
      <c r="AO34" s="9">
        <v>3</v>
      </c>
      <c r="AP34" s="9">
        <v>3</v>
      </c>
      <c r="AQ34" s="9">
        <v>4</v>
      </c>
      <c r="AR34" s="9">
        <v>0</v>
      </c>
      <c r="AS34" s="9">
        <v>1</v>
      </c>
      <c r="AT34" s="9">
        <v>3</v>
      </c>
      <c r="AU34" s="9">
        <v>0</v>
      </c>
      <c r="AV34" s="9">
        <v>0</v>
      </c>
      <c r="AW34" s="9">
        <v>2</v>
      </c>
      <c r="AX34" s="9">
        <f>SUM('[2]Missouri-57 clean'!AY68)</f>
        <v>2</v>
      </c>
      <c r="AY34" s="210"/>
      <c r="AZ34" s="9">
        <v>12</v>
      </c>
      <c r="BA34" s="9">
        <v>1</v>
      </c>
      <c r="BB34" s="9">
        <v>1</v>
      </c>
      <c r="BC34" s="9">
        <v>0</v>
      </c>
      <c r="BD34" s="9">
        <v>0</v>
      </c>
      <c r="BE34" s="9">
        <v>0</v>
      </c>
      <c r="BF34" s="9">
        <v>9</v>
      </c>
      <c r="BG34" s="210"/>
      <c r="BH34" s="104">
        <v>23</v>
      </c>
      <c r="BI34" s="104">
        <v>0</v>
      </c>
      <c r="BJ34" s="210"/>
      <c r="BK34" s="104">
        <v>0</v>
      </c>
      <c r="BL34" s="104">
        <v>0</v>
      </c>
      <c r="BM34" s="104">
        <v>0</v>
      </c>
      <c r="BN34" s="104">
        <v>0</v>
      </c>
      <c r="BO34" s="104">
        <v>0</v>
      </c>
      <c r="BP34" s="210"/>
      <c r="BQ34" s="104">
        <v>0</v>
      </c>
      <c r="BR34" s="9">
        <v>37</v>
      </c>
      <c r="BS34" s="9">
        <v>2</v>
      </c>
      <c r="BT34" s="9">
        <v>0</v>
      </c>
      <c r="BU34" s="9">
        <v>1</v>
      </c>
      <c r="BV34" s="9">
        <v>453</v>
      </c>
      <c r="BW34" s="9">
        <v>1</v>
      </c>
      <c r="BX34" s="9">
        <v>2589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210"/>
    </row>
    <row r="35" spans="1:82" s="9" customFormat="1">
      <c r="A35" s="146"/>
      <c r="B35" s="9" t="s">
        <v>1423</v>
      </c>
      <c r="C35" s="9">
        <v>5</v>
      </c>
      <c r="D35" s="9">
        <v>27</v>
      </c>
      <c r="E35" s="9">
        <v>77</v>
      </c>
      <c r="F35" s="9">
        <v>29</v>
      </c>
      <c r="G35" s="210"/>
      <c r="H35" s="9">
        <v>25</v>
      </c>
      <c r="I35" s="9">
        <v>1</v>
      </c>
      <c r="J35" s="9">
        <v>1</v>
      </c>
      <c r="K35" s="9">
        <v>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210"/>
      <c r="R35" s="9">
        <v>9</v>
      </c>
      <c r="S35" s="9">
        <v>0</v>
      </c>
      <c r="T35" s="9">
        <v>0</v>
      </c>
      <c r="U35" s="9">
        <v>1</v>
      </c>
      <c r="V35" s="9">
        <v>18</v>
      </c>
      <c r="W35" s="9">
        <v>1</v>
      </c>
      <c r="X35" s="9">
        <v>2</v>
      </c>
      <c r="Y35" s="210"/>
      <c r="Z35" s="9">
        <v>1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210"/>
      <c r="AH35" s="9">
        <v>32</v>
      </c>
      <c r="AI35" s="9">
        <v>0</v>
      </c>
      <c r="AJ35" s="9">
        <v>0</v>
      </c>
      <c r="AK35" s="9">
        <v>0</v>
      </c>
      <c r="AL35" s="9">
        <v>2</v>
      </c>
      <c r="AM35" s="9">
        <v>6</v>
      </c>
      <c r="AN35" s="9">
        <v>4</v>
      </c>
      <c r="AO35" s="9">
        <v>7</v>
      </c>
      <c r="AP35" s="9">
        <v>7</v>
      </c>
      <c r="AQ35" s="9">
        <v>10</v>
      </c>
      <c r="AR35" s="9">
        <v>2</v>
      </c>
      <c r="AS35" s="9">
        <v>8</v>
      </c>
      <c r="AT35" s="9">
        <v>3</v>
      </c>
      <c r="AU35" s="9">
        <v>1</v>
      </c>
      <c r="AV35" s="9">
        <v>3</v>
      </c>
      <c r="AW35" s="9">
        <v>7</v>
      </c>
      <c r="AX35" s="9">
        <v>3</v>
      </c>
      <c r="AY35" s="210"/>
      <c r="AZ35" s="9">
        <v>18</v>
      </c>
      <c r="BA35" s="9">
        <v>8</v>
      </c>
      <c r="BB35" s="9">
        <v>1</v>
      </c>
      <c r="BC35" s="9">
        <v>0</v>
      </c>
      <c r="BD35" s="147">
        <v>1</v>
      </c>
      <c r="BE35" s="9">
        <v>0</v>
      </c>
      <c r="BF35" s="9">
        <v>1</v>
      </c>
      <c r="BG35" s="210"/>
      <c r="BH35" s="104">
        <v>29</v>
      </c>
      <c r="BI35" s="104">
        <v>1</v>
      </c>
      <c r="BJ35" s="210"/>
      <c r="BK35" s="104">
        <v>1</v>
      </c>
      <c r="BL35" s="104">
        <v>0</v>
      </c>
      <c r="BM35" s="104">
        <v>0</v>
      </c>
      <c r="BN35" s="104">
        <v>0</v>
      </c>
      <c r="BO35" s="104">
        <v>0</v>
      </c>
      <c r="BP35" s="210"/>
      <c r="BQ35" s="104">
        <f>SUM('[2]Montana-77 clean'!CC88)</f>
        <v>0</v>
      </c>
      <c r="BR35" s="104">
        <v>67</v>
      </c>
      <c r="BS35" s="9">
        <v>2</v>
      </c>
      <c r="BT35" s="9">
        <f>SUM('[2]Montana-77 clean'!CI88)</f>
        <v>0</v>
      </c>
      <c r="BU35" s="9">
        <f>SUM('[2]Montana-77 clean'!CJ88)</f>
        <v>0</v>
      </c>
      <c r="BV35" s="9">
        <f>SUM('[2]Montana-77 clean'!CK88)</f>
        <v>0</v>
      </c>
      <c r="BW35" s="9">
        <f>SUM('[2]Montana-77 clean'!CM88)</f>
        <v>0</v>
      </c>
      <c r="BX35" s="9">
        <f>SUM('[2]Montana-77 clean'!CN88)</f>
        <v>0</v>
      </c>
      <c r="BY35" s="9">
        <f>SUM('[2]Montana-77 clean'!CP88)</f>
        <v>0</v>
      </c>
      <c r="BZ35" s="9">
        <f>SUM('[2]Montana-77 clean'!CR88)</f>
        <v>0</v>
      </c>
      <c r="CA35" s="9">
        <f>SUM('[2]Montana-77 clean'!CS88)</f>
        <v>0</v>
      </c>
      <c r="CB35" s="9">
        <f>SUM('[2]Montana-77 clean'!CU88)</f>
        <v>0</v>
      </c>
      <c r="CC35" s="9">
        <f>SUM('[2]Montana-77 clean'!CV88)</f>
        <v>0</v>
      </c>
      <c r="CD35" s="210"/>
    </row>
    <row r="36" spans="1:82" s="9" customFormat="1">
      <c r="A36" s="146"/>
      <c r="B36" s="9" t="s">
        <v>1424</v>
      </c>
      <c r="C36" s="9">
        <v>1</v>
      </c>
      <c r="D36" s="9">
        <v>6</v>
      </c>
      <c r="E36" s="9">
        <v>21</v>
      </c>
      <c r="F36" s="9">
        <v>9</v>
      </c>
      <c r="G36" s="210"/>
      <c r="H36" s="9">
        <v>9</v>
      </c>
      <c r="I36" s="9">
        <v>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210"/>
      <c r="R36" s="9">
        <v>3</v>
      </c>
      <c r="S36" s="9">
        <v>0</v>
      </c>
      <c r="T36" s="9">
        <v>3</v>
      </c>
      <c r="U36" s="9">
        <v>0</v>
      </c>
      <c r="V36" s="9">
        <v>4</v>
      </c>
      <c r="W36" s="9">
        <v>0</v>
      </c>
      <c r="X36" s="9">
        <v>3</v>
      </c>
      <c r="Y36" s="210"/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210"/>
      <c r="AH36" s="9">
        <v>11</v>
      </c>
      <c r="AI36" s="9">
        <v>0</v>
      </c>
      <c r="AJ36" s="9">
        <v>0</v>
      </c>
      <c r="AK36" s="9">
        <v>0</v>
      </c>
      <c r="AL36" s="9">
        <v>1</v>
      </c>
      <c r="AM36" s="9">
        <v>2</v>
      </c>
      <c r="AN36" s="9">
        <v>2</v>
      </c>
      <c r="AO36" s="9">
        <v>0</v>
      </c>
      <c r="AP36" s="9">
        <v>2</v>
      </c>
      <c r="AQ36" s="9">
        <v>2</v>
      </c>
      <c r="AR36" s="9">
        <v>0</v>
      </c>
      <c r="AS36" s="9">
        <v>0</v>
      </c>
      <c r="AT36" s="9">
        <v>2</v>
      </c>
      <c r="AU36" s="9">
        <v>0</v>
      </c>
      <c r="AV36" s="9">
        <v>0</v>
      </c>
      <c r="AW36" s="9">
        <v>0</v>
      </c>
      <c r="AX36" s="9">
        <v>0</v>
      </c>
      <c r="AY36" s="210"/>
      <c r="AZ36" s="9">
        <v>6</v>
      </c>
      <c r="BA36" s="9">
        <v>3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210"/>
      <c r="BH36" s="104">
        <v>9</v>
      </c>
      <c r="BI36" s="104">
        <v>0</v>
      </c>
      <c r="BJ36" s="210"/>
      <c r="BK36" s="104">
        <v>0</v>
      </c>
      <c r="BL36" s="104">
        <v>0</v>
      </c>
      <c r="BM36" s="104">
        <v>0</v>
      </c>
      <c r="BN36" s="104">
        <v>0</v>
      </c>
      <c r="BO36" s="104">
        <v>0</v>
      </c>
      <c r="BP36" s="210"/>
      <c r="BQ36" s="104">
        <f>SUM('[2]Nebraska-21 clean'!CC32)</f>
        <v>0</v>
      </c>
      <c r="BR36" s="9">
        <v>9</v>
      </c>
      <c r="BS36" s="9">
        <v>1</v>
      </c>
      <c r="BT36" s="9">
        <f>SUM('[2]Nebraska-21 clean'!CI32)</f>
        <v>0</v>
      </c>
      <c r="BU36" s="9">
        <f>SUM('[2]Nebraska-21 clean'!CJ32)</f>
        <v>0</v>
      </c>
      <c r="BV36" s="9">
        <f>SUM('[2]Nebraska-21 clean'!CK32)</f>
        <v>0</v>
      </c>
      <c r="BW36" s="9">
        <f>SUM('[2]Nebraska-21 clean'!CM32)</f>
        <v>0</v>
      </c>
      <c r="BX36" s="9">
        <f>SUM('[2]Nebraska-21 clean'!CN32)</f>
        <v>0</v>
      </c>
      <c r="BY36" s="9">
        <f>SUM('[2]Nebraska-21 clean'!CP32)</f>
        <v>0</v>
      </c>
      <c r="BZ36" s="9">
        <f>SUM('[2]Nebraska-21 clean'!CR32)</f>
        <v>0</v>
      </c>
      <c r="CA36" s="9">
        <f>SUM('[2]Nebraska-21 clean'!CS32)</f>
        <v>0</v>
      </c>
      <c r="CB36" s="9">
        <f>SUM('[2]Nebraska-21 clean'!CU32)</f>
        <v>0</v>
      </c>
      <c r="CC36" s="9">
        <f>SUM('[2]Nebraska-21 clean'!CV32)</f>
        <v>0</v>
      </c>
      <c r="CD36" s="210"/>
    </row>
    <row r="37" spans="1:82" s="9" customFormat="1">
      <c r="A37" s="146"/>
      <c r="B37" s="9" t="s">
        <v>1425</v>
      </c>
      <c r="C37" s="9">
        <v>3</v>
      </c>
      <c r="D37" s="9">
        <v>30</v>
      </c>
      <c r="E37" s="9">
        <v>74</v>
      </c>
      <c r="F37" s="9">
        <v>26</v>
      </c>
      <c r="G37" s="210"/>
      <c r="H37" s="9">
        <v>25</v>
      </c>
      <c r="I37" s="9">
        <v>2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210"/>
      <c r="R37" s="9">
        <v>8</v>
      </c>
      <c r="S37" s="9">
        <v>0</v>
      </c>
      <c r="T37" s="9">
        <v>2</v>
      </c>
      <c r="U37" s="9">
        <v>1</v>
      </c>
      <c r="V37" s="9">
        <v>15</v>
      </c>
      <c r="W37" s="9">
        <v>1</v>
      </c>
      <c r="X37" s="9">
        <v>2</v>
      </c>
      <c r="Y37" s="210"/>
      <c r="Z37" s="9">
        <v>1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</v>
      </c>
      <c r="AG37" s="210"/>
      <c r="AH37" s="9">
        <v>29</v>
      </c>
      <c r="AI37" s="9">
        <v>0</v>
      </c>
      <c r="AJ37" s="9">
        <v>0</v>
      </c>
      <c r="AK37" s="9">
        <v>0</v>
      </c>
      <c r="AL37" s="9">
        <v>0</v>
      </c>
      <c r="AM37" s="9">
        <v>13</v>
      </c>
      <c r="AN37" s="9">
        <v>8</v>
      </c>
      <c r="AO37" s="9">
        <v>2</v>
      </c>
      <c r="AP37" s="9">
        <v>6</v>
      </c>
      <c r="AQ37" s="9">
        <v>6</v>
      </c>
      <c r="AR37" s="9">
        <v>0</v>
      </c>
      <c r="AS37" s="9">
        <v>5</v>
      </c>
      <c r="AT37" s="9">
        <v>7</v>
      </c>
      <c r="AU37" s="9">
        <v>1</v>
      </c>
      <c r="AV37" s="9">
        <v>4</v>
      </c>
      <c r="AW37" s="9">
        <v>2</v>
      </c>
      <c r="AX37" s="9">
        <v>3</v>
      </c>
      <c r="AY37" s="210"/>
      <c r="AZ37" s="9">
        <v>11</v>
      </c>
      <c r="BA37" s="9">
        <v>10</v>
      </c>
      <c r="BB37" s="9">
        <v>1</v>
      </c>
      <c r="BC37" s="9">
        <v>0</v>
      </c>
      <c r="BD37" s="9">
        <v>0</v>
      </c>
      <c r="BE37" s="9">
        <v>0</v>
      </c>
      <c r="BF37" s="9">
        <v>2</v>
      </c>
      <c r="BG37" s="210"/>
      <c r="BH37" s="104">
        <v>26</v>
      </c>
      <c r="BI37" s="104">
        <v>0</v>
      </c>
      <c r="BJ37" s="210"/>
      <c r="BK37" s="104">
        <v>0</v>
      </c>
      <c r="BL37" s="104">
        <v>0</v>
      </c>
      <c r="BM37" s="104">
        <v>0</v>
      </c>
      <c r="BN37" s="104">
        <v>0</v>
      </c>
      <c r="BO37" s="104">
        <v>0</v>
      </c>
      <c r="BP37" s="210"/>
      <c r="BQ37" s="104">
        <f>SUM('[2]Nevada-74 clean'!CC86)</f>
        <v>0</v>
      </c>
      <c r="BR37" s="9">
        <v>41</v>
      </c>
      <c r="BS37" s="9">
        <v>1</v>
      </c>
      <c r="BT37" s="9">
        <f>SUM('[2]Nevada-74 clean'!CI86)</f>
        <v>0</v>
      </c>
      <c r="BU37" s="9">
        <f>SUM('[2]Nevada-74 clean'!CJ86)</f>
        <v>0</v>
      </c>
      <c r="BV37" s="9">
        <f>SUM('[2]Nevada-74 clean'!CK86)</f>
        <v>0</v>
      </c>
      <c r="BW37" s="9">
        <f>SUM('[2]Nevada-74 clean'!CM86)</f>
        <v>0</v>
      </c>
      <c r="BX37" s="9">
        <f>SUM('[2]Nevada-74 clean'!CN86)</f>
        <v>0</v>
      </c>
      <c r="BY37" s="9">
        <f>SUM('[2]Nevada-74 clean'!CP86)</f>
        <v>0</v>
      </c>
      <c r="BZ37" s="9">
        <f>SUM('[2]Nevada-74 clean'!CR86)</f>
        <v>0</v>
      </c>
      <c r="CA37" s="9">
        <f>SUM('[2]Nevada-74 clean'!CS86)</f>
        <v>0</v>
      </c>
      <c r="CB37" s="9">
        <f>SUM('[2]Nevada-74 clean'!CU86)</f>
        <v>0</v>
      </c>
      <c r="CC37" s="9">
        <f>SUM('[2]Nevada-74 clean'!CV86)</f>
        <v>0</v>
      </c>
      <c r="CD37" s="210"/>
    </row>
    <row r="38" spans="1:82" s="9" customFormat="1">
      <c r="A38" s="146"/>
      <c r="B38" s="9" t="s">
        <v>1426</v>
      </c>
      <c r="C38" s="9">
        <v>0</v>
      </c>
      <c r="D38" s="9">
        <v>7</v>
      </c>
      <c r="E38" s="9">
        <v>35</v>
      </c>
      <c r="F38" s="9">
        <v>14</v>
      </c>
      <c r="G38" s="210"/>
      <c r="H38" s="9">
        <v>12</v>
      </c>
      <c r="I38" s="9">
        <v>2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210"/>
      <c r="R38" s="9">
        <v>3</v>
      </c>
      <c r="S38" s="9">
        <v>0</v>
      </c>
      <c r="T38" s="9">
        <v>3</v>
      </c>
      <c r="U38" s="9">
        <v>0</v>
      </c>
      <c r="V38" s="9">
        <v>8</v>
      </c>
      <c r="W38" s="9">
        <v>1</v>
      </c>
      <c r="X38" s="9">
        <v>1</v>
      </c>
      <c r="Y38" s="210"/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210"/>
      <c r="AH38" s="9">
        <v>14</v>
      </c>
      <c r="AI38" s="9">
        <v>0</v>
      </c>
      <c r="AJ38" s="9">
        <v>0</v>
      </c>
      <c r="AK38" s="9">
        <v>0</v>
      </c>
      <c r="AL38" s="9">
        <v>2</v>
      </c>
      <c r="AM38" s="9">
        <v>4</v>
      </c>
      <c r="AN38" s="9">
        <v>4</v>
      </c>
      <c r="AO38" s="9">
        <v>0</v>
      </c>
      <c r="AP38" s="9">
        <v>1</v>
      </c>
      <c r="AQ38" s="9">
        <v>2</v>
      </c>
      <c r="AR38" s="9">
        <v>0</v>
      </c>
      <c r="AS38" s="9">
        <v>6</v>
      </c>
      <c r="AT38" s="9">
        <v>2</v>
      </c>
      <c r="AU38" s="9">
        <v>1</v>
      </c>
      <c r="AV38" s="9">
        <v>0</v>
      </c>
      <c r="AW38" s="9">
        <v>0</v>
      </c>
      <c r="AX38" s="9">
        <v>0</v>
      </c>
      <c r="AY38" s="210"/>
      <c r="AZ38" s="9">
        <v>2</v>
      </c>
      <c r="BA38" s="9">
        <v>4</v>
      </c>
      <c r="BB38" s="9">
        <v>1</v>
      </c>
      <c r="BC38" s="9">
        <v>0</v>
      </c>
      <c r="BD38" s="9">
        <v>0</v>
      </c>
      <c r="BE38" s="9">
        <v>0</v>
      </c>
      <c r="BF38" s="9">
        <v>7</v>
      </c>
      <c r="BG38" s="210"/>
      <c r="BH38" s="104">
        <v>14</v>
      </c>
      <c r="BI38" s="104">
        <v>0</v>
      </c>
      <c r="BJ38" s="210"/>
      <c r="BK38" s="104">
        <v>0</v>
      </c>
      <c r="BL38" s="104">
        <v>0</v>
      </c>
      <c r="BM38" s="104">
        <v>0</v>
      </c>
      <c r="BN38" s="104">
        <v>0</v>
      </c>
      <c r="BO38" s="104">
        <v>0</v>
      </c>
      <c r="BP38" s="210"/>
      <c r="BQ38" s="104">
        <f>SUM('[2]New Hampshire-35 clean'!CC44)</f>
        <v>0</v>
      </c>
      <c r="BR38" s="9">
        <v>25</v>
      </c>
      <c r="BS38" s="9">
        <v>1</v>
      </c>
      <c r="BT38" s="9">
        <f>SUM('[2]New Hampshire-35 clean'!CI44)</f>
        <v>0</v>
      </c>
      <c r="BU38" s="9">
        <f>SUM('[2]New Hampshire-35 clean'!CJ44)</f>
        <v>0</v>
      </c>
      <c r="BV38" s="9">
        <f>SUM('[2]New Hampshire-35 clean'!CK44)</f>
        <v>0</v>
      </c>
      <c r="BW38" s="9">
        <v>4</v>
      </c>
      <c r="BX38" s="9">
        <v>2474</v>
      </c>
      <c r="BY38" s="9">
        <f>SUM('[2]New Hampshire-35 clean'!CP44)</f>
        <v>0</v>
      </c>
      <c r="BZ38" s="9">
        <v>4</v>
      </c>
      <c r="CA38" s="9">
        <v>762</v>
      </c>
      <c r="CB38" s="9">
        <f>SUM('[2]New Hampshire-35 clean'!CU44)</f>
        <v>0</v>
      </c>
      <c r="CC38" s="9">
        <f>SUM('[2]New Hampshire-35 clean'!CV44)</f>
        <v>0</v>
      </c>
      <c r="CD38" s="210"/>
    </row>
    <row r="39" spans="1:82" s="9" customFormat="1">
      <c r="A39" s="146"/>
      <c r="B39" s="9" t="s">
        <v>1427</v>
      </c>
      <c r="C39" s="9">
        <v>0</v>
      </c>
      <c r="D39" s="9">
        <v>6</v>
      </c>
      <c r="E39" s="9">
        <v>20</v>
      </c>
      <c r="F39" s="9">
        <v>10</v>
      </c>
      <c r="G39" s="210"/>
      <c r="H39" s="9">
        <v>9</v>
      </c>
      <c r="I39" s="9">
        <v>1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210"/>
      <c r="R39" s="9">
        <v>2</v>
      </c>
      <c r="S39" s="9">
        <v>0</v>
      </c>
      <c r="T39" s="9">
        <v>2</v>
      </c>
      <c r="U39" s="9">
        <v>0</v>
      </c>
      <c r="V39" s="9">
        <v>6</v>
      </c>
      <c r="W39" s="9">
        <v>0</v>
      </c>
      <c r="X39" s="9">
        <v>0</v>
      </c>
      <c r="Y39" s="210"/>
      <c r="Z39" s="9">
        <v>1</v>
      </c>
      <c r="AA39" s="9">
        <v>1</v>
      </c>
      <c r="AB39" s="9">
        <v>0</v>
      </c>
      <c r="AC39" s="9">
        <v>0</v>
      </c>
      <c r="AD39" s="9">
        <v>0</v>
      </c>
      <c r="AE39" s="9">
        <v>0</v>
      </c>
      <c r="AF39" s="9">
        <v>1</v>
      </c>
      <c r="AG39" s="210"/>
      <c r="AH39" s="9">
        <v>11</v>
      </c>
      <c r="AI39" s="9">
        <v>0</v>
      </c>
      <c r="AJ39" s="9">
        <v>4</v>
      </c>
      <c r="AK39" s="9">
        <v>0</v>
      </c>
      <c r="AL39" s="9">
        <v>0</v>
      </c>
      <c r="AM39" s="9">
        <v>2</v>
      </c>
      <c r="AN39" s="9">
        <v>0</v>
      </c>
      <c r="AO39" s="9">
        <v>0</v>
      </c>
      <c r="AP39" s="9">
        <v>1</v>
      </c>
      <c r="AQ39" s="9">
        <v>1</v>
      </c>
      <c r="AR39" s="9">
        <v>0</v>
      </c>
      <c r="AS39" s="9">
        <v>0</v>
      </c>
      <c r="AT39" s="9">
        <v>1</v>
      </c>
      <c r="AU39" s="9">
        <v>0</v>
      </c>
      <c r="AV39" s="9">
        <v>0</v>
      </c>
      <c r="AW39" s="9">
        <v>0</v>
      </c>
      <c r="AX39" s="9">
        <v>0</v>
      </c>
      <c r="AY39" s="210"/>
      <c r="AZ39" s="9">
        <v>4</v>
      </c>
      <c r="BA39" s="9">
        <v>4</v>
      </c>
      <c r="BB39" s="9">
        <v>0</v>
      </c>
      <c r="BC39" s="9">
        <v>0</v>
      </c>
      <c r="BD39" s="9">
        <v>0</v>
      </c>
      <c r="BE39" s="9">
        <v>0</v>
      </c>
      <c r="BF39" s="9">
        <v>2</v>
      </c>
      <c r="BG39" s="210"/>
      <c r="BH39" s="104">
        <v>10</v>
      </c>
      <c r="BI39" s="104">
        <v>0</v>
      </c>
      <c r="BJ39" s="210"/>
      <c r="BK39" s="104">
        <v>0</v>
      </c>
      <c r="BL39" s="104">
        <v>0</v>
      </c>
      <c r="BM39" s="104">
        <v>0</v>
      </c>
      <c r="BN39" s="104">
        <v>0</v>
      </c>
      <c r="BO39" s="104">
        <v>0</v>
      </c>
      <c r="BP39" s="210"/>
      <c r="BQ39" s="104">
        <v>1</v>
      </c>
      <c r="BR39" s="9">
        <v>10</v>
      </c>
      <c r="BS39" s="9">
        <v>2</v>
      </c>
      <c r="BT39" s="9">
        <f>SUM('[2]New Jersey-20 clean'!CI30)</f>
        <v>0</v>
      </c>
      <c r="BU39" s="9">
        <v>3</v>
      </c>
      <c r="BV39" s="9">
        <v>358</v>
      </c>
      <c r="BW39" s="9">
        <v>8</v>
      </c>
      <c r="BX39" s="9">
        <v>6243</v>
      </c>
      <c r="BY39" s="9">
        <f>SUM('[2]New Jersey-20 clean'!CP30)</f>
        <v>0</v>
      </c>
      <c r="BZ39" s="9">
        <v>2</v>
      </c>
      <c r="CA39" s="9">
        <v>937</v>
      </c>
      <c r="CB39" s="9">
        <f>SUM('[2]New Jersey-20 clean'!CU30)</f>
        <v>0</v>
      </c>
      <c r="CC39" s="9">
        <f>SUM('[2]New Jersey-20 clean'!CV30)</f>
        <v>0</v>
      </c>
      <c r="CD39" s="210"/>
    </row>
    <row r="40" spans="1:82" s="9" customFormat="1">
      <c r="A40" s="146"/>
      <c r="B40" s="9" t="s">
        <v>1428</v>
      </c>
      <c r="C40" s="9">
        <v>1</v>
      </c>
      <c r="D40" s="9">
        <v>2</v>
      </c>
      <c r="E40" s="9">
        <v>19</v>
      </c>
      <c r="F40" s="9">
        <v>14</v>
      </c>
      <c r="G40" s="210"/>
      <c r="H40" s="9">
        <v>13</v>
      </c>
      <c r="I40" s="9">
        <v>1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210"/>
      <c r="R40" s="9">
        <v>1</v>
      </c>
      <c r="S40" s="9">
        <v>0</v>
      </c>
      <c r="T40" s="9">
        <v>3</v>
      </c>
      <c r="U40" s="9">
        <v>1</v>
      </c>
      <c r="V40" s="9">
        <v>8</v>
      </c>
      <c r="W40" s="9">
        <v>0</v>
      </c>
      <c r="X40" s="9">
        <v>1</v>
      </c>
      <c r="Y40" s="210"/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210"/>
      <c r="AH40" s="9">
        <v>14</v>
      </c>
      <c r="AI40" s="9">
        <v>0</v>
      </c>
      <c r="AJ40" s="9">
        <v>0</v>
      </c>
      <c r="AK40" s="9">
        <v>0</v>
      </c>
      <c r="AL40" s="9">
        <v>1</v>
      </c>
      <c r="AM40" s="9">
        <v>2</v>
      </c>
      <c r="AN40" s="9">
        <v>1</v>
      </c>
      <c r="AO40" s="9">
        <v>3</v>
      </c>
      <c r="AP40" s="9">
        <v>2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1</v>
      </c>
      <c r="AX40" s="9">
        <v>0</v>
      </c>
      <c r="AY40" s="210"/>
      <c r="AZ40" s="9">
        <v>3</v>
      </c>
      <c r="BA40" s="9">
        <v>4</v>
      </c>
      <c r="BB40" s="9">
        <v>0</v>
      </c>
      <c r="BC40" s="9">
        <v>0</v>
      </c>
      <c r="BD40" s="9">
        <v>0</v>
      </c>
      <c r="BE40" s="9">
        <v>0</v>
      </c>
      <c r="BF40" s="9">
        <v>6</v>
      </c>
      <c r="BG40" s="210"/>
      <c r="BH40" s="104">
        <v>14</v>
      </c>
      <c r="BI40" s="104">
        <v>0</v>
      </c>
      <c r="BJ40" s="210"/>
      <c r="BK40" s="104">
        <v>0</v>
      </c>
      <c r="BL40" s="104">
        <v>0</v>
      </c>
      <c r="BM40" s="104">
        <v>0</v>
      </c>
      <c r="BN40" s="104">
        <v>0</v>
      </c>
      <c r="BO40" s="104">
        <v>0</v>
      </c>
      <c r="BP40" s="210"/>
      <c r="BQ40" s="104">
        <f>SUM('[2]New Mexico-19 clean'!CC29)</f>
        <v>0</v>
      </c>
      <c r="BR40" s="9">
        <v>18</v>
      </c>
      <c r="BS40" s="9">
        <f>SUM('[2]New Mexico-19 clean'!CG29)</f>
        <v>0</v>
      </c>
      <c r="BT40" s="9">
        <f>SUM('[2]New Mexico-19 clean'!CI29)</f>
        <v>0</v>
      </c>
      <c r="BU40" s="9">
        <f>SUM('[2]New Mexico-19 clean'!CJ29)</f>
        <v>0</v>
      </c>
      <c r="BV40" s="9">
        <f>SUM('[2]New Mexico-19 clean'!CK29)</f>
        <v>0</v>
      </c>
      <c r="BW40" s="9">
        <f>SUM('[2]New Mexico-19 clean'!CM29)</f>
        <v>0</v>
      </c>
      <c r="BX40" s="9">
        <f>SUM('[2]New Mexico-19 clean'!CN29)</f>
        <v>0</v>
      </c>
      <c r="BY40" s="9">
        <f>SUM('[2]New Mexico-19 clean'!CP29)</f>
        <v>0</v>
      </c>
      <c r="BZ40" s="9">
        <f>SUM('[2]New Mexico-19 clean'!CR29)</f>
        <v>0</v>
      </c>
      <c r="CA40" s="9">
        <f>SUM('[2]New Mexico-19 clean'!CS29)</f>
        <v>0</v>
      </c>
      <c r="CB40" s="9">
        <f>SUM('[2]New Mexico-19 clean'!CU29)</f>
        <v>0</v>
      </c>
      <c r="CC40" s="9">
        <f>SUM('[2]New Mexico-19 clean'!CV29)</f>
        <v>0</v>
      </c>
      <c r="CD40" s="210"/>
    </row>
    <row r="41" spans="1:82" s="9" customFormat="1">
      <c r="A41" s="146"/>
      <c r="B41" s="9" t="s">
        <v>1429</v>
      </c>
      <c r="C41" s="9">
        <v>1</v>
      </c>
      <c r="D41" s="9">
        <v>3</v>
      </c>
      <c r="E41" s="9">
        <v>14</v>
      </c>
      <c r="F41" s="9">
        <v>10</v>
      </c>
      <c r="G41" s="210"/>
      <c r="H41" s="9">
        <v>10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210"/>
      <c r="R41" s="9">
        <v>1</v>
      </c>
      <c r="S41" s="9">
        <v>0</v>
      </c>
      <c r="T41" s="9">
        <v>2</v>
      </c>
      <c r="U41" s="9">
        <v>0</v>
      </c>
      <c r="V41" s="9">
        <v>7</v>
      </c>
      <c r="W41" s="9">
        <v>0</v>
      </c>
      <c r="X41" s="9">
        <v>0</v>
      </c>
      <c r="Y41" s="210"/>
      <c r="Z41" s="9">
        <v>1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1</v>
      </c>
      <c r="AG41" s="210"/>
      <c r="AH41" s="9">
        <v>11</v>
      </c>
      <c r="AI41" s="9">
        <v>0</v>
      </c>
      <c r="AJ41" s="9">
        <v>0</v>
      </c>
      <c r="AK41" s="9">
        <v>0</v>
      </c>
      <c r="AL41" s="9">
        <v>0</v>
      </c>
      <c r="AM41" s="9">
        <f>SUM('[2]New York-14 clean'!AN24)</f>
        <v>2</v>
      </c>
      <c r="AN41" s="9">
        <v>0</v>
      </c>
      <c r="AO41" s="9">
        <v>0</v>
      </c>
      <c r="AP41" s="9">
        <v>0</v>
      </c>
      <c r="AQ41" s="9">
        <v>1</v>
      </c>
      <c r="AR41" s="9">
        <v>0</v>
      </c>
      <c r="AS41" s="9">
        <v>1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210"/>
      <c r="AZ41" s="9">
        <v>2</v>
      </c>
      <c r="BA41" s="9">
        <v>2</v>
      </c>
      <c r="BB41" s="9">
        <v>0</v>
      </c>
      <c r="BC41" s="9">
        <v>0</v>
      </c>
      <c r="BD41" s="9">
        <v>0</v>
      </c>
      <c r="BE41" s="9">
        <v>0</v>
      </c>
      <c r="BF41" s="9">
        <v>6</v>
      </c>
      <c r="BG41" s="210"/>
      <c r="BH41" s="104">
        <v>10</v>
      </c>
      <c r="BI41" s="104">
        <v>0</v>
      </c>
      <c r="BJ41" s="210"/>
      <c r="BK41" s="104">
        <v>0</v>
      </c>
      <c r="BL41" s="104">
        <v>0</v>
      </c>
      <c r="BM41" s="104">
        <v>0</v>
      </c>
      <c r="BN41" s="104">
        <v>0</v>
      </c>
      <c r="BO41" s="104">
        <v>0</v>
      </c>
      <c r="BP41" s="210"/>
      <c r="BQ41" s="104">
        <f>SUM('[2]New York-14 clean'!CC24)</f>
        <v>0</v>
      </c>
      <c r="BR41" s="9">
        <v>8</v>
      </c>
      <c r="BS41" s="9">
        <f>SUM('[2]New York-14 clean'!CG24)</f>
        <v>0</v>
      </c>
      <c r="BT41" s="9">
        <f>SUM('[2]New York-14 clean'!CI24)</f>
        <v>0</v>
      </c>
      <c r="BU41" s="9">
        <f>SUM('[2]New York-14 clean'!CJ24)</f>
        <v>0</v>
      </c>
      <c r="BV41" s="9">
        <f>SUM('[2]New York-14 clean'!CK24)</f>
        <v>0</v>
      </c>
      <c r="BW41" s="9">
        <f>SUM('[2]New York-14 clean'!CM24)</f>
        <v>0</v>
      </c>
      <c r="BX41" s="9">
        <f>SUM('[2]New York-14 clean'!CN24)</f>
        <v>0</v>
      </c>
      <c r="BY41" s="9">
        <f>SUM('[2]New York-14 clean'!CP24)</f>
        <v>0</v>
      </c>
      <c r="BZ41" s="9">
        <f>SUM('[2]New York-14 clean'!CR24)</f>
        <v>0</v>
      </c>
      <c r="CA41" s="9">
        <f>SUM('[2]New York-14 clean'!CS24)</f>
        <v>0</v>
      </c>
      <c r="CB41" s="9">
        <f>SUM('[2]New York-14 clean'!CU24)</f>
        <v>0</v>
      </c>
      <c r="CC41" s="9">
        <f>SUM('[2]New York-14 clean'!CV24)</f>
        <v>0</v>
      </c>
      <c r="CD41" s="210"/>
    </row>
    <row r="42" spans="1:82">
      <c r="A42" s="146"/>
      <c r="B42" s="9" t="s">
        <v>1430</v>
      </c>
      <c r="C42" s="9">
        <v>1</v>
      </c>
      <c r="D42" s="9">
        <v>28</v>
      </c>
      <c r="E42" s="9">
        <v>97</v>
      </c>
      <c r="F42" s="9">
        <v>39</v>
      </c>
      <c r="G42" s="210"/>
      <c r="H42" s="9">
        <v>30</v>
      </c>
      <c r="I42" s="9">
        <v>4</v>
      </c>
      <c r="J42" s="9">
        <v>0</v>
      </c>
      <c r="K42" s="9">
        <v>1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210"/>
      <c r="R42" s="9">
        <v>8</v>
      </c>
      <c r="S42" s="9">
        <v>0</v>
      </c>
      <c r="T42" s="9">
        <v>5</v>
      </c>
      <c r="U42" s="9">
        <v>1</v>
      </c>
      <c r="V42" s="9">
        <v>26</v>
      </c>
      <c r="W42" s="9">
        <v>1</v>
      </c>
      <c r="X42" s="9">
        <v>1</v>
      </c>
      <c r="Y42" s="210"/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210"/>
      <c r="AH42" s="9">
        <v>42</v>
      </c>
      <c r="AI42" s="9">
        <v>2</v>
      </c>
      <c r="AJ42" s="9">
        <v>0</v>
      </c>
      <c r="AK42" s="9">
        <v>0</v>
      </c>
      <c r="AL42" s="9">
        <v>2</v>
      </c>
      <c r="AM42" s="9">
        <v>3</v>
      </c>
      <c r="AN42" s="9">
        <v>12</v>
      </c>
      <c r="AO42" s="9">
        <v>6</v>
      </c>
      <c r="AP42" s="9">
        <v>12</v>
      </c>
      <c r="AQ42" s="9">
        <v>6</v>
      </c>
      <c r="AR42" s="9">
        <v>1</v>
      </c>
      <c r="AS42" s="9">
        <v>3</v>
      </c>
      <c r="AT42" s="9">
        <v>9</v>
      </c>
      <c r="AU42" s="9">
        <v>1</v>
      </c>
      <c r="AV42" s="9">
        <v>3</v>
      </c>
      <c r="AW42" s="9">
        <v>3</v>
      </c>
      <c r="AX42" s="9">
        <v>4</v>
      </c>
      <c r="AY42" s="210"/>
      <c r="AZ42" s="9">
        <v>16</v>
      </c>
      <c r="BA42" s="9">
        <v>8</v>
      </c>
      <c r="BB42" s="9">
        <v>1</v>
      </c>
      <c r="BC42" s="9">
        <v>0</v>
      </c>
      <c r="BD42" s="147">
        <v>1</v>
      </c>
      <c r="BE42" s="9">
        <v>0</v>
      </c>
      <c r="BF42" s="9">
        <v>13</v>
      </c>
      <c r="BG42" s="210"/>
      <c r="BH42" s="104">
        <v>39</v>
      </c>
      <c r="BI42" s="104">
        <v>1</v>
      </c>
      <c r="BJ42" s="210"/>
      <c r="BK42" s="104">
        <v>1</v>
      </c>
      <c r="BL42" s="104">
        <v>0</v>
      </c>
      <c r="BM42" s="104">
        <v>0</v>
      </c>
      <c r="BN42" s="104">
        <v>0</v>
      </c>
      <c r="BO42" s="104">
        <v>0</v>
      </c>
      <c r="BP42" s="210"/>
      <c r="BQ42" s="104">
        <f>SUM('[2]North Carolina-97 clean'!CC107)</f>
        <v>0</v>
      </c>
      <c r="BR42" s="9">
        <v>91</v>
      </c>
      <c r="BS42" s="9">
        <v>5</v>
      </c>
      <c r="BT42" s="9">
        <f>SUM('[2]North Carolina-97 clean'!CI107)</f>
        <v>0</v>
      </c>
      <c r="BU42" s="9">
        <f>SUM('[2]North Carolina-97 clean'!CJ107)</f>
        <v>0</v>
      </c>
      <c r="BV42" s="9">
        <f>SUM('[2]North Carolina-97 clean'!CK107)</f>
        <v>0</v>
      </c>
      <c r="BW42" s="9">
        <f>SUM('[2]North Carolina-97 clean'!CM107)</f>
        <v>0</v>
      </c>
      <c r="BX42" s="9">
        <f>SUM('[2]North Carolina-97 clean'!CN107)</f>
        <v>0</v>
      </c>
      <c r="BY42" s="9">
        <f>SUM('[2]North Carolina-97 clean'!CP107)</f>
        <v>0</v>
      </c>
      <c r="BZ42" s="9">
        <f>SUM('[2]North Carolina-97 clean'!CR107)</f>
        <v>0</v>
      </c>
      <c r="CA42" s="9">
        <f>SUM('[2]North Carolina-97 clean'!CS107)</f>
        <v>0</v>
      </c>
      <c r="CB42" s="9">
        <f>SUM('[2]North Carolina-97 clean'!CU107)</f>
        <v>0</v>
      </c>
      <c r="CC42" s="9">
        <f>SUM('[2]North Carolina-97 clean'!CV107)</f>
        <v>0</v>
      </c>
      <c r="CD42" s="210"/>
    </row>
    <row r="43" spans="1:82" s="9" customFormat="1">
      <c r="A43" s="146"/>
      <c r="B43" s="9" t="s">
        <v>1431</v>
      </c>
      <c r="C43" s="9">
        <v>0</v>
      </c>
      <c r="D43" s="9">
        <v>10</v>
      </c>
      <c r="E43" s="9">
        <v>17</v>
      </c>
      <c r="F43" s="9">
        <v>2</v>
      </c>
      <c r="G43" s="210"/>
      <c r="H43" s="9">
        <v>1</v>
      </c>
      <c r="I43" s="9">
        <v>0</v>
      </c>
      <c r="J43" s="9">
        <v>1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210"/>
      <c r="R43" s="9">
        <v>2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210"/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210"/>
      <c r="AH43" s="9">
        <v>3</v>
      </c>
      <c r="AI43" s="9">
        <v>0</v>
      </c>
      <c r="AJ43" s="9">
        <v>0</v>
      </c>
      <c r="AK43" s="9">
        <v>0</v>
      </c>
      <c r="AL43" s="9">
        <v>1</v>
      </c>
      <c r="AM43" s="9">
        <v>3</v>
      </c>
      <c r="AN43" s="9">
        <v>3</v>
      </c>
      <c r="AO43" s="9">
        <v>0</v>
      </c>
      <c r="AP43" s="9">
        <v>2</v>
      </c>
      <c r="AQ43" s="9">
        <v>1</v>
      </c>
      <c r="AR43" s="9">
        <v>1</v>
      </c>
      <c r="AS43" s="9">
        <v>0</v>
      </c>
      <c r="AT43" s="9">
        <v>2</v>
      </c>
      <c r="AU43" s="9">
        <v>0</v>
      </c>
      <c r="AV43" s="9">
        <v>1</v>
      </c>
      <c r="AW43" s="9">
        <v>0</v>
      </c>
      <c r="AX43" s="9">
        <v>0</v>
      </c>
      <c r="AY43" s="210"/>
      <c r="AZ43" s="9">
        <v>1</v>
      </c>
      <c r="BA43" s="9">
        <v>1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210"/>
      <c r="BH43" s="104">
        <v>2</v>
      </c>
      <c r="BI43" s="104">
        <v>0</v>
      </c>
      <c r="BJ43" s="210"/>
      <c r="BK43" s="104">
        <v>0</v>
      </c>
      <c r="BL43" s="104">
        <v>0</v>
      </c>
      <c r="BM43" s="104">
        <v>0</v>
      </c>
      <c r="BN43" s="104">
        <v>0</v>
      </c>
      <c r="BO43" s="104">
        <v>0</v>
      </c>
      <c r="BP43" s="210"/>
      <c r="BQ43" s="104">
        <f>SUM('[2]North Dakota-18 clean'!CC26)</f>
        <v>0</v>
      </c>
      <c r="BR43" s="9">
        <v>17</v>
      </c>
      <c r="BS43" s="9">
        <f>SUM('[2]North Dakota-18 clean'!CG26)</f>
        <v>0</v>
      </c>
      <c r="BT43" s="9">
        <f>SUM('[2]North Dakota-18 clean'!CI26)</f>
        <v>0</v>
      </c>
      <c r="BU43" s="9">
        <f>SUM('[2]North Dakota-18 clean'!CJ26)</f>
        <v>0</v>
      </c>
      <c r="BV43" s="9">
        <f>SUM('[2]North Dakota-18 clean'!CK26)</f>
        <v>0</v>
      </c>
      <c r="BW43" s="9">
        <v>3</v>
      </c>
      <c r="BX43" s="9">
        <v>822</v>
      </c>
      <c r="BY43" s="9">
        <f>SUM('[2]North Dakota-18 clean'!CP26)</f>
        <v>0</v>
      </c>
      <c r="BZ43" s="9">
        <f>SUM('[2]North Dakota-18 clean'!CR26)</f>
        <v>0</v>
      </c>
      <c r="CA43" s="9">
        <f>SUM('[2]North Dakota-18 clean'!CS26)</f>
        <v>0</v>
      </c>
      <c r="CB43" s="9">
        <f>SUM('[2]North Dakota-18 clean'!CU26)</f>
        <v>0</v>
      </c>
      <c r="CC43" s="9">
        <f>SUM('[2]North Dakota-18 clean'!CV26)</f>
        <v>0</v>
      </c>
      <c r="CD43" s="210"/>
    </row>
    <row r="44" spans="1:82" s="9" customFormat="1">
      <c r="A44" s="146"/>
      <c r="B44" s="9" t="s">
        <v>1545</v>
      </c>
      <c r="C44" s="9">
        <v>2</v>
      </c>
      <c r="D44" s="9">
        <v>16</v>
      </c>
      <c r="E44" s="9">
        <v>65</v>
      </c>
      <c r="F44" s="9">
        <v>33</v>
      </c>
      <c r="G44" s="210"/>
      <c r="H44" s="9">
        <v>28</v>
      </c>
      <c r="I44" s="9">
        <v>2</v>
      </c>
      <c r="J44" s="9">
        <v>1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210"/>
      <c r="R44" s="9">
        <v>4</v>
      </c>
      <c r="S44" s="9">
        <v>2</v>
      </c>
      <c r="T44" s="9">
        <v>3</v>
      </c>
      <c r="U44" s="9">
        <v>0</v>
      </c>
      <c r="V44" s="9">
        <v>23</v>
      </c>
      <c r="W44" s="9">
        <v>1</v>
      </c>
      <c r="X44" s="9">
        <v>0</v>
      </c>
      <c r="Y44" s="210"/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210"/>
      <c r="AH44" s="9">
        <v>38</v>
      </c>
      <c r="AI44" s="9">
        <v>0</v>
      </c>
      <c r="AJ44" s="9">
        <v>0</v>
      </c>
      <c r="AK44" s="9">
        <v>1</v>
      </c>
      <c r="AL44" s="9">
        <v>0</v>
      </c>
      <c r="AM44" s="9">
        <v>12</v>
      </c>
      <c r="AN44" s="9">
        <v>5</v>
      </c>
      <c r="AO44" s="9">
        <v>0</v>
      </c>
      <c r="AP44" s="9">
        <v>4</v>
      </c>
      <c r="AQ44" s="9">
        <v>3</v>
      </c>
      <c r="AR44" s="9">
        <v>0</v>
      </c>
      <c r="AS44" s="9">
        <v>1</v>
      </c>
      <c r="AT44" s="9">
        <v>2</v>
      </c>
      <c r="AU44" s="9">
        <v>0</v>
      </c>
      <c r="AV44" s="9">
        <v>1</v>
      </c>
      <c r="AW44" s="9">
        <v>0</v>
      </c>
      <c r="AX44" s="9">
        <v>0</v>
      </c>
      <c r="AY44" s="210"/>
      <c r="AZ44" s="9">
        <v>18</v>
      </c>
      <c r="BA44" s="9">
        <v>5</v>
      </c>
      <c r="BB44" s="9">
        <v>0</v>
      </c>
      <c r="BC44" s="9">
        <v>0</v>
      </c>
      <c r="BD44" s="9">
        <v>0</v>
      </c>
      <c r="BE44" s="9">
        <v>0</v>
      </c>
      <c r="BF44" s="9">
        <v>10</v>
      </c>
      <c r="BG44" s="210"/>
      <c r="BH44" s="104">
        <v>33</v>
      </c>
      <c r="BI44" s="104">
        <v>0</v>
      </c>
      <c r="BJ44" s="210"/>
      <c r="BK44" s="104">
        <v>0</v>
      </c>
      <c r="BL44" s="104">
        <v>0</v>
      </c>
      <c r="BM44" s="104">
        <v>0</v>
      </c>
      <c r="BN44" s="104">
        <v>0</v>
      </c>
      <c r="BO44" s="104">
        <v>0</v>
      </c>
      <c r="BP44" s="210"/>
      <c r="BQ44" s="104">
        <v>1</v>
      </c>
      <c r="BR44" s="9">
        <v>46</v>
      </c>
      <c r="BS44" s="9">
        <v>10</v>
      </c>
      <c r="BT44" s="9">
        <f>SUM('[2]Ohio-65 clean'!CI75)</f>
        <v>0</v>
      </c>
      <c r="BU44" s="9">
        <f>SUM('[2]Ohio-65 clean'!CJ75)</f>
        <v>0</v>
      </c>
      <c r="BV44" s="9">
        <f>SUM('[2]Ohio-65 clean'!CK75)</f>
        <v>0</v>
      </c>
      <c r="BW44" s="9">
        <v>8</v>
      </c>
      <c r="BX44" s="9">
        <v>3735</v>
      </c>
      <c r="BY44" s="9">
        <f>SUM('[2]Ohio-65 clean'!CP75)</f>
        <v>0</v>
      </c>
      <c r="BZ44" s="9">
        <v>5</v>
      </c>
      <c r="CA44" s="9">
        <v>2671</v>
      </c>
      <c r="CB44" s="9">
        <f>SUM('[2]Ohio-65 clean'!CU75)</f>
        <v>0</v>
      </c>
      <c r="CC44" s="9">
        <f>SUM('[2]Ohio-65 clean'!CV75)</f>
        <v>0</v>
      </c>
      <c r="CD44" s="210"/>
    </row>
    <row r="45" spans="1:82" s="9" customFormat="1">
      <c r="A45" s="146"/>
      <c r="B45" s="9" t="s">
        <v>1433</v>
      </c>
      <c r="C45" s="9">
        <v>1</v>
      </c>
      <c r="D45" s="9">
        <v>5</v>
      </c>
      <c r="E45" s="9">
        <v>22</v>
      </c>
      <c r="F45" s="9">
        <v>13</v>
      </c>
      <c r="G45" s="210"/>
      <c r="H45" s="9">
        <v>12</v>
      </c>
      <c r="I45" s="9">
        <v>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210"/>
      <c r="R45" s="9">
        <v>2</v>
      </c>
      <c r="S45" s="9">
        <v>0</v>
      </c>
      <c r="T45" s="9">
        <v>1</v>
      </c>
      <c r="U45" s="9">
        <v>0</v>
      </c>
      <c r="V45" s="9">
        <v>10</v>
      </c>
      <c r="W45" s="9">
        <v>0</v>
      </c>
      <c r="X45" s="9">
        <v>0</v>
      </c>
      <c r="Y45" s="210"/>
      <c r="Z45" s="9">
        <v>2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147">
        <v>2</v>
      </c>
      <c r="AG45" s="210"/>
      <c r="AH45" s="9">
        <v>15</v>
      </c>
      <c r="AI45" s="9">
        <v>0</v>
      </c>
      <c r="AJ45" s="9">
        <v>0</v>
      </c>
      <c r="AK45" s="9">
        <v>0</v>
      </c>
      <c r="AL45" s="9">
        <v>1</v>
      </c>
      <c r="AM45" s="9">
        <v>2</v>
      </c>
      <c r="AN45" s="9">
        <v>0</v>
      </c>
      <c r="AO45" s="9">
        <v>0</v>
      </c>
      <c r="AP45" s="9">
        <v>0</v>
      </c>
      <c r="AQ45" s="9">
        <v>1</v>
      </c>
      <c r="AR45" s="9">
        <v>0</v>
      </c>
      <c r="AS45" s="9">
        <v>0</v>
      </c>
      <c r="AT45" s="9">
        <v>1</v>
      </c>
      <c r="AU45" s="9">
        <v>2</v>
      </c>
      <c r="AV45" s="9">
        <v>0</v>
      </c>
      <c r="AW45" s="9">
        <v>0</v>
      </c>
      <c r="AX45" s="9">
        <v>0</v>
      </c>
      <c r="AY45" s="210"/>
      <c r="AZ45" s="9">
        <v>6</v>
      </c>
      <c r="BA45" s="9">
        <v>5</v>
      </c>
      <c r="BB45" s="9">
        <v>0</v>
      </c>
      <c r="BC45" s="9">
        <v>0</v>
      </c>
      <c r="BD45" s="9">
        <v>0</v>
      </c>
      <c r="BE45" s="9">
        <v>0</v>
      </c>
      <c r="BF45" s="9">
        <v>2</v>
      </c>
      <c r="BG45" s="210"/>
      <c r="BH45" s="104">
        <v>13</v>
      </c>
      <c r="BI45" s="104">
        <v>0</v>
      </c>
      <c r="BJ45" s="210"/>
      <c r="BK45" s="104">
        <v>0</v>
      </c>
      <c r="BL45" s="104">
        <v>0</v>
      </c>
      <c r="BM45" s="104">
        <v>0</v>
      </c>
      <c r="BN45" s="104">
        <v>0</v>
      </c>
      <c r="BO45" s="104">
        <v>0</v>
      </c>
      <c r="BP45" s="210"/>
      <c r="BQ45" s="104">
        <v>1</v>
      </c>
      <c r="BR45" s="9">
        <v>10</v>
      </c>
      <c r="BS45" s="9">
        <v>4</v>
      </c>
      <c r="BT45" s="9">
        <f>SUM('[2]Oklahoma-22 clean'!CI35)</f>
        <v>0</v>
      </c>
      <c r="BU45" s="9">
        <f>SUM('[2]Oklahoma-22 clean'!CJ35)</f>
        <v>0</v>
      </c>
      <c r="BV45" s="9">
        <f>SUM('[2]Oklahoma-22 clean'!CK35)</f>
        <v>0</v>
      </c>
      <c r="BW45" s="9">
        <v>8</v>
      </c>
      <c r="BX45" s="9">
        <v>2204</v>
      </c>
      <c r="BY45" s="9">
        <f>SUM('[2]Oklahoma-22 clean'!CP35)</f>
        <v>0</v>
      </c>
      <c r="BZ45" s="9">
        <f>SUM('[2]Oklahoma-22 clean'!CR35)</f>
        <v>0</v>
      </c>
      <c r="CA45" s="9">
        <f>SUM('[2]Oklahoma-22 clean'!CS35)</f>
        <v>0</v>
      </c>
      <c r="CB45" s="9">
        <f>SUM('[2]Oklahoma-22 clean'!CU35)</f>
        <v>0</v>
      </c>
      <c r="CC45" s="9">
        <f>SUM('[2]Oklahoma-22 clean'!CV35)</f>
        <v>0</v>
      </c>
      <c r="CD45" s="210"/>
    </row>
    <row r="46" spans="1:82" s="9" customFormat="1">
      <c r="A46" s="146"/>
      <c r="B46" s="9" t="s">
        <v>1434</v>
      </c>
      <c r="C46" s="9">
        <v>17</v>
      </c>
      <c r="D46" s="9">
        <v>184</v>
      </c>
      <c r="E46" s="9">
        <v>432</v>
      </c>
      <c r="F46" s="9">
        <v>88</v>
      </c>
      <c r="G46" s="210"/>
      <c r="H46" s="9">
        <v>64</v>
      </c>
      <c r="I46" s="9">
        <v>16</v>
      </c>
      <c r="J46" s="9">
        <v>7</v>
      </c>
      <c r="K46" s="9">
        <v>0</v>
      </c>
      <c r="L46" s="9">
        <v>1</v>
      </c>
      <c r="M46" s="9">
        <v>1</v>
      </c>
      <c r="N46" s="9">
        <v>0</v>
      </c>
      <c r="O46" s="9">
        <v>0</v>
      </c>
      <c r="P46" s="9">
        <v>0</v>
      </c>
      <c r="Q46" s="210"/>
      <c r="R46" s="9">
        <v>42</v>
      </c>
      <c r="S46" s="9">
        <v>4</v>
      </c>
      <c r="T46" s="9">
        <v>7</v>
      </c>
      <c r="U46" s="9">
        <v>0</v>
      </c>
      <c r="V46" s="9">
        <v>43</v>
      </c>
      <c r="W46" s="9">
        <v>0</v>
      </c>
      <c r="X46" s="9">
        <v>13</v>
      </c>
      <c r="Y46" s="210"/>
      <c r="Z46" s="9">
        <v>4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3</v>
      </c>
      <c r="AG46" s="210"/>
      <c r="AH46" s="66">
        <v>126</v>
      </c>
      <c r="AI46" s="66">
        <v>4</v>
      </c>
      <c r="AJ46" s="66">
        <v>2</v>
      </c>
      <c r="AK46" s="66">
        <v>11</v>
      </c>
      <c r="AL46" s="66">
        <v>15</v>
      </c>
      <c r="AM46" s="66">
        <v>44</v>
      </c>
      <c r="AN46" s="66">
        <v>67</v>
      </c>
      <c r="AO46" s="66">
        <v>16</v>
      </c>
      <c r="AP46" s="66">
        <v>61</v>
      </c>
      <c r="AQ46" s="66">
        <v>46</v>
      </c>
      <c r="AR46" s="66">
        <v>7</v>
      </c>
      <c r="AS46" s="66">
        <v>10</v>
      </c>
      <c r="AT46" s="66">
        <v>23</v>
      </c>
      <c r="AU46" s="66">
        <v>7</v>
      </c>
      <c r="AV46" s="66">
        <v>18</v>
      </c>
      <c r="AW46" s="66">
        <v>14</v>
      </c>
      <c r="AX46" s="66">
        <v>9</v>
      </c>
      <c r="AY46" s="210"/>
      <c r="AZ46" s="104">
        <v>42</v>
      </c>
      <c r="BA46" s="104">
        <v>29</v>
      </c>
      <c r="BB46" s="104">
        <v>4</v>
      </c>
      <c r="BC46" s="104">
        <v>5</v>
      </c>
      <c r="BD46" s="104">
        <v>2</v>
      </c>
      <c r="BE46" s="104">
        <v>0</v>
      </c>
      <c r="BF46" s="104">
        <v>6</v>
      </c>
      <c r="BG46" s="210"/>
      <c r="BH46" s="104">
        <v>88</v>
      </c>
      <c r="BI46" s="104">
        <v>0</v>
      </c>
      <c r="BJ46" s="210"/>
      <c r="BK46" s="104">
        <v>0</v>
      </c>
      <c r="BL46" s="104">
        <v>0</v>
      </c>
      <c r="BM46" s="104">
        <v>0</v>
      </c>
      <c r="BN46" s="104">
        <v>0</v>
      </c>
      <c r="BO46" s="104">
        <v>0</v>
      </c>
      <c r="BP46" s="210"/>
      <c r="BQ46" s="104">
        <v>3</v>
      </c>
      <c r="BR46" s="9">
        <v>258</v>
      </c>
      <c r="BS46" s="9">
        <v>6</v>
      </c>
      <c r="BT46" s="9">
        <v>1</v>
      </c>
      <c r="BU46" s="9">
        <v>3</v>
      </c>
      <c r="BV46" s="9">
        <v>2259</v>
      </c>
      <c r="BW46" s="104">
        <v>12</v>
      </c>
      <c r="BX46" s="104">
        <v>7563</v>
      </c>
      <c r="BY46" s="104">
        <v>3</v>
      </c>
      <c r="BZ46" s="9">
        <v>8</v>
      </c>
      <c r="CA46" s="9">
        <v>5225</v>
      </c>
      <c r="CB46" s="9">
        <f>SUM('[2]Oregon-432 clean'!CV443)</f>
        <v>0</v>
      </c>
      <c r="CC46" s="9">
        <f>SUM('[2]Oregon-432 clean'!CW443)</f>
        <v>0</v>
      </c>
      <c r="CD46" s="210"/>
    </row>
    <row r="47" spans="1:82" s="9" customFormat="1">
      <c r="A47" s="146"/>
      <c r="B47" s="9" t="s">
        <v>1435</v>
      </c>
      <c r="C47" s="9">
        <v>1</v>
      </c>
      <c r="D47" s="9">
        <v>10</v>
      </c>
      <c r="E47" s="9">
        <v>30</v>
      </c>
      <c r="F47" s="9">
        <v>18</v>
      </c>
      <c r="G47" s="210"/>
      <c r="H47" s="9">
        <v>17</v>
      </c>
      <c r="I47" s="9">
        <v>0</v>
      </c>
      <c r="J47" s="9">
        <v>1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210"/>
      <c r="R47" s="9">
        <v>2</v>
      </c>
      <c r="S47" s="9">
        <v>0</v>
      </c>
      <c r="T47" s="9">
        <v>2</v>
      </c>
      <c r="U47" s="9">
        <v>0</v>
      </c>
      <c r="V47" s="9">
        <v>14</v>
      </c>
      <c r="W47" s="9">
        <v>0</v>
      </c>
      <c r="X47" s="9">
        <v>0</v>
      </c>
      <c r="Y47" s="210"/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210"/>
      <c r="AH47" s="9">
        <v>17</v>
      </c>
      <c r="AI47" s="9">
        <v>0</v>
      </c>
      <c r="AJ47" s="9">
        <v>0</v>
      </c>
      <c r="AK47" s="9">
        <v>1</v>
      </c>
      <c r="AL47" s="9">
        <v>1</v>
      </c>
      <c r="AM47" s="9">
        <v>2</v>
      </c>
      <c r="AN47" s="9">
        <v>2</v>
      </c>
      <c r="AO47" s="9">
        <v>2</v>
      </c>
      <c r="AP47" s="9">
        <v>2</v>
      </c>
      <c r="AQ47" s="9">
        <v>2</v>
      </c>
      <c r="AR47" s="9">
        <v>1</v>
      </c>
      <c r="AS47" s="9">
        <v>0</v>
      </c>
      <c r="AT47" s="9">
        <v>1</v>
      </c>
      <c r="AU47" s="9">
        <v>1</v>
      </c>
      <c r="AV47" s="9">
        <v>2</v>
      </c>
      <c r="AW47" s="9">
        <v>1</v>
      </c>
      <c r="AX47" s="9">
        <v>0</v>
      </c>
      <c r="AY47" s="210"/>
      <c r="AZ47" s="9">
        <v>15</v>
      </c>
      <c r="BA47" s="9">
        <v>1</v>
      </c>
      <c r="BB47" s="9">
        <v>0</v>
      </c>
      <c r="BC47" s="9">
        <v>0</v>
      </c>
      <c r="BD47" s="9">
        <v>0</v>
      </c>
      <c r="BE47" s="9">
        <v>0</v>
      </c>
      <c r="BF47" s="9">
        <v>1</v>
      </c>
      <c r="BG47" s="210"/>
      <c r="BH47" s="104">
        <v>18</v>
      </c>
      <c r="BI47" s="104">
        <v>0</v>
      </c>
      <c r="BJ47" s="210"/>
      <c r="BK47" s="104">
        <v>0</v>
      </c>
      <c r="BL47" s="104">
        <v>0</v>
      </c>
      <c r="BM47" s="104">
        <v>0</v>
      </c>
      <c r="BN47" s="104">
        <v>0</v>
      </c>
      <c r="BO47" s="104">
        <v>0</v>
      </c>
      <c r="BP47" s="210"/>
      <c r="BQ47" s="104">
        <f>SUM('[2]Pennsylvania-30 clean'!CC42)</f>
        <v>0</v>
      </c>
      <c r="BR47" s="9">
        <v>29</v>
      </c>
      <c r="BS47" s="9">
        <v>1</v>
      </c>
      <c r="BT47" s="9">
        <f>SUM('[2]Pennsylvania-30 clean'!CI42)</f>
        <v>0</v>
      </c>
      <c r="BU47" s="9">
        <f>SUM('[2]Pennsylvania-30 clean'!CJ42)</f>
        <v>0</v>
      </c>
      <c r="BV47" s="9">
        <f>SUM('[2]Pennsylvania-30 clean'!CK42)</f>
        <v>0</v>
      </c>
      <c r="BW47" s="9">
        <f>SUM('[2]Pennsylvania-30 clean'!CM42)</f>
        <v>0</v>
      </c>
      <c r="BX47" s="9">
        <f>SUM('[2]Pennsylvania-30 clean'!CN42)</f>
        <v>0</v>
      </c>
      <c r="BY47" s="9">
        <f>SUM('[2]Pennsylvania-30 clean'!CP42)</f>
        <v>0</v>
      </c>
      <c r="BZ47" s="9">
        <f>SUM('[2]Pennsylvania-30 clean'!CR42)</f>
        <v>0</v>
      </c>
      <c r="CA47" s="9">
        <f>SUM('[2]Pennsylvania-30 clean'!CS42)</f>
        <v>0</v>
      </c>
      <c r="CB47" s="9">
        <f>SUM('[2]Pennsylvania-30 clean'!CU42)</f>
        <v>0</v>
      </c>
      <c r="CC47" s="9">
        <f>SUM('[2]Pennsylvania-30 clean'!CV42)</f>
        <v>0</v>
      </c>
      <c r="CD47" s="210"/>
    </row>
    <row r="48" spans="1:82">
      <c r="A48" s="146"/>
      <c r="B48" s="9" t="s">
        <v>1437</v>
      </c>
      <c r="C48" s="9">
        <v>0</v>
      </c>
      <c r="D48" s="9">
        <v>1</v>
      </c>
      <c r="E48" s="9">
        <v>4</v>
      </c>
      <c r="F48" s="9">
        <v>1</v>
      </c>
      <c r="G48" s="210"/>
      <c r="H48" s="9">
        <v>1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210"/>
      <c r="R48" s="9">
        <v>0</v>
      </c>
      <c r="S48" s="9">
        <v>0</v>
      </c>
      <c r="T48" s="9">
        <v>1</v>
      </c>
      <c r="U48" s="9">
        <v>0</v>
      </c>
      <c r="V48" s="9">
        <v>0</v>
      </c>
      <c r="W48" s="9">
        <v>0</v>
      </c>
      <c r="X48" s="9">
        <v>0</v>
      </c>
      <c r="Y48" s="210"/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210"/>
      <c r="AH48" s="9">
        <v>1</v>
      </c>
      <c r="AI48" s="9">
        <v>0</v>
      </c>
      <c r="AJ48" s="9">
        <v>0</v>
      </c>
      <c r="AK48" s="9">
        <v>0</v>
      </c>
      <c r="AL48" s="9">
        <v>0</v>
      </c>
      <c r="AM48" s="9">
        <v>1</v>
      </c>
      <c r="AN48" s="9">
        <v>1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1</v>
      </c>
      <c r="AU48" s="9">
        <v>0</v>
      </c>
      <c r="AV48" s="9">
        <v>0</v>
      </c>
      <c r="AW48" s="9">
        <v>0</v>
      </c>
      <c r="AX48" s="9">
        <v>0</v>
      </c>
      <c r="AY48" s="210"/>
      <c r="AZ48" s="9">
        <v>1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210"/>
      <c r="BH48" s="104">
        <v>1</v>
      </c>
      <c r="BI48" s="104">
        <v>0</v>
      </c>
      <c r="BJ48" s="210"/>
      <c r="BK48" s="104">
        <v>0</v>
      </c>
      <c r="BL48" s="104">
        <v>0</v>
      </c>
      <c r="BM48" s="104">
        <v>0</v>
      </c>
      <c r="BN48" s="104">
        <v>0</v>
      </c>
      <c r="BO48" s="104">
        <v>0</v>
      </c>
      <c r="BP48" s="210"/>
      <c r="BQ48" s="104">
        <f>SUM('[2]Rhode Island-4 clean'!CC12)</f>
        <v>0</v>
      </c>
      <c r="BR48" s="9">
        <v>2</v>
      </c>
      <c r="BS48" s="9">
        <f>SUM('[2]Rhode Island-4 clean'!CG12)</f>
        <v>0</v>
      </c>
      <c r="BT48" s="9">
        <f>SUM('[2]Rhode Island-4 clean'!CI12)</f>
        <v>0</v>
      </c>
      <c r="BU48" s="9">
        <f>SUM('[2]Rhode Island-4 clean'!CJ12)</f>
        <v>0</v>
      </c>
      <c r="BV48" s="9">
        <f>SUM('[2]Rhode Island-4 clean'!CK12)</f>
        <v>0</v>
      </c>
      <c r="BW48" s="9">
        <f>SUM('[2]Rhode Island-4 clean'!CM12)</f>
        <v>0</v>
      </c>
      <c r="BX48" s="9">
        <f>SUM('[2]Rhode Island-4 clean'!CN12)</f>
        <v>0</v>
      </c>
      <c r="BY48" s="9">
        <f>SUM('[2]Rhode Island-4 clean'!CP12)</f>
        <v>0</v>
      </c>
      <c r="BZ48" s="9">
        <f>SUM('[2]Rhode Island-4 clean'!CR12)</f>
        <v>0</v>
      </c>
      <c r="CA48" s="9">
        <f>SUM('[2]Rhode Island-4 clean'!CS12)</f>
        <v>0</v>
      </c>
      <c r="CB48" s="9">
        <f>SUM('[2]Rhode Island-4 clean'!CU12)</f>
        <v>0</v>
      </c>
      <c r="CC48" s="9">
        <f>SUM('[2]Rhode Island-4 clean'!CV12)</f>
        <v>0</v>
      </c>
      <c r="CD48" s="210"/>
    </row>
    <row r="49" spans="1:82" s="9" customFormat="1">
      <c r="A49" s="146"/>
      <c r="B49" s="9" t="s">
        <v>1438</v>
      </c>
      <c r="C49" s="9">
        <v>0</v>
      </c>
      <c r="D49" s="9">
        <v>6</v>
      </c>
      <c r="E49" s="9">
        <v>18</v>
      </c>
      <c r="F49" s="9">
        <v>5</v>
      </c>
      <c r="G49" s="210"/>
      <c r="H49" s="9">
        <v>4</v>
      </c>
      <c r="I49" s="9">
        <v>0</v>
      </c>
      <c r="J49" s="9">
        <v>1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210"/>
      <c r="R49" s="9">
        <v>1</v>
      </c>
      <c r="S49" s="9">
        <v>0</v>
      </c>
      <c r="T49" s="9">
        <v>0</v>
      </c>
      <c r="U49" s="9">
        <v>0</v>
      </c>
      <c r="V49" s="9">
        <v>4</v>
      </c>
      <c r="W49" s="9">
        <v>0</v>
      </c>
      <c r="X49" s="9">
        <v>0</v>
      </c>
      <c r="Y49" s="210"/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210"/>
      <c r="AH49" s="9">
        <v>6</v>
      </c>
      <c r="AI49" s="9">
        <v>3</v>
      </c>
      <c r="AJ49" s="9">
        <v>0</v>
      </c>
      <c r="AK49" s="9">
        <v>0</v>
      </c>
      <c r="AL49" s="9">
        <v>0</v>
      </c>
      <c r="AM49" s="9">
        <v>1</v>
      </c>
      <c r="AN49" s="9">
        <v>3</v>
      </c>
      <c r="AO49" s="9">
        <v>0</v>
      </c>
      <c r="AP49" s="9">
        <v>2</v>
      </c>
      <c r="AQ49" s="9">
        <v>1</v>
      </c>
      <c r="AR49" s="9">
        <v>0</v>
      </c>
      <c r="AS49" s="9">
        <v>1</v>
      </c>
      <c r="AT49" s="9">
        <v>1</v>
      </c>
      <c r="AU49" s="9">
        <v>0</v>
      </c>
      <c r="AV49" s="9">
        <v>2</v>
      </c>
      <c r="AW49" s="9">
        <v>0</v>
      </c>
      <c r="AX49" s="9">
        <v>1</v>
      </c>
      <c r="AY49" s="210"/>
      <c r="AZ49" s="9">
        <v>3</v>
      </c>
      <c r="BA49" s="9">
        <v>1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210"/>
      <c r="BH49" s="104">
        <v>5</v>
      </c>
      <c r="BI49" s="104">
        <v>1</v>
      </c>
      <c r="BJ49" s="210"/>
      <c r="BK49" s="104">
        <v>1</v>
      </c>
      <c r="BL49" s="104">
        <v>0</v>
      </c>
      <c r="BM49" s="104">
        <v>0</v>
      </c>
      <c r="BN49" s="104">
        <v>0</v>
      </c>
      <c r="BO49" s="104">
        <v>0</v>
      </c>
      <c r="BP49" s="210"/>
      <c r="BQ49" s="104">
        <f>SUM('[2]South Carolina-18 clean'!CC28)</f>
        <v>0</v>
      </c>
      <c r="BR49" s="9">
        <v>11</v>
      </c>
      <c r="BS49" s="9">
        <f>SUM('[2]South Carolina-18 clean'!CG28)</f>
        <v>0</v>
      </c>
      <c r="BT49" s="9">
        <f>SUM('[2]South Carolina-18 clean'!CI28)</f>
        <v>0</v>
      </c>
      <c r="BU49" s="9">
        <f>SUM('[2]South Carolina-18 clean'!CJ28)</f>
        <v>0</v>
      </c>
      <c r="BV49" s="9">
        <f>SUM('[2]South Carolina-18 clean'!CK28)</f>
        <v>0</v>
      </c>
      <c r="BW49" s="9">
        <f>SUM('[2]South Carolina-18 clean'!CM28)</f>
        <v>0</v>
      </c>
      <c r="BX49" s="9">
        <f>SUM('[2]South Carolina-18 clean'!CN28)</f>
        <v>0</v>
      </c>
      <c r="BY49" s="9">
        <f>SUM('[2]South Carolina-18 clean'!CP28)</f>
        <v>0</v>
      </c>
      <c r="BZ49" s="9">
        <f>SUM('[2]South Carolina-18 clean'!CR28)</f>
        <v>0</v>
      </c>
      <c r="CA49" s="9">
        <f>SUM('[2]South Carolina-18 clean'!CS28)</f>
        <v>0</v>
      </c>
      <c r="CB49" s="9">
        <f>SUM('[2]South Carolina-18 clean'!CU28)</f>
        <v>0</v>
      </c>
      <c r="CC49" s="9">
        <f>SUM('[2]South Carolina-18 clean'!CV28)</f>
        <v>0</v>
      </c>
      <c r="CD49" s="210"/>
    </row>
    <row r="50" spans="1:82" s="9" customFormat="1">
      <c r="A50" s="146"/>
      <c r="B50" s="9" t="s">
        <v>1439</v>
      </c>
      <c r="C50" s="9">
        <v>1</v>
      </c>
      <c r="D50" s="9">
        <v>2</v>
      </c>
      <c r="E50" s="9">
        <v>20</v>
      </c>
      <c r="F50" s="9">
        <v>5</v>
      </c>
      <c r="G50" s="210"/>
      <c r="H50" s="9">
        <v>2</v>
      </c>
      <c r="I50" s="9">
        <v>1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210"/>
      <c r="R50" s="9">
        <v>2</v>
      </c>
      <c r="S50" s="9">
        <v>0</v>
      </c>
      <c r="T50" s="9">
        <v>0</v>
      </c>
      <c r="U50" s="9">
        <v>0</v>
      </c>
      <c r="V50" s="9">
        <v>2</v>
      </c>
      <c r="W50" s="9">
        <v>1</v>
      </c>
      <c r="X50" s="9">
        <v>0</v>
      </c>
      <c r="Y50" s="210"/>
      <c r="Z50" s="9">
        <v>1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1</v>
      </c>
      <c r="AG50" s="210"/>
      <c r="AH50" s="9">
        <v>5</v>
      </c>
      <c r="AI50" s="9">
        <v>0</v>
      </c>
      <c r="AJ50" s="9">
        <v>0</v>
      </c>
      <c r="AK50" s="9">
        <v>1</v>
      </c>
      <c r="AL50" s="9">
        <v>2</v>
      </c>
      <c r="AM50" s="9">
        <v>1</v>
      </c>
      <c r="AN50" s="9">
        <v>4</v>
      </c>
      <c r="AO50" s="9">
        <v>0</v>
      </c>
      <c r="AP50" s="9">
        <v>3</v>
      </c>
      <c r="AQ50" s="9">
        <v>3</v>
      </c>
      <c r="AR50" s="9">
        <v>0</v>
      </c>
      <c r="AS50" s="9">
        <v>1</v>
      </c>
      <c r="AT50" s="9">
        <v>0</v>
      </c>
      <c r="AU50" s="9">
        <v>0</v>
      </c>
      <c r="AV50" s="9">
        <v>0</v>
      </c>
      <c r="AW50" s="9">
        <v>0</v>
      </c>
      <c r="AX50" s="9">
        <v>1</v>
      </c>
      <c r="AY50" s="210"/>
      <c r="AZ50" s="9">
        <v>0</v>
      </c>
      <c r="BA50" s="9">
        <v>2</v>
      </c>
      <c r="BB50" s="9">
        <v>0</v>
      </c>
      <c r="BC50" s="9">
        <v>0</v>
      </c>
      <c r="BD50" s="9">
        <v>0</v>
      </c>
      <c r="BE50" s="9">
        <v>0</v>
      </c>
      <c r="BF50" s="9">
        <v>3</v>
      </c>
      <c r="BG50" s="210"/>
      <c r="BH50" s="104">
        <v>5</v>
      </c>
      <c r="BI50" s="104">
        <v>0</v>
      </c>
      <c r="BJ50" s="210"/>
      <c r="BK50" s="104">
        <v>0</v>
      </c>
      <c r="BL50" s="104">
        <v>0</v>
      </c>
      <c r="BM50" s="104">
        <v>0</v>
      </c>
      <c r="BN50" s="104">
        <v>0</v>
      </c>
      <c r="BO50" s="104">
        <v>0</v>
      </c>
      <c r="BP50" s="210"/>
      <c r="BQ50" s="104">
        <f>SUM('[2]South Dakota-20 clean'!CC31)</f>
        <v>0</v>
      </c>
      <c r="BR50" s="9">
        <v>20</v>
      </c>
      <c r="BS50" s="9">
        <f>SUM('[2]South Dakota-20 clean'!CG31)</f>
        <v>0</v>
      </c>
      <c r="BT50" s="9">
        <f>SUM('[2]South Dakota-20 clean'!CI31)</f>
        <v>0</v>
      </c>
      <c r="BU50" s="9">
        <f>SUM('[2]South Dakota-20 clean'!CJ31)</f>
        <v>0</v>
      </c>
      <c r="BV50" s="9">
        <f>SUM('[2]South Dakota-20 clean'!CK31)</f>
        <v>0</v>
      </c>
      <c r="BW50" s="9">
        <f>SUM('[2]South Dakota-20 clean'!CM31)</f>
        <v>0</v>
      </c>
      <c r="BX50" s="9">
        <f>SUM('[2]South Dakota-20 clean'!CN31)</f>
        <v>0</v>
      </c>
      <c r="BY50" s="9">
        <f>SUM('[2]South Dakota-20 clean'!CP31)</f>
        <v>0</v>
      </c>
      <c r="BZ50" s="9">
        <f>SUM('[2]South Dakota-20 clean'!CR31)</f>
        <v>0</v>
      </c>
      <c r="CA50" s="9">
        <f>SUM('[2]South Dakota-20 clean'!CS31)</f>
        <v>0</v>
      </c>
      <c r="CB50" s="9">
        <f>SUM('[2]South Dakota-20 clean'!CU31)</f>
        <v>0</v>
      </c>
      <c r="CC50" s="9">
        <f>SUM('[2]South Dakota-20 clean'!CV31)</f>
        <v>0</v>
      </c>
      <c r="CD50" s="210"/>
    </row>
    <row r="51" spans="1:82" s="9" customFormat="1">
      <c r="A51" s="146"/>
      <c r="B51" s="9" t="s">
        <v>1440</v>
      </c>
      <c r="C51" s="9">
        <v>0</v>
      </c>
      <c r="D51" s="9">
        <v>7</v>
      </c>
      <c r="E51" s="9">
        <v>30</v>
      </c>
      <c r="F51" s="9">
        <v>14</v>
      </c>
      <c r="G51" s="210"/>
      <c r="H51" s="9">
        <v>13</v>
      </c>
      <c r="I51" s="9">
        <v>0</v>
      </c>
      <c r="J51" s="9">
        <v>1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210"/>
      <c r="R51" s="9">
        <v>1</v>
      </c>
      <c r="S51" s="9">
        <v>0</v>
      </c>
      <c r="T51" s="9">
        <v>1</v>
      </c>
      <c r="U51" s="9">
        <v>0</v>
      </c>
      <c r="V51" s="9">
        <v>12</v>
      </c>
      <c r="W51" s="9">
        <v>0</v>
      </c>
      <c r="X51" s="9">
        <v>0</v>
      </c>
      <c r="Y51" s="210"/>
      <c r="Z51" s="9">
        <v>1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210"/>
      <c r="AH51" s="9">
        <v>14</v>
      </c>
      <c r="AI51" s="9">
        <v>0</v>
      </c>
      <c r="AJ51" s="9">
        <v>0</v>
      </c>
      <c r="AK51" s="9">
        <v>1</v>
      </c>
      <c r="AL51" s="9">
        <v>0</v>
      </c>
      <c r="AM51" s="9">
        <v>2</v>
      </c>
      <c r="AN51" s="9">
        <v>5</v>
      </c>
      <c r="AO51" s="9">
        <v>0</v>
      </c>
      <c r="AP51" s="9">
        <v>3</v>
      </c>
      <c r="AQ51" s="9">
        <v>2</v>
      </c>
      <c r="AR51" s="9">
        <v>1</v>
      </c>
      <c r="AS51" s="9">
        <v>0</v>
      </c>
      <c r="AT51" s="9">
        <v>1</v>
      </c>
      <c r="AU51" s="9">
        <v>0</v>
      </c>
      <c r="AV51" s="9">
        <v>1</v>
      </c>
      <c r="AW51" s="9">
        <v>0</v>
      </c>
      <c r="AX51" s="9">
        <v>1</v>
      </c>
      <c r="AY51" s="210"/>
      <c r="AZ51" s="9">
        <v>4</v>
      </c>
      <c r="BA51" s="9">
        <v>1</v>
      </c>
      <c r="BB51" s="9">
        <v>1</v>
      </c>
      <c r="BC51" s="9">
        <v>0</v>
      </c>
      <c r="BD51" s="9">
        <v>0</v>
      </c>
      <c r="BE51" s="9">
        <v>0</v>
      </c>
      <c r="BF51" s="9">
        <v>5</v>
      </c>
      <c r="BG51" s="210"/>
      <c r="BH51" s="104">
        <v>14</v>
      </c>
      <c r="BI51" s="104">
        <v>0</v>
      </c>
      <c r="BJ51" s="210"/>
      <c r="BK51" s="104">
        <v>0</v>
      </c>
      <c r="BL51" s="104">
        <v>0</v>
      </c>
      <c r="BM51" s="104">
        <v>0</v>
      </c>
      <c r="BN51" s="104">
        <v>0</v>
      </c>
      <c r="BO51" s="104">
        <v>0</v>
      </c>
      <c r="BP51" s="210"/>
      <c r="BQ51" s="104">
        <f>SUM('[2]Tennessee-30 clean'!CC39)</f>
        <v>0</v>
      </c>
      <c r="BR51" s="9">
        <v>24</v>
      </c>
      <c r="BS51" s="9">
        <f>SUM('[2]Tennessee-30 clean'!CG39)</f>
        <v>0</v>
      </c>
      <c r="BT51" s="9">
        <f>SUM('[2]Tennessee-30 clean'!CI39)</f>
        <v>0</v>
      </c>
      <c r="BU51" s="9">
        <f>SUM('[2]Tennessee-30 clean'!CJ39)</f>
        <v>0</v>
      </c>
      <c r="BV51" s="9">
        <f>SUM('[2]Tennessee-30 clean'!CK39)</f>
        <v>0</v>
      </c>
      <c r="BW51" s="9">
        <f>SUM('[2]Tennessee-30 clean'!CM39)</f>
        <v>0</v>
      </c>
      <c r="BX51" s="9">
        <f>SUM('[2]Tennessee-30 clean'!CN39)</f>
        <v>0</v>
      </c>
      <c r="BY51" s="9">
        <f>SUM('[2]Tennessee-30 clean'!CP39)</f>
        <v>0</v>
      </c>
      <c r="BZ51" s="9">
        <f>SUM('[2]Tennessee-30 clean'!CR39)</f>
        <v>0</v>
      </c>
      <c r="CA51" s="9">
        <f>SUM('[2]Tennessee-30 clean'!CS39)</f>
        <v>0</v>
      </c>
      <c r="CB51" s="9">
        <f>SUM('[2]Tennessee-30 clean'!CU39)</f>
        <v>0</v>
      </c>
      <c r="CC51" s="9">
        <f>SUM('[2]Tennessee-30 clean'!CV39)</f>
        <v>0</v>
      </c>
      <c r="CD51" s="210"/>
    </row>
    <row r="52" spans="1:82" s="9" customFormat="1">
      <c r="A52" s="146"/>
      <c r="B52" s="9" t="s">
        <v>1441</v>
      </c>
      <c r="C52" s="9">
        <v>8</v>
      </c>
      <c r="D52" s="9">
        <v>44</v>
      </c>
      <c r="E52" s="9">
        <v>154</v>
      </c>
      <c r="F52" s="9">
        <v>68</v>
      </c>
      <c r="G52" s="210"/>
      <c r="H52" s="9">
        <v>65</v>
      </c>
      <c r="I52" s="9">
        <v>2</v>
      </c>
      <c r="J52" s="9">
        <v>0</v>
      </c>
      <c r="K52" s="9">
        <v>1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210"/>
      <c r="R52" s="9">
        <v>9</v>
      </c>
      <c r="S52" s="9">
        <v>0</v>
      </c>
      <c r="T52" s="9">
        <v>7</v>
      </c>
      <c r="U52" s="9">
        <v>1</v>
      </c>
      <c r="V52" s="9">
        <v>50</v>
      </c>
      <c r="W52" s="9">
        <v>0</v>
      </c>
      <c r="X52" s="147">
        <v>6</v>
      </c>
      <c r="Y52" s="210"/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210"/>
      <c r="AH52" s="9">
        <v>74</v>
      </c>
      <c r="AI52" s="9">
        <v>0</v>
      </c>
      <c r="AJ52" s="9">
        <v>0</v>
      </c>
      <c r="AK52" s="9">
        <v>3</v>
      </c>
      <c r="AL52" s="9">
        <v>2</v>
      </c>
      <c r="AM52" s="9">
        <v>19</v>
      </c>
      <c r="AN52" s="9">
        <v>24</v>
      </c>
      <c r="AO52" s="9">
        <v>1</v>
      </c>
      <c r="AP52" s="9">
        <v>12</v>
      </c>
      <c r="AQ52" s="9">
        <v>7</v>
      </c>
      <c r="AR52" s="9">
        <v>0</v>
      </c>
      <c r="AS52" s="9">
        <v>4</v>
      </c>
      <c r="AT52" s="9">
        <v>10</v>
      </c>
      <c r="AU52" s="9">
        <v>4</v>
      </c>
      <c r="AV52" s="9">
        <v>5</v>
      </c>
      <c r="AW52" s="9">
        <v>1</v>
      </c>
      <c r="AX52" s="9">
        <v>2</v>
      </c>
      <c r="AY52" s="210"/>
      <c r="AZ52" s="9">
        <v>41</v>
      </c>
      <c r="BA52" s="9">
        <v>13</v>
      </c>
      <c r="BB52" s="9">
        <v>0</v>
      </c>
      <c r="BC52" s="9">
        <v>0</v>
      </c>
      <c r="BD52" s="9">
        <v>0</v>
      </c>
      <c r="BE52" s="9">
        <v>0</v>
      </c>
      <c r="BF52" s="9">
        <v>14</v>
      </c>
      <c r="BG52" s="210"/>
      <c r="BH52" s="104">
        <v>68</v>
      </c>
      <c r="BI52" s="104">
        <v>0</v>
      </c>
      <c r="BJ52" s="210"/>
      <c r="BK52" s="104">
        <v>0</v>
      </c>
      <c r="BL52" s="104">
        <v>0</v>
      </c>
      <c r="BM52" s="104">
        <v>0</v>
      </c>
      <c r="BN52" s="104">
        <v>0</v>
      </c>
      <c r="BO52" s="104">
        <v>0</v>
      </c>
      <c r="BP52" s="210"/>
      <c r="BQ52" s="104">
        <f>SUM('[2]Texas-154 clean'!CC165)</f>
        <v>0</v>
      </c>
      <c r="BR52" s="9">
        <v>66</v>
      </c>
      <c r="BS52" s="9">
        <v>3</v>
      </c>
      <c r="BT52" s="9">
        <f>SUM('[2]Texas-154 clean'!CI165)</f>
        <v>0</v>
      </c>
      <c r="BU52" s="9">
        <v>1</v>
      </c>
      <c r="BV52" s="9">
        <v>26</v>
      </c>
      <c r="BW52" s="9">
        <f>SUM('[2]Texas-154 clean'!CM165)</f>
        <v>0</v>
      </c>
      <c r="BX52" s="9">
        <f>SUM('[2]Texas-154 clean'!CN165)</f>
        <v>0</v>
      </c>
      <c r="BY52" s="9">
        <v>1</v>
      </c>
      <c r="BZ52" s="9">
        <f>SUM('[2]Texas-154 clean'!CR165)</f>
        <v>0</v>
      </c>
      <c r="CA52" s="9">
        <f>SUM('[2]Texas-154 clean'!CS165)</f>
        <v>0</v>
      </c>
      <c r="CB52" s="9">
        <f>SUM('[2]Texas-154 clean'!CU165)</f>
        <v>0</v>
      </c>
      <c r="CC52" s="9">
        <f>SUM('[2]Texas-154 clean'!CV165)</f>
        <v>0</v>
      </c>
      <c r="CD52" s="210"/>
    </row>
    <row r="53" spans="1:82">
      <c r="A53" s="146"/>
      <c r="B53" s="9" t="s">
        <v>1442</v>
      </c>
      <c r="C53" s="9">
        <v>1</v>
      </c>
      <c r="D53" s="9">
        <v>16</v>
      </c>
      <c r="E53" s="9">
        <v>41</v>
      </c>
      <c r="F53" s="9">
        <v>9</v>
      </c>
      <c r="G53" s="210"/>
      <c r="H53" s="9">
        <v>6</v>
      </c>
      <c r="I53" s="9">
        <v>1</v>
      </c>
      <c r="J53" s="9">
        <v>1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210"/>
      <c r="R53" s="9">
        <v>3</v>
      </c>
      <c r="S53" s="9">
        <v>0</v>
      </c>
      <c r="T53" s="9">
        <v>0</v>
      </c>
      <c r="U53" s="9">
        <v>0</v>
      </c>
      <c r="V53" s="9">
        <v>4</v>
      </c>
      <c r="W53" s="9">
        <v>2</v>
      </c>
      <c r="X53" s="9">
        <v>2</v>
      </c>
      <c r="Y53" s="210"/>
      <c r="Z53" s="9">
        <v>2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210"/>
      <c r="AH53" s="9">
        <v>9</v>
      </c>
      <c r="AI53" s="9">
        <v>2</v>
      </c>
      <c r="AJ53" s="9">
        <v>0</v>
      </c>
      <c r="AK53" s="9">
        <v>1</v>
      </c>
      <c r="AL53" s="9">
        <v>4</v>
      </c>
      <c r="AM53" s="9">
        <v>4</v>
      </c>
      <c r="AN53" s="9">
        <v>4</v>
      </c>
      <c r="AO53" s="9">
        <v>2</v>
      </c>
      <c r="AP53" s="9">
        <v>3</v>
      </c>
      <c r="AQ53" s="9">
        <v>2</v>
      </c>
      <c r="AR53" s="9">
        <v>0</v>
      </c>
      <c r="AS53" s="9">
        <v>4</v>
      </c>
      <c r="AT53" s="9">
        <v>3</v>
      </c>
      <c r="AU53" s="9">
        <v>2</v>
      </c>
      <c r="AV53" s="9">
        <v>3</v>
      </c>
      <c r="AW53" s="9">
        <v>2</v>
      </c>
      <c r="AX53" s="9">
        <v>2</v>
      </c>
      <c r="AY53" s="210"/>
      <c r="AZ53" s="9">
        <v>6</v>
      </c>
      <c r="BA53" s="9">
        <v>2</v>
      </c>
      <c r="BB53" s="9">
        <v>0</v>
      </c>
      <c r="BC53" s="9">
        <v>0</v>
      </c>
      <c r="BD53" s="9">
        <v>0</v>
      </c>
      <c r="BE53" s="9">
        <v>0</v>
      </c>
      <c r="BF53" s="9">
        <v>1</v>
      </c>
      <c r="BG53" s="210"/>
      <c r="BH53" s="104">
        <v>9</v>
      </c>
      <c r="BI53" s="104">
        <v>2</v>
      </c>
      <c r="BJ53" s="210"/>
      <c r="BK53" s="105">
        <v>2</v>
      </c>
      <c r="BL53" s="104">
        <v>0</v>
      </c>
      <c r="BM53" s="104">
        <v>0</v>
      </c>
      <c r="BN53" s="104">
        <v>0</v>
      </c>
      <c r="BO53" s="104">
        <v>0</v>
      </c>
      <c r="BP53" s="210"/>
      <c r="BQ53" s="104">
        <f>SUM('[2]Utah-41 clean'!CC51)</f>
        <v>0</v>
      </c>
      <c r="BR53" s="9">
        <v>21</v>
      </c>
      <c r="BS53" s="9">
        <v>1</v>
      </c>
      <c r="BT53" s="9">
        <f>SUM('[2]Utah-41 clean'!CI51)</f>
        <v>0</v>
      </c>
      <c r="BU53" s="9">
        <f>SUM('[2]Utah-41 clean'!CJ51)</f>
        <v>0</v>
      </c>
      <c r="BV53" s="9">
        <f>SUM('[2]Utah-41 clean'!CK51)</f>
        <v>0</v>
      </c>
      <c r="BW53" s="9">
        <f>SUM('[2]Utah-41 clean'!CM51)</f>
        <v>0</v>
      </c>
      <c r="BX53" s="9">
        <f>SUM('[2]Utah-41 clean'!CN51)</f>
        <v>0</v>
      </c>
      <c r="BY53" s="9">
        <f>SUM('[2]Utah-41 clean'!CP51)</f>
        <v>0</v>
      </c>
      <c r="BZ53" s="9">
        <f>SUM('[2]Utah-41 clean'!CR51)</f>
        <v>0</v>
      </c>
      <c r="CA53" s="9">
        <f>SUM('[2]Utah-41 clean'!CS51)</f>
        <v>0</v>
      </c>
      <c r="CB53" s="9">
        <f>SUM('[2]Utah-41 clean'!CU51)</f>
        <v>0</v>
      </c>
      <c r="CC53" s="9">
        <f>SUM('[2]Utah-41 clean'!CV51)</f>
        <v>0</v>
      </c>
      <c r="CD53" s="210"/>
    </row>
    <row r="54" spans="1:82" s="9" customFormat="1">
      <c r="A54" s="146"/>
      <c r="B54" s="9" t="s">
        <v>1443</v>
      </c>
      <c r="C54" s="9">
        <v>0</v>
      </c>
      <c r="D54" s="9">
        <v>0</v>
      </c>
      <c r="E54" s="9">
        <v>1</v>
      </c>
      <c r="F54" s="9">
        <v>1</v>
      </c>
      <c r="G54" s="210"/>
      <c r="H54" s="9">
        <v>1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210"/>
      <c r="R54" s="9">
        <v>0</v>
      </c>
      <c r="S54" s="9">
        <v>0</v>
      </c>
      <c r="T54" s="9">
        <v>0</v>
      </c>
      <c r="U54" s="9">
        <v>0</v>
      </c>
      <c r="V54" s="9">
        <v>1</v>
      </c>
      <c r="W54" s="9">
        <v>0</v>
      </c>
      <c r="X54" s="9">
        <v>0</v>
      </c>
      <c r="Y54" s="210"/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210"/>
      <c r="AH54" s="9">
        <v>1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210"/>
      <c r="AZ54" s="9">
        <v>1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210"/>
      <c r="BH54" s="104">
        <v>1</v>
      </c>
      <c r="BI54" s="104">
        <v>0</v>
      </c>
      <c r="BJ54" s="210"/>
      <c r="BK54" s="104">
        <v>0</v>
      </c>
      <c r="BL54" s="104">
        <v>0</v>
      </c>
      <c r="BM54" s="104">
        <v>0</v>
      </c>
      <c r="BN54" s="104">
        <v>0</v>
      </c>
      <c r="BO54" s="104">
        <v>0</v>
      </c>
      <c r="BP54" s="210"/>
      <c r="BQ54" s="104">
        <f>SUM('[2]Vermont-1 clean'!CC7)</f>
        <v>0</v>
      </c>
      <c r="BR54" s="9">
        <v>1</v>
      </c>
      <c r="BS54" s="9">
        <f>SUM('[2]Vermont-1 clean'!CG7)</f>
        <v>0</v>
      </c>
      <c r="BT54" s="9">
        <f>SUM('[2]Vermont-1 clean'!CI7)</f>
        <v>0</v>
      </c>
      <c r="BU54" s="9">
        <f>SUM('[2]Vermont-1 clean'!CJ7)</f>
        <v>0</v>
      </c>
      <c r="BV54" s="9">
        <f>SUM('[2]Vermont-1 clean'!CK7)</f>
        <v>0</v>
      </c>
      <c r="BW54" s="9">
        <f>SUM('[2]Vermont-1 clean'!CM7)</f>
        <v>0</v>
      </c>
      <c r="BX54" s="9">
        <f>SUM('[2]Vermont-1 clean'!CN7)</f>
        <v>0</v>
      </c>
      <c r="BY54" s="9">
        <f>SUM('[2]Vermont-1 clean'!CP7)</f>
        <v>0</v>
      </c>
      <c r="BZ54" s="9">
        <f>SUM('[2]Vermont-1 clean'!CR7)</f>
        <v>0</v>
      </c>
      <c r="CA54" s="9">
        <f>SUM('[2]Vermont-1 clean'!CS7)</f>
        <v>0</v>
      </c>
      <c r="CB54" s="9">
        <f>SUM('[2]Vermont-1 clean'!CU7)</f>
        <v>0</v>
      </c>
      <c r="CC54" s="9">
        <f>SUM('[2]Vermont-1 clean'!CV7)</f>
        <v>0</v>
      </c>
      <c r="CD54" s="210"/>
    </row>
    <row r="55" spans="1:82" s="9" customFormat="1">
      <c r="A55" s="146"/>
      <c r="B55" s="9" t="s">
        <v>1445</v>
      </c>
      <c r="C55" s="9">
        <v>3</v>
      </c>
      <c r="D55" s="9">
        <v>27</v>
      </c>
      <c r="E55" s="9">
        <v>94</v>
      </c>
      <c r="F55" s="9">
        <v>25</v>
      </c>
      <c r="G55" s="210"/>
      <c r="H55" s="9">
        <v>19</v>
      </c>
      <c r="I55" s="9">
        <v>4</v>
      </c>
      <c r="J55" s="9">
        <v>2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210"/>
      <c r="R55" s="9">
        <v>10</v>
      </c>
      <c r="S55" s="9">
        <v>1</v>
      </c>
      <c r="T55" s="9">
        <v>1</v>
      </c>
      <c r="U55" s="9">
        <v>0</v>
      </c>
      <c r="V55" s="9">
        <v>13</v>
      </c>
      <c r="W55" s="9">
        <v>0</v>
      </c>
      <c r="X55" s="9">
        <v>3</v>
      </c>
      <c r="Y55" s="210"/>
      <c r="Z55" s="9">
        <v>6</v>
      </c>
      <c r="AA55" s="9">
        <v>1</v>
      </c>
      <c r="AB55" s="9">
        <v>0</v>
      </c>
      <c r="AC55" s="9">
        <v>0</v>
      </c>
      <c r="AD55" s="9">
        <v>0</v>
      </c>
      <c r="AE55" s="9">
        <v>0</v>
      </c>
      <c r="AF55" s="147">
        <v>5</v>
      </c>
      <c r="AG55" s="210"/>
      <c r="AH55" s="9">
        <v>33</v>
      </c>
      <c r="AI55" s="9">
        <v>0</v>
      </c>
      <c r="AJ55" s="9">
        <v>1</v>
      </c>
      <c r="AK55" s="9">
        <v>1</v>
      </c>
      <c r="AL55" s="9">
        <v>3</v>
      </c>
      <c r="AM55" s="9">
        <v>15</v>
      </c>
      <c r="AN55" s="9">
        <v>9</v>
      </c>
      <c r="AO55" s="9">
        <v>2</v>
      </c>
      <c r="AP55" s="9">
        <v>12</v>
      </c>
      <c r="AQ55" s="9">
        <v>13</v>
      </c>
      <c r="AR55" s="9">
        <v>4</v>
      </c>
      <c r="AS55" s="9">
        <v>4</v>
      </c>
      <c r="AT55" s="9">
        <v>7</v>
      </c>
      <c r="AU55" s="9">
        <v>0</v>
      </c>
      <c r="AV55" s="9">
        <v>4</v>
      </c>
      <c r="AW55" s="9">
        <v>3</v>
      </c>
      <c r="AX55" s="9">
        <v>0</v>
      </c>
      <c r="AY55" s="210"/>
      <c r="AZ55" s="9">
        <v>8</v>
      </c>
      <c r="BA55" s="9">
        <v>8</v>
      </c>
      <c r="BB55" s="9">
        <v>0</v>
      </c>
      <c r="BC55" s="9">
        <v>0</v>
      </c>
      <c r="BD55" s="9">
        <v>0</v>
      </c>
      <c r="BE55" s="9">
        <v>0</v>
      </c>
      <c r="BF55" s="9">
        <v>9</v>
      </c>
      <c r="BG55" s="210"/>
      <c r="BH55" s="104">
        <v>25</v>
      </c>
      <c r="BI55" s="104">
        <v>1</v>
      </c>
      <c r="BJ55" s="210"/>
      <c r="BK55" s="104">
        <v>1</v>
      </c>
      <c r="BL55" s="104">
        <v>0</v>
      </c>
      <c r="BM55" s="104">
        <v>0</v>
      </c>
      <c r="BN55" s="104">
        <v>0</v>
      </c>
      <c r="BO55" s="104">
        <v>0</v>
      </c>
      <c r="BP55" s="210"/>
      <c r="BQ55" s="104">
        <f>SUM('[2]Virginia-94 clean'!CC102)</f>
        <v>0</v>
      </c>
      <c r="BR55" s="9">
        <v>44</v>
      </c>
      <c r="BS55" s="9">
        <f>SUM('[2]Virginia-94 clean'!CG102)</f>
        <v>0</v>
      </c>
      <c r="BT55" s="9">
        <f>SUM('[2]Virginia-94 clean'!CI102)</f>
        <v>0</v>
      </c>
      <c r="BU55" s="9">
        <f>SUM('[2]Virginia-94 clean'!CJ102)</f>
        <v>0</v>
      </c>
      <c r="BV55" s="9">
        <f>SUM('[2]Virginia-94 clean'!CK102)</f>
        <v>0</v>
      </c>
      <c r="BW55" s="9">
        <f>SUM('[2]Virginia-94 clean'!CM102)</f>
        <v>0</v>
      </c>
      <c r="BX55" s="9">
        <f>SUM('[2]Virginia-94 clean'!CN102)</f>
        <v>0</v>
      </c>
      <c r="BY55" s="9">
        <f>SUM('[2]Virginia-94 clean'!CP102)</f>
        <v>0</v>
      </c>
      <c r="BZ55" s="9">
        <f>SUM('[2]Virginia-94 clean'!CR102)</f>
        <v>0</v>
      </c>
      <c r="CA55" s="9">
        <f>SUM('[2]Virginia-94 clean'!CS102)</f>
        <v>0</v>
      </c>
      <c r="CB55" s="9">
        <f>SUM('[2]Virginia-94 clean'!CU102)</f>
        <v>0</v>
      </c>
      <c r="CC55" s="9">
        <f>SUM('[2]Virginia-94 clean'!CV102)</f>
        <v>0</v>
      </c>
      <c r="CD55" s="210"/>
    </row>
    <row r="56" spans="1:82" s="9" customFormat="1">
      <c r="A56" s="146"/>
      <c r="B56" s="9" t="s">
        <v>1446</v>
      </c>
      <c r="C56" s="9">
        <v>36</v>
      </c>
      <c r="D56" s="9">
        <v>221</v>
      </c>
      <c r="E56" s="9">
        <v>715</v>
      </c>
      <c r="F56" s="9">
        <v>136</v>
      </c>
      <c r="G56" s="210"/>
      <c r="H56" s="9">
        <v>100</v>
      </c>
      <c r="I56" s="9">
        <v>12</v>
      </c>
      <c r="J56" s="9">
        <v>14</v>
      </c>
      <c r="K56" s="9">
        <v>3</v>
      </c>
      <c r="L56" s="9">
        <v>4</v>
      </c>
      <c r="M56" s="9">
        <v>0</v>
      </c>
      <c r="N56" s="9">
        <v>0</v>
      </c>
      <c r="O56" s="9">
        <v>0</v>
      </c>
      <c r="P56" s="9">
        <v>0</v>
      </c>
      <c r="Q56" s="210"/>
      <c r="R56" s="9">
        <v>62</v>
      </c>
      <c r="S56" s="9">
        <v>2</v>
      </c>
      <c r="T56" s="9">
        <v>16</v>
      </c>
      <c r="U56" s="9">
        <v>1</v>
      </c>
      <c r="V56" s="9">
        <v>56</v>
      </c>
      <c r="W56" s="9">
        <v>4</v>
      </c>
      <c r="X56" s="9">
        <v>13</v>
      </c>
      <c r="Y56" s="210"/>
      <c r="Z56" s="9">
        <v>10</v>
      </c>
      <c r="AA56" s="9">
        <v>0</v>
      </c>
      <c r="AB56" s="9">
        <v>0</v>
      </c>
      <c r="AC56" s="9">
        <v>1</v>
      </c>
      <c r="AD56" s="9">
        <v>0</v>
      </c>
      <c r="AE56" s="9">
        <v>0</v>
      </c>
      <c r="AF56" s="9">
        <v>8</v>
      </c>
      <c r="AG56" s="210"/>
      <c r="AH56" s="66">
        <v>162</v>
      </c>
      <c r="AI56" s="66">
        <v>3</v>
      </c>
      <c r="AJ56" s="66">
        <v>4</v>
      </c>
      <c r="AK56" s="66">
        <v>18</v>
      </c>
      <c r="AL56" s="66">
        <v>27</v>
      </c>
      <c r="AM56" s="66">
        <v>98</v>
      </c>
      <c r="AN56" s="66">
        <v>107</v>
      </c>
      <c r="AO56" s="66">
        <v>37</v>
      </c>
      <c r="AP56" s="66">
        <v>86</v>
      </c>
      <c r="AQ56" s="66">
        <v>66</v>
      </c>
      <c r="AR56" s="66">
        <v>37</v>
      </c>
      <c r="AS56" s="66">
        <v>46</v>
      </c>
      <c r="AT56" s="66">
        <v>36</v>
      </c>
      <c r="AU56" s="66">
        <v>21</v>
      </c>
      <c r="AV56" s="66">
        <v>44</v>
      </c>
      <c r="AW56" s="66">
        <v>29</v>
      </c>
      <c r="AX56" s="66">
        <v>23</v>
      </c>
      <c r="AY56" s="210"/>
      <c r="AZ56" s="9">
        <v>52</v>
      </c>
      <c r="BA56" s="9">
        <v>30</v>
      </c>
      <c r="BB56" s="9">
        <v>6</v>
      </c>
      <c r="BC56" s="9">
        <v>4</v>
      </c>
      <c r="BD56" s="9">
        <v>3</v>
      </c>
      <c r="BE56" s="9">
        <v>0</v>
      </c>
      <c r="BF56" s="9">
        <v>41</v>
      </c>
      <c r="BG56" s="210"/>
      <c r="BH56" s="104">
        <v>136</v>
      </c>
      <c r="BI56" s="104">
        <v>3</v>
      </c>
      <c r="BJ56" s="210"/>
      <c r="BK56" s="104">
        <v>3</v>
      </c>
      <c r="BL56" s="104">
        <v>0</v>
      </c>
      <c r="BM56" s="104">
        <v>0</v>
      </c>
      <c r="BN56" s="104">
        <v>0</v>
      </c>
      <c r="BO56" s="104">
        <v>0</v>
      </c>
      <c r="BP56" s="210"/>
      <c r="BQ56" s="104">
        <v>3</v>
      </c>
      <c r="BR56" s="9">
        <v>512</v>
      </c>
      <c r="BS56" s="9">
        <v>12</v>
      </c>
      <c r="BT56" s="9">
        <f>SUM('[2]Washington-715 clean'!CJ723)</f>
        <v>0</v>
      </c>
      <c r="BU56" s="9">
        <v>5</v>
      </c>
      <c r="BV56" s="9">
        <v>2279</v>
      </c>
      <c r="BW56" s="9">
        <v>14</v>
      </c>
      <c r="BX56" s="9">
        <v>7648</v>
      </c>
      <c r="BY56" s="9">
        <v>2</v>
      </c>
      <c r="BZ56" s="9">
        <v>1</v>
      </c>
      <c r="CA56" s="9">
        <v>995</v>
      </c>
      <c r="CB56" s="9">
        <f>SUM('[2]Washington-715 clean'!CV723)</f>
        <v>0</v>
      </c>
      <c r="CC56" s="9">
        <f>SUM('[2]Washington-715 clean'!CW723)</f>
        <v>0</v>
      </c>
      <c r="CD56" s="210"/>
    </row>
    <row r="57" spans="1:82" s="9" customFormat="1">
      <c r="A57" s="146"/>
      <c r="B57" s="9" t="s">
        <v>1447</v>
      </c>
      <c r="C57" s="9">
        <v>1</v>
      </c>
      <c r="D57" s="9">
        <v>6</v>
      </c>
      <c r="E57" s="9">
        <v>10</v>
      </c>
      <c r="F57" s="9">
        <v>3</v>
      </c>
      <c r="G57" s="210"/>
      <c r="H57" s="9">
        <v>2</v>
      </c>
      <c r="I57" s="9">
        <v>1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210"/>
      <c r="R57" s="9">
        <v>2</v>
      </c>
      <c r="S57" s="9">
        <v>0</v>
      </c>
      <c r="T57" s="9">
        <v>0</v>
      </c>
      <c r="U57" s="9">
        <v>0</v>
      </c>
      <c r="V57" s="9">
        <v>1</v>
      </c>
      <c r="W57" s="9">
        <v>0</v>
      </c>
      <c r="X57" s="9">
        <v>0</v>
      </c>
      <c r="Y57" s="210"/>
      <c r="Z57" s="9">
        <v>1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1</v>
      </c>
      <c r="AG57" s="210"/>
      <c r="AH57" s="9">
        <v>5</v>
      </c>
      <c r="AI57" s="9">
        <v>0</v>
      </c>
      <c r="AJ57" s="9">
        <v>0</v>
      </c>
      <c r="AK57" s="9">
        <v>0</v>
      </c>
      <c r="AL57" s="9">
        <v>0</v>
      </c>
      <c r="AM57" s="9">
        <v>3</v>
      </c>
      <c r="AN57" s="9">
        <v>1</v>
      </c>
      <c r="AO57" s="9">
        <v>0</v>
      </c>
      <c r="AP57" s="9">
        <v>0</v>
      </c>
      <c r="AQ57" s="9">
        <v>0</v>
      </c>
      <c r="AR57" s="9">
        <v>0</v>
      </c>
      <c r="AS57" s="9">
        <v>1</v>
      </c>
      <c r="AT57" s="9">
        <v>0</v>
      </c>
      <c r="AU57" s="9">
        <v>0</v>
      </c>
      <c r="AV57" s="9">
        <v>0</v>
      </c>
      <c r="AW57" s="9">
        <v>0</v>
      </c>
      <c r="AX57" s="9">
        <v>1</v>
      </c>
      <c r="AY57" s="210"/>
      <c r="AZ57" s="9">
        <v>2</v>
      </c>
      <c r="BA57" s="9">
        <v>1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210"/>
      <c r="BH57" s="104">
        <v>3</v>
      </c>
      <c r="BI57" s="104">
        <v>0</v>
      </c>
      <c r="BJ57" s="210"/>
      <c r="BK57" s="104">
        <v>0</v>
      </c>
      <c r="BL57" s="104">
        <v>0</v>
      </c>
      <c r="BM57" s="104">
        <v>0</v>
      </c>
      <c r="BN57" s="104">
        <v>0</v>
      </c>
      <c r="BO57" s="104">
        <v>0</v>
      </c>
      <c r="BP57" s="210"/>
      <c r="BQ57" s="104">
        <f>SUM('[2]West Virginia-10 clean'!CC20)</f>
        <v>0</v>
      </c>
      <c r="BR57" s="9">
        <v>9</v>
      </c>
      <c r="BS57" s="9">
        <f>SUM('[2]West Virginia-10 clean'!CG20)</f>
        <v>0</v>
      </c>
      <c r="BT57" s="9">
        <f>SUM('[2]West Virginia-10 clean'!CI20)</f>
        <v>0</v>
      </c>
      <c r="BU57" s="9">
        <f>SUM('[2]West Virginia-10 clean'!CJ20)</f>
        <v>0</v>
      </c>
      <c r="BV57" s="9">
        <f>SUM('[2]West Virginia-10 clean'!CK20)</f>
        <v>0</v>
      </c>
      <c r="BW57" s="9">
        <f>SUM('[2]West Virginia-10 clean'!CM20)</f>
        <v>0</v>
      </c>
      <c r="BX57" s="9">
        <f>SUM('[2]West Virginia-10 clean'!CN20)</f>
        <v>0</v>
      </c>
      <c r="BY57" s="9">
        <f>SUM('[2]West Virginia-10 clean'!CP20)</f>
        <v>0</v>
      </c>
      <c r="BZ57" s="9">
        <f>SUM('[2]West Virginia-10 clean'!CR20)</f>
        <v>0</v>
      </c>
      <c r="CA57" s="9">
        <f>SUM('[2]West Virginia-10 clean'!CS20)</f>
        <v>0</v>
      </c>
      <c r="CB57" s="9">
        <f>SUM('[2]West Virginia-10 clean'!CU20)</f>
        <v>0</v>
      </c>
      <c r="CC57" s="9">
        <f>SUM('[2]West Virginia-10 clean'!CV20)</f>
        <v>0</v>
      </c>
      <c r="CD57" s="210"/>
    </row>
    <row r="58" spans="1:82" s="9" customFormat="1">
      <c r="A58" s="146"/>
      <c r="B58" s="9" t="s">
        <v>1448</v>
      </c>
      <c r="C58" s="9">
        <v>3</v>
      </c>
      <c r="D58" s="9">
        <v>4</v>
      </c>
      <c r="E58" s="9">
        <v>30</v>
      </c>
      <c r="F58" s="9">
        <v>14</v>
      </c>
      <c r="G58" s="210"/>
      <c r="H58" s="9">
        <v>15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210"/>
      <c r="R58" s="9">
        <v>5</v>
      </c>
      <c r="S58" s="9">
        <v>0</v>
      </c>
      <c r="T58" s="9">
        <v>1</v>
      </c>
      <c r="U58" s="9">
        <v>0</v>
      </c>
      <c r="V58" s="9">
        <v>8</v>
      </c>
      <c r="W58" s="9">
        <v>0</v>
      </c>
      <c r="X58" s="9">
        <v>1</v>
      </c>
      <c r="Y58" s="210"/>
      <c r="Z58" s="9">
        <v>1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1</v>
      </c>
      <c r="AG58" s="210"/>
      <c r="AH58" s="9">
        <v>16</v>
      </c>
      <c r="AI58" s="9">
        <v>0</v>
      </c>
      <c r="AJ58" s="9">
        <v>1</v>
      </c>
      <c r="AK58" s="9">
        <v>0</v>
      </c>
      <c r="AL58" s="9">
        <v>1</v>
      </c>
      <c r="AM58" s="9">
        <v>4</v>
      </c>
      <c r="AN58" s="9">
        <v>2</v>
      </c>
      <c r="AO58" s="9">
        <v>0</v>
      </c>
      <c r="AP58" s="9">
        <v>3</v>
      </c>
      <c r="AQ58" s="9">
        <v>3</v>
      </c>
      <c r="AR58" s="9">
        <v>1</v>
      </c>
      <c r="AS58" s="9">
        <v>0</v>
      </c>
      <c r="AT58" s="9">
        <v>1</v>
      </c>
      <c r="AU58" s="9">
        <v>0</v>
      </c>
      <c r="AV58" s="9">
        <v>0</v>
      </c>
      <c r="AW58" s="9">
        <v>0</v>
      </c>
      <c r="AX58" s="9">
        <v>0</v>
      </c>
      <c r="AY58" s="210"/>
      <c r="AZ58" s="9">
        <v>7</v>
      </c>
      <c r="BA58" s="9">
        <v>3</v>
      </c>
      <c r="BB58" s="9">
        <v>0</v>
      </c>
      <c r="BC58" s="9">
        <v>0</v>
      </c>
      <c r="BD58" s="9">
        <v>0</v>
      </c>
      <c r="BE58" s="9">
        <v>0</v>
      </c>
      <c r="BF58" s="9">
        <v>4</v>
      </c>
      <c r="BG58" s="210"/>
      <c r="BH58" s="104">
        <v>14</v>
      </c>
      <c r="BI58" s="104">
        <v>0</v>
      </c>
      <c r="BJ58" s="210"/>
      <c r="BK58" s="104">
        <v>0</v>
      </c>
      <c r="BL58" s="104">
        <v>0</v>
      </c>
      <c r="BM58" s="104">
        <v>0</v>
      </c>
      <c r="BN58" s="104">
        <v>0</v>
      </c>
      <c r="BO58" s="104">
        <v>0</v>
      </c>
      <c r="BP58" s="210"/>
      <c r="BQ58" s="104">
        <f>SUM('[2]Wisconsin-30 clean'!CC41)</f>
        <v>0</v>
      </c>
      <c r="BR58" s="9">
        <v>17</v>
      </c>
      <c r="BS58" s="9">
        <f>SUM('[2]Wisconsin-30 clean'!CG41)</f>
        <v>0</v>
      </c>
      <c r="BT58" s="9">
        <f>SUM('[2]Wisconsin-30 clean'!CI41)</f>
        <v>0</v>
      </c>
      <c r="BU58" s="9">
        <f>SUM('[2]Wisconsin-30 clean'!CJ41)</f>
        <v>0</v>
      </c>
      <c r="BV58" s="9">
        <f>SUM('[2]Wisconsin-30 clean'!CK41)</f>
        <v>0</v>
      </c>
      <c r="BW58" s="9">
        <f>SUM('[2]Wisconsin-30 clean'!CM41)</f>
        <v>0</v>
      </c>
      <c r="BX58" s="9">
        <f>SUM('[2]Wisconsin-30 clean'!CN41)</f>
        <v>0</v>
      </c>
      <c r="BY58" s="9">
        <v>1</v>
      </c>
      <c r="BZ58" s="9">
        <f>SUM('[2]Wisconsin-30 clean'!CR41)</f>
        <v>0</v>
      </c>
      <c r="CA58" s="9">
        <f>SUM('[2]Wisconsin-30 clean'!CS41)</f>
        <v>0</v>
      </c>
      <c r="CB58" s="9">
        <f>SUM('[2]Wisconsin-30 clean'!CU41)</f>
        <v>0</v>
      </c>
      <c r="CC58" s="9">
        <f>SUM('[2]Wisconsin-30 clean'!CV41)</f>
        <v>0</v>
      </c>
      <c r="CD58" s="210"/>
    </row>
    <row r="59" spans="1:82" s="9" customFormat="1">
      <c r="A59" s="146"/>
      <c r="B59" s="9" t="s">
        <v>1449</v>
      </c>
      <c r="C59" s="9">
        <v>3</v>
      </c>
      <c r="D59" s="9">
        <v>5</v>
      </c>
      <c r="E59" s="9">
        <v>19</v>
      </c>
      <c r="F59" s="9">
        <v>10</v>
      </c>
      <c r="G59" s="210"/>
      <c r="H59" s="9">
        <v>6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210"/>
      <c r="R59" s="9">
        <v>3</v>
      </c>
      <c r="S59" s="9">
        <v>0</v>
      </c>
      <c r="T59" s="9">
        <v>1</v>
      </c>
      <c r="U59" s="9">
        <v>0</v>
      </c>
      <c r="V59" s="9">
        <v>8</v>
      </c>
      <c r="W59" s="9">
        <v>0</v>
      </c>
      <c r="X59" s="9">
        <v>0</v>
      </c>
      <c r="Y59" s="210"/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210"/>
      <c r="AH59" s="9">
        <v>11</v>
      </c>
      <c r="AI59" s="9">
        <v>0</v>
      </c>
      <c r="AJ59" s="9">
        <v>0</v>
      </c>
      <c r="AK59" s="9">
        <v>0</v>
      </c>
      <c r="AL59" s="9">
        <v>0</v>
      </c>
      <c r="AM59" s="9">
        <v>2</v>
      </c>
      <c r="AN59" s="9">
        <v>0</v>
      </c>
      <c r="AO59" s="9">
        <v>0</v>
      </c>
      <c r="AP59" s="9">
        <v>2</v>
      </c>
      <c r="AQ59" s="9">
        <v>2</v>
      </c>
      <c r="AR59" s="9">
        <v>1</v>
      </c>
      <c r="AS59" s="9">
        <v>1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210"/>
      <c r="AZ59" s="9">
        <v>8</v>
      </c>
      <c r="BA59" s="9">
        <v>2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210"/>
      <c r="BH59" s="104">
        <v>10</v>
      </c>
      <c r="BI59" s="104">
        <v>0</v>
      </c>
      <c r="BJ59" s="210"/>
      <c r="BK59" s="104">
        <v>0</v>
      </c>
      <c r="BL59" s="104">
        <v>0</v>
      </c>
      <c r="BM59" s="104">
        <v>0</v>
      </c>
      <c r="BN59" s="104">
        <v>0</v>
      </c>
      <c r="BO59" s="104">
        <v>0</v>
      </c>
      <c r="BP59" s="210"/>
      <c r="BQ59" s="104">
        <f>SUM('[2]Wyoming-19 clean'!CC27)</f>
        <v>0</v>
      </c>
      <c r="BR59" s="9">
        <v>11</v>
      </c>
      <c r="BS59" s="9">
        <f>SUM('[2]Wyoming-19 clean'!CG27)</f>
        <v>0</v>
      </c>
      <c r="BT59" s="9">
        <f>SUM('[2]Wyoming-19 clean'!CI27)</f>
        <v>0</v>
      </c>
      <c r="BU59" s="9">
        <f>SUM('[2]Wyoming-19 clean'!CJ27)</f>
        <v>0</v>
      </c>
      <c r="BV59" s="9">
        <f>SUM('[2]Wyoming-19 clean'!CK27)</f>
        <v>0</v>
      </c>
      <c r="BW59" s="9">
        <v>1</v>
      </c>
      <c r="BX59" s="9">
        <v>269</v>
      </c>
      <c r="BY59" s="9">
        <f>SUM('[2]Wyoming-19 clean'!CP27)</f>
        <v>0</v>
      </c>
      <c r="BZ59" s="9">
        <v>1</v>
      </c>
      <c r="CA59" s="9">
        <v>220</v>
      </c>
      <c r="CB59" s="9">
        <f>SUM('[2]Wyoming-19 clean'!CU27)</f>
        <v>0</v>
      </c>
      <c r="CC59" s="9">
        <f>SUM('[2]Wyoming-19 clean'!CV27)</f>
        <v>0</v>
      </c>
      <c r="CD59" s="210"/>
    </row>
    <row r="61" spans="1:82" s="96" customFormat="1">
      <c r="C61" s="121"/>
      <c r="D61" s="121"/>
      <c r="E61" s="121"/>
      <c r="F61" s="148"/>
      <c r="H61" s="149"/>
      <c r="I61" s="31"/>
      <c r="J61" s="31"/>
      <c r="K61" s="31"/>
      <c r="L61" s="31"/>
      <c r="M61" s="31"/>
      <c r="N61" s="31"/>
      <c r="O61" s="31"/>
      <c r="R61" s="150"/>
      <c r="S61" s="150"/>
      <c r="T61" s="150"/>
      <c r="U61" s="150"/>
      <c r="V61" s="150"/>
      <c r="W61" s="150"/>
      <c r="X61" s="150"/>
      <c r="AH61" s="110"/>
      <c r="AI61" s="121"/>
      <c r="AJ61" s="121"/>
      <c r="AK61" s="121"/>
      <c r="AL61" s="121"/>
      <c r="AM61" s="110"/>
      <c r="AN61" s="110"/>
      <c r="AO61" s="110"/>
      <c r="AP61" s="110"/>
      <c r="AQ61" s="110"/>
      <c r="AS61" s="110"/>
      <c r="AT61" s="121"/>
      <c r="AU61" s="121"/>
      <c r="AV61" s="121"/>
      <c r="AW61" s="110"/>
      <c r="AX61" s="110"/>
      <c r="BD61" s="121"/>
      <c r="BE61" s="121"/>
      <c r="BF61" s="121"/>
      <c r="BH61" s="121"/>
      <c r="BI61" s="121"/>
      <c r="BK61" s="121"/>
      <c r="BL61" s="121"/>
      <c r="BM61" s="121"/>
      <c r="BN61" s="121"/>
      <c r="BO61" s="121"/>
      <c r="BQ61" s="121"/>
      <c r="BR61" s="121"/>
      <c r="BS61" s="121"/>
      <c r="BT61" s="121"/>
      <c r="BU61" s="121"/>
      <c r="BV61" s="121"/>
      <c r="BW61" s="121"/>
      <c r="BX61" s="99"/>
      <c r="BY61" s="99"/>
      <c r="BZ61" s="121"/>
      <c r="CA61" s="121"/>
      <c r="CB61" s="121"/>
      <c r="CC61" s="121"/>
    </row>
    <row r="62" spans="1:82" s="96" customFormat="1">
      <c r="C62" s="121"/>
      <c r="D62" s="121"/>
      <c r="E62" s="121"/>
      <c r="F62" s="148"/>
      <c r="H62" s="149"/>
      <c r="I62" s="31"/>
      <c r="J62" s="31"/>
      <c r="K62" s="31"/>
      <c r="L62" s="31"/>
      <c r="M62" s="31"/>
      <c r="N62" s="31"/>
      <c r="O62" s="31"/>
      <c r="R62" s="150"/>
      <c r="S62" s="150"/>
      <c r="T62" s="150"/>
      <c r="U62" s="150"/>
      <c r="V62" s="150"/>
      <c r="W62" s="150"/>
      <c r="X62" s="150"/>
      <c r="AH62" s="110"/>
      <c r="AI62" s="121"/>
      <c r="AJ62" s="121"/>
      <c r="AK62" s="121"/>
      <c r="AL62" s="121"/>
      <c r="AM62" s="110"/>
      <c r="AN62" s="110"/>
      <c r="AO62" s="110"/>
      <c r="AP62" s="110"/>
      <c r="AQ62" s="110"/>
      <c r="AS62" s="110"/>
      <c r="AT62" s="121"/>
      <c r="AU62" s="121"/>
      <c r="AV62" s="121"/>
      <c r="AW62" s="110"/>
      <c r="AX62" s="110"/>
      <c r="BD62" s="121"/>
      <c r="BE62" s="121"/>
      <c r="BF62" s="121"/>
      <c r="BH62" s="121"/>
      <c r="BI62" s="121"/>
      <c r="BK62" s="121"/>
      <c r="BL62" s="121"/>
      <c r="BM62" s="121"/>
      <c r="BN62" s="121"/>
      <c r="BO62" s="121"/>
      <c r="BQ62" s="121"/>
      <c r="BR62" s="121"/>
      <c r="BS62" s="121"/>
      <c r="BT62" s="121"/>
      <c r="BU62" s="121"/>
      <c r="BV62" s="121"/>
      <c r="BW62" s="121"/>
      <c r="BX62" s="99"/>
      <c r="BY62" s="99"/>
      <c r="BZ62" s="121"/>
      <c r="CA62" s="121"/>
      <c r="CB62" s="121"/>
      <c r="CC62" s="121"/>
    </row>
    <row r="63" spans="1:82" s="130" customFormat="1" ht="21">
      <c r="A63" s="124"/>
      <c r="B63" s="151" t="s">
        <v>1460</v>
      </c>
      <c r="C63" s="124">
        <f>SUM(C9:C62)</f>
        <v>174</v>
      </c>
      <c r="D63" s="124">
        <f>SUM(D9:D62)</f>
        <v>1186</v>
      </c>
      <c r="E63" s="124">
        <f>SUM(E9:E62)</f>
        <v>4264</v>
      </c>
      <c r="F63" s="124">
        <f>SUM(F9:F62)</f>
        <v>1480</v>
      </c>
      <c r="G63" s="124"/>
      <c r="H63" s="124">
        <f t="shared" ref="H63:P63" si="0">SUM(H9:H62)</f>
        <v>1281</v>
      </c>
      <c r="I63" s="124">
        <f t="shared" si="0"/>
        <v>103</v>
      </c>
      <c r="J63" s="124">
        <f t="shared" si="0"/>
        <v>49</v>
      </c>
      <c r="K63" s="124">
        <f t="shared" si="0"/>
        <v>17</v>
      </c>
      <c r="L63" s="124">
        <f t="shared" si="0"/>
        <v>8</v>
      </c>
      <c r="M63" s="124">
        <f t="shared" si="0"/>
        <v>1</v>
      </c>
      <c r="N63" s="124">
        <f t="shared" si="0"/>
        <v>0</v>
      </c>
      <c r="O63" s="124">
        <f t="shared" si="0"/>
        <v>0</v>
      </c>
      <c r="P63" s="124">
        <f t="shared" si="0"/>
        <v>0</v>
      </c>
      <c r="Q63" s="124"/>
      <c r="R63" s="124">
        <f t="shared" ref="R63:X63" si="1">SUM(R9:R62)</f>
        <v>345</v>
      </c>
      <c r="S63" s="124">
        <f t="shared" si="1"/>
        <v>20</v>
      </c>
      <c r="T63" s="124">
        <f t="shared" si="1"/>
        <v>205</v>
      </c>
      <c r="U63" s="124">
        <f t="shared" si="1"/>
        <v>21</v>
      </c>
      <c r="V63" s="124">
        <f t="shared" si="1"/>
        <v>858</v>
      </c>
      <c r="W63" s="124">
        <f t="shared" si="1"/>
        <v>25</v>
      </c>
      <c r="X63" s="124">
        <f t="shared" si="1"/>
        <v>130</v>
      </c>
      <c r="Y63" s="124"/>
      <c r="Z63" s="124">
        <f t="shared" ref="Z63:AF63" si="2">SUM(Z9:Z62)</f>
        <v>75</v>
      </c>
      <c r="AA63" s="124">
        <f t="shared" si="2"/>
        <v>19</v>
      </c>
      <c r="AB63" s="124">
        <f t="shared" si="2"/>
        <v>7</v>
      </c>
      <c r="AC63" s="124">
        <f t="shared" si="2"/>
        <v>10</v>
      </c>
      <c r="AD63" s="124">
        <f t="shared" si="2"/>
        <v>0</v>
      </c>
      <c r="AE63" s="124">
        <f t="shared" si="2"/>
        <v>11</v>
      </c>
      <c r="AF63" s="124">
        <f t="shared" si="2"/>
        <v>65</v>
      </c>
      <c r="AG63" s="124"/>
      <c r="AH63" s="124">
        <f t="shared" ref="AH63:AX63" si="3">SUM(AH9:AH62)</f>
        <v>1654</v>
      </c>
      <c r="AI63" s="124">
        <f t="shared" si="3"/>
        <v>71</v>
      </c>
      <c r="AJ63" s="124">
        <f t="shared" si="3"/>
        <v>28</v>
      </c>
      <c r="AK63" s="124">
        <f t="shared" si="3"/>
        <v>68</v>
      </c>
      <c r="AL63" s="124">
        <f t="shared" si="3"/>
        <v>106</v>
      </c>
      <c r="AM63" s="124">
        <f t="shared" si="3"/>
        <v>534</v>
      </c>
      <c r="AN63" s="124">
        <f t="shared" si="3"/>
        <v>514</v>
      </c>
      <c r="AO63" s="124">
        <f t="shared" si="3"/>
        <v>131</v>
      </c>
      <c r="AP63" s="124">
        <f t="shared" si="3"/>
        <v>391</v>
      </c>
      <c r="AQ63" s="124">
        <f t="shared" si="3"/>
        <v>342</v>
      </c>
      <c r="AR63" s="124">
        <f t="shared" si="3"/>
        <v>93</v>
      </c>
      <c r="AS63" s="124">
        <f t="shared" si="3"/>
        <v>165</v>
      </c>
      <c r="AT63" s="124">
        <f t="shared" si="3"/>
        <v>233</v>
      </c>
      <c r="AU63" s="124">
        <f t="shared" si="3"/>
        <v>75</v>
      </c>
      <c r="AV63" s="124">
        <f t="shared" si="3"/>
        <v>155</v>
      </c>
      <c r="AW63" s="124">
        <f t="shared" si="3"/>
        <v>109</v>
      </c>
      <c r="AX63" s="124">
        <f t="shared" si="3"/>
        <v>98</v>
      </c>
      <c r="AY63" s="124"/>
      <c r="AZ63" s="124">
        <f t="shared" ref="AZ63:BF63" si="4">SUM(AZ9:AZ62)</f>
        <v>707</v>
      </c>
      <c r="BA63" s="124">
        <f t="shared" si="4"/>
        <v>319</v>
      </c>
      <c r="BB63" s="124">
        <f t="shared" si="4"/>
        <v>37</v>
      </c>
      <c r="BC63" s="124">
        <f t="shared" si="4"/>
        <v>33</v>
      </c>
      <c r="BD63" s="124">
        <f t="shared" si="4"/>
        <v>16</v>
      </c>
      <c r="BE63" s="124">
        <f t="shared" si="4"/>
        <v>0</v>
      </c>
      <c r="BF63" s="124">
        <f t="shared" si="4"/>
        <v>320</v>
      </c>
      <c r="BG63" s="124"/>
      <c r="BH63" s="124">
        <f>SUM(BH9:BH62)</f>
        <v>1480</v>
      </c>
      <c r="BI63" s="124">
        <f>SUM(BI9:BI62)</f>
        <v>18</v>
      </c>
      <c r="BJ63" s="124"/>
      <c r="BK63" s="124">
        <f>SUM(BK9:BK62)</f>
        <v>17</v>
      </c>
      <c r="BL63" s="124">
        <f>SUM(BL9:BL62)</f>
        <v>0</v>
      </c>
      <c r="BM63" s="124">
        <f>SUM(BM9:BM62)</f>
        <v>1</v>
      </c>
      <c r="BN63" s="124">
        <f>SUM(BN9:BN62)</f>
        <v>1</v>
      </c>
      <c r="BO63" s="124">
        <f>SUM(BO9:BO62)</f>
        <v>0</v>
      </c>
      <c r="BP63" s="124"/>
      <c r="BQ63" s="124">
        <f t="shared" ref="BQ63:CC63" si="5">SUM(BQ9:BQ62)</f>
        <v>15</v>
      </c>
      <c r="BR63" s="124">
        <f t="shared" si="5"/>
        <v>2771</v>
      </c>
      <c r="BS63" s="124">
        <f t="shared" si="5"/>
        <v>131</v>
      </c>
      <c r="BT63" s="124">
        <f t="shared" si="5"/>
        <v>1</v>
      </c>
      <c r="BU63" s="124">
        <f t="shared" si="5"/>
        <v>38</v>
      </c>
      <c r="BV63" s="124">
        <f t="shared" si="5"/>
        <v>12078</v>
      </c>
      <c r="BW63" s="124">
        <f t="shared" si="5"/>
        <v>123</v>
      </c>
      <c r="BX63" s="124">
        <f t="shared" si="5"/>
        <v>78093</v>
      </c>
      <c r="BY63" s="124">
        <f t="shared" si="5"/>
        <v>16</v>
      </c>
      <c r="BZ63" s="124">
        <f t="shared" si="5"/>
        <v>53</v>
      </c>
      <c r="CA63" s="124">
        <f t="shared" si="5"/>
        <v>29049</v>
      </c>
      <c r="CB63" s="124">
        <f t="shared" si="5"/>
        <v>1</v>
      </c>
      <c r="CC63" s="124">
        <f t="shared" si="5"/>
        <v>21</v>
      </c>
      <c r="CD63" s="124"/>
    </row>
    <row r="64" spans="1:82" s="96" customFormat="1">
      <c r="C64" s="121"/>
      <c r="D64" s="121"/>
      <c r="E64" s="121"/>
      <c r="F64" s="148"/>
      <c r="H64" s="149"/>
      <c r="I64" s="31"/>
      <c r="J64" s="31"/>
      <c r="K64" s="31"/>
      <c r="L64" s="31"/>
      <c r="M64" s="31"/>
      <c r="N64" s="31"/>
      <c r="O64" s="31"/>
      <c r="R64" s="150"/>
      <c r="S64" s="150"/>
      <c r="T64" s="150"/>
      <c r="U64" s="150"/>
      <c r="V64" s="150"/>
      <c r="W64" s="150"/>
      <c r="X64" s="150"/>
      <c r="AH64" s="110"/>
      <c r="AI64" s="121"/>
      <c r="AJ64" s="121"/>
      <c r="AK64" s="121"/>
      <c r="AL64" s="121"/>
      <c r="AM64" s="110"/>
      <c r="AN64" s="110"/>
      <c r="AO64" s="110"/>
      <c r="AP64" s="110"/>
      <c r="AQ64" s="110"/>
      <c r="AS64" s="110"/>
      <c r="AT64" s="121"/>
      <c r="AU64" s="121"/>
      <c r="AV64" s="121"/>
      <c r="AW64" s="110"/>
      <c r="AX64" s="110"/>
      <c r="BD64" s="121"/>
      <c r="BE64" s="121"/>
      <c r="BF64" s="121"/>
      <c r="BH64" s="121"/>
      <c r="BI64" s="121"/>
      <c r="BK64" s="121"/>
      <c r="BL64" s="121"/>
      <c r="BM64" s="121"/>
      <c r="BN64" s="121"/>
      <c r="BO64" s="121"/>
      <c r="BQ64" s="121"/>
      <c r="BR64" s="121"/>
      <c r="BS64" s="121"/>
      <c r="BT64" s="121"/>
      <c r="BU64" s="121"/>
      <c r="BV64" s="121"/>
      <c r="BW64" s="121"/>
      <c r="BX64" s="99"/>
      <c r="BY64" s="99"/>
      <c r="BZ64" s="121"/>
      <c r="CA64" s="121"/>
      <c r="CB64" s="121"/>
      <c r="CC64" s="121"/>
    </row>
    <row r="65" spans="1:82" s="38" customFormat="1">
      <c r="C65" s="42" t="s">
        <v>191</v>
      </c>
      <c r="D65" s="137"/>
      <c r="E65" s="137"/>
      <c r="F65" s="137"/>
      <c r="G65" s="137"/>
      <c r="P65" s="137"/>
      <c r="Q65" s="137"/>
      <c r="R65" s="41" t="s">
        <v>192</v>
      </c>
      <c r="S65" s="42"/>
      <c r="T65" s="42"/>
      <c r="U65" s="42"/>
      <c r="V65" s="42"/>
      <c r="W65" s="42"/>
      <c r="X65" s="42"/>
      <c r="Y65" s="137"/>
      <c r="Z65" s="38" t="s">
        <v>193</v>
      </c>
      <c r="AG65" s="137"/>
      <c r="AH65" s="139" t="s">
        <v>1384</v>
      </c>
      <c r="AI65" s="139"/>
      <c r="AJ65" s="139"/>
      <c r="AK65" s="139"/>
      <c r="AL65" s="139"/>
      <c r="AM65" s="42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37"/>
      <c r="AZ65" s="38" t="s">
        <v>1534</v>
      </c>
      <c r="BG65" s="137"/>
      <c r="BH65" s="42"/>
      <c r="BI65" s="42" t="s">
        <v>124</v>
      </c>
      <c r="BJ65" s="137"/>
      <c r="BK65" s="41" t="s">
        <v>1386</v>
      </c>
      <c r="BL65" s="42"/>
      <c r="BM65" s="42"/>
      <c r="BN65" s="42"/>
      <c r="BO65" s="42"/>
      <c r="BP65" s="137"/>
      <c r="BQ65" s="42" t="s">
        <v>1535</v>
      </c>
      <c r="BR65" s="42" t="s">
        <v>1388</v>
      </c>
      <c r="BS65" s="42"/>
      <c r="BT65" s="42"/>
      <c r="BU65" s="142"/>
      <c r="BV65" s="142"/>
      <c r="BW65" s="137"/>
      <c r="BX65" s="137"/>
      <c r="BY65" s="137"/>
      <c r="CD65" s="137"/>
    </row>
    <row r="66" spans="1:82" s="38" customFormat="1">
      <c r="C66" s="42" t="s">
        <v>1389</v>
      </c>
      <c r="D66" s="42" t="s">
        <v>191</v>
      </c>
      <c r="E66" s="42" t="s">
        <v>124</v>
      </c>
      <c r="F66" s="42" t="s">
        <v>124</v>
      </c>
      <c r="G66" s="137"/>
      <c r="H66" s="43" t="s">
        <v>194</v>
      </c>
      <c r="I66" s="39"/>
      <c r="J66" s="39"/>
      <c r="K66" s="39"/>
      <c r="L66" s="39"/>
      <c r="M66" s="39"/>
      <c r="N66" s="39"/>
      <c r="O66" s="39"/>
      <c r="P66" s="137"/>
      <c r="Q66" s="137"/>
      <c r="R66" s="44" t="s">
        <v>20</v>
      </c>
      <c r="S66" s="44"/>
      <c r="T66" s="44"/>
      <c r="U66" s="44"/>
      <c r="V66" s="44"/>
      <c r="W66" s="44"/>
      <c r="X66" s="44"/>
      <c r="Y66" s="137"/>
      <c r="Z66" s="38" t="s">
        <v>20</v>
      </c>
      <c r="AG66" s="137"/>
      <c r="AH66" s="141" t="s">
        <v>195</v>
      </c>
      <c r="AI66" s="42" t="s">
        <v>196</v>
      </c>
      <c r="AJ66" s="42" t="s">
        <v>197</v>
      </c>
      <c r="AK66" s="42" t="s">
        <v>198</v>
      </c>
      <c r="AL66" s="42" t="s">
        <v>199</v>
      </c>
      <c r="AM66" s="141" t="s">
        <v>14</v>
      </c>
      <c r="AN66" s="141" t="s">
        <v>200</v>
      </c>
      <c r="AO66" s="42"/>
      <c r="AP66" s="141"/>
      <c r="AQ66" s="42" t="s">
        <v>201</v>
      </c>
      <c r="AR66" s="42" t="s">
        <v>202</v>
      </c>
      <c r="AS66" s="141" t="s">
        <v>203</v>
      </c>
      <c r="AT66" s="42" t="s">
        <v>204</v>
      </c>
      <c r="AU66" s="42"/>
      <c r="AV66" s="42" t="s">
        <v>205</v>
      </c>
      <c r="AW66" s="42"/>
      <c r="AX66" s="141" t="s">
        <v>206</v>
      </c>
      <c r="AY66" s="137"/>
      <c r="AZ66" s="38" t="s">
        <v>1546</v>
      </c>
      <c r="BG66" s="137"/>
      <c r="BH66" s="42" t="s">
        <v>124</v>
      </c>
      <c r="BI66" s="42" t="s">
        <v>1391</v>
      </c>
      <c r="BJ66" s="137"/>
      <c r="BK66" s="46" t="s">
        <v>209</v>
      </c>
      <c r="BL66" s="46" t="s">
        <v>210</v>
      </c>
      <c r="BM66" s="46" t="s">
        <v>211</v>
      </c>
      <c r="BN66" s="46" t="s">
        <v>212</v>
      </c>
      <c r="BO66" s="46" t="s">
        <v>213</v>
      </c>
      <c r="BP66" s="137"/>
      <c r="BQ66" s="42" t="s">
        <v>1387</v>
      </c>
      <c r="BR66" s="42" t="s">
        <v>1537</v>
      </c>
      <c r="BS66" s="42" t="s">
        <v>1538</v>
      </c>
      <c r="BT66" s="42" t="s">
        <v>21</v>
      </c>
      <c r="BU66" s="42" t="s">
        <v>21</v>
      </c>
      <c r="BV66" s="42" t="s">
        <v>21</v>
      </c>
      <c r="BW66" s="137" t="s">
        <v>22</v>
      </c>
      <c r="BX66" s="137" t="s">
        <v>22</v>
      </c>
      <c r="BY66" s="137"/>
      <c r="BZ66" s="42" t="s">
        <v>23</v>
      </c>
      <c r="CA66" s="42" t="s">
        <v>23</v>
      </c>
      <c r="CB66" s="42" t="s">
        <v>24</v>
      </c>
      <c r="CC66" s="42" t="s">
        <v>24</v>
      </c>
      <c r="CD66" s="137"/>
    </row>
    <row r="67" spans="1:82" s="47" customFormat="1" ht="17" thickBot="1">
      <c r="B67" s="47" t="s">
        <v>34</v>
      </c>
      <c r="C67" s="53" t="s">
        <v>1393</v>
      </c>
      <c r="D67" s="53" t="s">
        <v>216</v>
      </c>
      <c r="E67" s="53" t="s">
        <v>216</v>
      </c>
      <c r="F67" s="143" t="s">
        <v>2</v>
      </c>
      <c r="H67" s="49" t="s">
        <v>217</v>
      </c>
      <c r="I67" s="48" t="s">
        <v>218</v>
      </c>
      <c r="J67" s="48" t="s">
        <v>1539</v>
      </c>
      <c r="K67" s="47" t="s">
        <v>220</v>
      </c>
      <c r="L67" s="47" t="s">
        <v>101</v>
      </c>
      <c r="M67" s="47" t="s">
        <v>102</v>
      </c>
      <c r="N67" s="47" t="s">
        <v>221</v>
      </c>
      <c r="O67" s="47" t="s">
        <v>222</v>
      </c>
      <c r="P67" s="47" t="s">
        <v>223</v>
      </c>
      <c r="R67" s="51" t="s">
        <v>26</v>
      </c>
      <c r="S67" s="51" t="s">
        <v>27</v>
      </c>
      <c r="T67" s="51" t="s">
        <v>28</v>
      </c>
      <c r="U67" s="51" t="s">
        <v>29</v>
      </c>
      <c r="V67" s="51" t="s">
        <v>14</v>
      </c>
      <c r="W67" s="51" t="s">
        <v>24</v>
      </c>
      <c r="X67" s="51" t="s">
        <v>30</v>
      </c>
      <c r="Z67" s="47" t="s">
        <v>26</v>
      </c>
      <c r="AA67" s="47" t="s">
        <v>27</v>
      </c>
      <c r="AB67" s="47" t="s">
        <v>28</v>
      </c>
      <c r="AC67" s="47" t="s">
        <v>29</v>
      </c>
      <c r="AD67" s="47" t="s">
        <v>14</v>
      </c>
      <c r="AE67" s="47" t="s">
        <v>24</v>
      </c>
      <c r="AF67" s="47" t="s">
        <v>224</v>
      </c>
      <c r="AH67" s="144" t="s">
        <v>225</v>
      </c>
      <c r="AI67" s="53" t="s">
        <v>226</v>
      </c>
      <c r="AJ67" s="53" t="s">
        <v>226</v>
      </c>
      <c r="AK67" s="53" t="s">
        <v>215</v>
      </c>
      <c r="AL67" s="53" t="s">
        <v>227</v>
      </c>
      <c r="AM67" s="144" t="s">
        <v>228</v>
      </c>
      <c r="AN67" s="144" t="s">
        <v>229</v>
      </c>
      <c r="AO67" s="144" t="s">
        <v>230</v>
      </c>
      <c r="AP67" s="144" t="s">
        <v>231</v>
      </c>
      <c r="AQ67" s="53" t="s">
        <v>232</v>
      </c>
      <c r="AR67" s="53" t="s">
        <v>233</v>
      </c>
      <c r="AS67" s="144" t="s">
        <v>234</v>
      </c>
      <c r="AT67" s="53" t="s">
        <v>235</v>
      </c>
      <c r="AU67" s="53" t="s">
        <v>236</v>
      </c>
      <c r="AV67" s="53" t="s">
        <v>237</v>
      </c>
      <c r="AW67" s="144" t="s">
        <v>238</v>
      </c>
      <c r="AX67" s="144" t="s">
        <v>239</v>
      </c>
      <c r="AZ67" s="47" t="s">
        <v>4</v>
      </c>
      <c r="BA67" s="47" t="s">
        <v>1540</v>
      </c>
      <c r="BB67" s="47" t="s">
        <v>1541</v>
      </c>
      <c r="BC67" s="47" t="s">
        <v>1542</v>
      </c>
      <c r="BD67" s="53" t="s">
        <v>242</v>
      </c>
      <c r="BE67" s="53" t="s">
        <v>243</v>
      </c>
      <c r="BF67" s="53" t="s">
        <v>14</v>
      </c>
      <c r="BH67" s="53" t="s">
        <v>2</v>
      </c>
      <c r="BI67" s="53" t="s">
        <v>2</v>
      </c>
      <c r="BK67" s="53" t="s">
        <v>244</v>
      </c>
      <c r="BL67" s="53" t="s">
        <v>244</v>
      </c>
      <c r="BM67" s="53" t="s">
        <v>244</v>
      </c>
      <c r="BN67" s="53" t="s">
        <v>34</v>
      </c>
      <c r="BO67" s="53" t="s">
        <v>196</v>
      </c>
      <c r="BQ67" s="53" t="s">
        <v>1543</v>
      </c>
      <c r="BR67" s="53" t="s">
        <v>39</v>
      </c>
      <c r="BS67" s="53" t="s">
        <v>39</v>
      </c>
      <c r="BT67" s="53" t="s">
        <v>1396</v>
      </c>
      <c r="BU67" s="53" t="s">
        <v>39</v>
      </c>
      <c r="BV67" s="53" t="s">
        <v>42</v>
      </c>
      <c r="BW67" s="53" t="s">
        <v>39</v>
      </c>
      <c r="BX67" s="145" t="s">
        <v>43</v>
      </c>
      <c r="BY67" s="145" t="s">
        <v>1397</v>
      </c>
      <c r="BZ67" s="53" t="s">
        <v>39</v>
      </c>
      <c r="CA67" s="53" t="s">
        <v>42</v>
      </c>
      <c r="CB67" s="53" t="s">
        <v>45</v>
      </c>
      <c r="CC67" s="53" t="s">
        <v>42</v>
      </c>
    </row>
    <row r="70" spans="1:82" s="9" customFormat="1">
      <c r="A70" s="152"/>
      <c r="B70" s="66" t="s">
        <v>1547</v>
      </c>
      <c r="C70" s="9">
        <v>2</v>
      </c>
      <c r="D70" s="9">
        <v>1</v>
      </c>
      <c r="E70" s="9">
        <f>SUM('[2]Alberta-5 clean'!D13)</f>
        <v>5</v>
      </c>
      <c r="F70" s="9">
        <f t="shared" ref="F70:F78" si="6">SUM(BH70)</f>
        <v>3</v>
      </c>
      <c r="G70" s="210"/>
      <c r="H70" s="9">
        <f>SUM('[2]Alberta-5 clean'!E13)</f>
        <v>3</v>
      </c>
      <c r="I70" s="9">
        <f>SUM('[2]Alberta-5 clean'!F13)</f>
        <v>0</v>
      </c>
      <c r="J70" s="9">
        <f>SUM('[2]Alberta-5 clean'!G13)</f>
        <v>0</v>
      </c>
      <c r="K70" s="9">
        <f>SUM('[2]Alberta-5 clean'!H13)</f>
        <v>0</v>
      </c>
      <c r="L70" s="9">
        <f>SUM('[2]Alberta-5 clean'!I13)</f>
        <v>0</v>
      </c>
      <c r="M70" s="9">
        <f>SUM('[2]Alberta-5 clean'!J13)</f>
        <v>0</v>
      </c>
      <c r="N70" s="9">
        <f>SUM('[2]Alberta-5 clean'!K13)</f>
        <v>0</v>
      </c>
      <c r="O70" s="9">
        <f>SUM('[2]Alberta-5 clean'!L13)</f>
        <v>0</v>
      </c>
      <c r="P70" s="9">
        <f>SUM('[2]Alberta-5 clean'!M13)</f>
        <v>0</v>
      </c>
      <c r="Q70" s="210"/>
      <c r="R70" s="9">
        <f>SUM('[2]Alberta-5 clean'!R13)</f>
        <v>2</v>
      </c>
      <c r="S70" s="9">
        <f>SUM('[2]Alberta-5 clean'!S13)</f>
        <v>0</v>
      </c>
      <c r="T70" s="9">
        <f>SUM('[2]Alberta-5 clean'!T13)</f>
        <v>0</v>
      </c>
      <c r="U70" s="9">
        <f>SUM('[2]Alberta-5 clean'!U13)</f>
        <v>0</v>
      </c>
      <c r="V70" s="9">
        <f>SUM('[2]Alberta-5 clean'!V13)</f>
        <v>1</v>
      </c>
      <c r="W70" s="9">
        <f>SUM('[2]Alberta-5 clean'!W13)</f>
        <v>0</v>
      </c>
      <c r="X70" s="9">
        <f>SUM('[2]Alberta-5 clean'!X13)</f>
        <v>0</v>
      </c>
      <c r="Y70" s="210"/>
      <c r="Z70" s="9">
        <f>SUM('[2]Alberta-5 clean'!Z13)</f>
        <v>0</v>
      </c>
      <c r="AA70" s="9">
        <f>SUM('[2]Alberta-5 clean'!AA13)</f>
        <v>0</v>
      </c>
      <c r="AB70" s="9">
        <f>SUM('[2]Alberta-5 clean'!AB13)</f>
        <v>0</v>
      </c>
      <c r="AC70" s="9">
        <f>SUM('[2]Alberta-5 clean'!AC13)</f>
        <v>0</v>
      </c>
      <c r="AD70" s="9">
        <f>SUM('[2]Alberta-5 clean'!AD13)</f>
        <v>0</v>
      </c>
      <c r="AE70" s="9">
        <f>SUM('[2]Alberta-5 clean'!AE13)</f>
        <v>0</v>
      </c>
      <c r="AF70" s="9">
        <f>SUM('[2]Alberta-5 clean'!AF13)</f>
        <v>0</v>
      </c>
      <c r="AG70" s="210"/>
      <c r="AH70" s="9">
        <f>SUM('[2]Alberta-5 clean'!AI13)</f>
        <v>3</v>
      </c>
      <c r="AI70" s="9">
        <f>SUM('[2]Alberta-5 clean'!AJ13)</f>
        <v>0</v>
      </c>
      <c r="AJ70" s="9">
        <f>SUM('[2]Alberta-5 clean'!AK13)</f>
        <v>0</v>
      </c>
      <c r="AK70" s="9">
        <f>SUM('[2]Alberta-5 clean'!AL13)</f>
        <v>0</v>
      </c>
      <c r="AL70" s="9">
        <f>SUM('[2]Alberta-5 clean'!AM13)</f>
        <v>0</v>
      </c>
      <c r="AM70" s="9">
        <f>SUM('[2]Alberta-5 clean'!AN13)</f>
        <v>1</v>
      </c>
      <c r="AN70" s="9">
        <f>SUM('[2]Alberta-5 clean'!AO13)</f>
        <v>0</v>
      </c>
      <c r="AO70" s="9">
        <f>SUM('[2]Alberta-5 clean'!AP13)</f>
        <v>0</v>
      </c>
      <c r="AP70" s="9">
        <f>SUM('[2]Alberta-5 clean'!AQ13)</f>
        <v>0</v>
      </c>
      <c r="AQ70" s="9">
        <f>SUM('[2]Alberta-5 clean'!AR13)</f>
        <v>0</v>
      </c>
      <c r="AR70" s="9">
        <f>SUM('[2]Alberta-5 clean'!AS13)</f>
        <v>0</v>
      </c>
      <c r="AS70" s="9">
        <f>SUM('[2]Alberta-5 clean'!AT13)</f>
        <v>0</v>
      </c>
      <c r="AT70" s="9">
        <f>SUM('[2]Alberta-5 clean'!AU13)</f>
        <v>0</v>
      </c>
      <c r="AU70" s="9">
        <f>SUM('[2]Alberta-5 clean'!AV13)</f>
        <v>0</v>
      </c>
      <c r="AV70" s="9">
        <f>SUM('[2]Alberta-5 clean'!AW13)</f>
        <v>0</v>
      </c>
      <c r="AW70" s="9">
        <f>SUM('[2]Alberta-5 clean'!AX13)</f>
        <v>0</v>
      </c>
      <c r="AX70" s="9">
        <f>SUM('[2]Alberta-5 clean'!AY13)</f>
        <v>0</v>
      </c>
      <c r="AY70" s="210"/>
      <c r="AZ70" s="9">
        <f>SUM('[2]Alberta-5 clean'!BI13)</f>
        <v>0</v>
      </c>
      <c r="BA70" s="9">
        <f>SUM('[2]Alberta-5 clean'!BJ13)</f>
        <v>0</v>
      </c>
      <c r="BB70" s="9">
        <f>SUM('[2]Alberta-5 clean'!BK13)</f>
        <v>0</v>
      </c>
      <c r="BC70" s="9">
        <f>SUM('[2]Alberta-5 clean'!BL13)</f>
        <v>0</v>
      </c>
      <c r="BD70" s="9">
        <f>SUM('[2]Alberta-5 clean'!BM13)</f>
        <v>0</v>
      </c>
      <c r="BE70" s="9">
        <f>SUM('[2]Alberta-5 clean'!BN13)</f>
        <v>0</v>
      </c>
      <c r="BF70" s="9">
        <f>SUM('[2]Alberta-5 clean'!BO13)</f>
        <v>3</v>
      </c>
      <c r="BG70" s="210"/>
      <c r="BH70" s="9">
        <f>SUM('[2]Alberta-5 clean'!BR13)</f>
        <v>3</v>
      </c>
      <c r="BI70" s="9">
        <f>SUM('[2]Alberta-5 clean'!BT13)</f>
        <v>0</v>
      </c>
      <c r="BJ70" s="210"/>
      <c r="BK70" s="104">
        <f>SUM('[2]Alberta-5 clean'!BV13)</f>
        <v>0</v>
      </c>
      <c r="BL70" s="104">
        <f>SUM('[2]Alberta-5 clean'!BW13)</f>
        <v>0</v>
      </c>
      <c r="BM70" s="104">
        <f>SUM('[2]Alberta-5 clean'!BX13)</f>
        <v>0</v>
      </c>
      <c r="BN70" s="104">
        <f>SUM('[2]Alberta-5 clean'!BY13)</f>
        <v>0</v>
      </c>
      <c r="BO70" s="104">
        <f>SUM('[2]Alberta-5 clean'!BZ13)</f>
        <v>0</v>
      </c>
      <c r="BP70" s="210"/>
      <c r="BQ70" s="9">
        <f>SUM('[2]Alberta-5 clean'!CC13)</f>
        <v>0</v>
      </c>
      <c r="BR70" s="9">
        <f>SUM('[2]Alberta-5 clean'!CE13)</f>
        <v>4</v>
      </c>
      <c r="BS70" s="9">
        <f>SUM('[2]Alberta-5 clean'!CG13)</f>
        <v>0</v>
      </c>
      <c r="BT70" s="9">
        <f>SUM('[2]Alberta-5 clean'!CI13)</f>
        <v>0</v>
      </c>
      <c r="BU70" s="9">
        <f>SUM('[2]Alberta-5 clean'!CJ13)</f>
        <v>0</v>
      </c>
      <c r="BV70" s="9">
        <f>SUM('[2]Alberta-5 clean'!CK13)</f>
        <v>0</v>
      </c>
      <c r="BW70" s="9">
        <f>SUM('[2]Alberta-5 clean'!CM13)</f>
        <v>0</v>
      </c>
      <c r="BX70" s="9">
        <f>SUM('[2]Alberta-5 clean'!CN13)</f>
        <v>0</v>
      </c>
      <c r="BY70" s="9">
        <f>SUM('[2]Alberta-5 clean'!CP13)</f>
        <v>0</v>
      </c>
      <c r="BZ70" s="9">
        <f>SUM('[2]Alberta-5 clean'!CR13)</f>
        <v>0</v>
      </c>
      <c r="CA70" s="9">
        <f>SUM('[2]Alberta-5 clean'!CS13)</f>
        <v>0</v>
      </c>
      <c r="CB70" s="9">
        <f>SUM('[2]Alberta-5 clean'!CU13)</f>
        <v>0</v>
      </c>
      <c r="CC70" s="9">
        <f>SUM('[2]Alberta-5 clean'!CV13)</f>
        <v>0</v>
      </c>
      <c r="CD70" s="210"/>
    </row>
    <row r="71" spans="1:82" s="9" customFormat="1">
      <c r="A71" s="152"/>
      <c r="B71" s="9" t="s">
        <v>1462</v>
      </c>
      <c r="C71" s="9">
        <v>9</v>
      </c>
      <c r="D71" s="9">
        <v>44</v>
      </c>
      <c r="E71" s="9">
        <f>SUM('[2]British Columbia-123 clean'!D134)</f>
        <v>123</v>
      </c>
      <c r="F71" s="147">
        <f t="shared" si="6"/>
        <v>31</v>
      </c>
      <c r="G71" s="210"/>
      <c r="H71" s="9">
        <f>SUM('[2]British Columbia-123 clean'!E134)</f>
        <v>24</v>
      </c>
      <c r="I71" s="9">
        <f>SUM('[2]British Columbia-123 clean'!F134)</f>
        <v>1</v>
      </c>
      <c r="J71" s="9">
        <f>SUM('[2]British Columbia-123 clean'!G134)</f>
        <v>3</v>
      </c>
      <c r="K71" s="9">
        <f>SUM('[2]British Columbia-123 clean'!H134)</f>
        <v>1</v>
      </c>
      <c r="L71" s="9">
        <f>SUM('[2]British Columbia-123 clean'!I134)</f>
        <v>0</v>
      </c>
      <c r="M71" s="9">
        <f>SUM('[2]British Columbia-123 clean'!J134)</f>
        <v>0</v>
      </c>
      <c r="N71" s="9">
        <f>SUM('[2]British Columbia-123 clean'!K134)</f>
        <v>0</v>
      </c>
      <c r="O71" s="9">
        <f>SUM('[2]British Columbia-123 clean'!L134)</f>
        <v>0</v>
      </c>
      <c r="P71" s="9">
        <f>SUM('[2]British Columbia-123 clean'!M134)</f>
        <v>0</v>
      </c>
      <c r="Q71" s="210"/>
      <c r="R71" s="9">
        <f>SUM('[2]British Columbia-123 clean'!R134)</f>
        <v>20</v>
      </c>
      <c r="S71" s="9">
        <f>SUM('[2]British Columbia-123 clean'!S134)</f>
        <v>0</v>
      </c>
      <c r="T71" s="9">
        <f>SUM('[2]British Columbia-123 clean'!T134)</f>
        <v>0</v>
      </c>
      <c r="U71" s="9">
        <f>SUM('[2]British Columbia-123 clean'!U134)</f>
        <v>3</v>
      </c>
      <c r="V71" s="9">
        <f>SUM('[2]British Columbia-123 clean'!V134)</f>
        <v>10</v>
      </c>
      <c r="W71" s="9">
        <f>SUM('[2]British Columbia-123 clean'!W134)</f>
        <v>1</v>
      </c>
      <c r="X71" s="147">
        <f>SUM('[2]British Columbia-123 clean'!X134)</f>
        <v>6</v>
      </c>
      <c r="Y71" s="210"/>
      <c r="Z71" s="9">
        <f>SUM('[2]British Columbia-123 clean'!Z134)</f>
        <v>3</v>
      </c>
      <c r="AA71" s="9">
        <f>SUM('[2]British Columbia-123 clean'!AA134)</f>
        <v>1</v>
      </c>
      <c r="AB71" s="9">
        <f>SUM('[2]British Columbia-123 clean'!AB134)</f>
        <v>0</v>
      </c>
      <c r="AC71" s="9">
        <f>SUM('[2]British Columbia-123 clean'!AC134)</f>
        <v>0</v>
      </c>
      <c r="AD71" s="9">
        <f>SUM('[2]British Columbia-123 clean'!AD134)</f>
        <v>0</v>
      </c>
      <c r="AE71" s="9">
        <f>SUM('[2]British Columbia-123 clean'!AE134)</f>
        <v>2</v>
      </c>
      <c r="AF71" s="9">
        <f>SUM('[2]British Columbia-123 clean'!AF134)</f>
        <v>2</v>
      </c>
      <c r="AG71" s="210"/>
      <c r="AH71" s="23">
        <f>SUM('[2]British Columbia-123 clean'!AI134)</f>
        <v>36</v>
      </c>
      <c r="AI71" s="23">
        <f>SUM('[2]British Columbia-123 clean'!AJ134)</f>
        <v>5</v>
      </c>
      <c r="AJ71" s="23">
        <f>SUM('[2]British Columbia-123 clean'!AK134)</f>
        <v>3</v>
      </c>
      <c r="AK71" s="23">
        <f>SUM('[2]British Columbia-123 clean'!AL134)</f>
        <v>2</v>
      </c>
      <c r="AL71" s="23">
        <f>SUM('[2]British Columbia-123 clean'!AM134)</f>
        <v>5</v>
      </c>
      <c r="AM71" s="23">
        <f>SUM('[2]British Columbia-123 clean'!AN134)</f>
        <v>15</v>
      </c>
      <c r="AN71" s="23">
        <f>SUM('[2]British Columbia-123 clean'!AO134)</f>
        <v>16</v>
      </c>
      <c r="AO71" s="23">
        <f>SUM('[2]British Columbia-123 clean'!AP134)</f>
        <v>10</v>
      </c>
      <c r="AP71" s="23">
        <f>SUM('[2]British Columbia-123 clean'!AQ134)</f>
        <v>8</v>
      </c>
      <c r="AQ71" s="23">
        <f>SUM('[2]British Columbia-123 clean'!AR134)</f>
        <v>10</v>
      </c>
      <c r="AR71" s="23">
        <f>SUM('[2]British Columbia-123 clean'!AS134)</f>
        <v>7</v>
      </c>
      <c r="AS71" s="23">
        <f>SUM('[2]British Columbia-123 clean'!AT134)</f>
        <v>3</v>
      </c>
      <c r="AT71" s="23">
        <f>SUM('[2]British Columbia-123 clean'!AU134)</f>
        <v>4</v>
      </c>
      <c r="AU71" s="23">
        <f>SUM('[2]British Columbia-123 clean'!AV134)</f>
        <v>6</v>
      </c>
      <c r="AV71" s="23">
        <f>SUM('[2]British Columbia-123 clean'!AW134)</f>
        <v>5</v>
      </c>
      <c r="AW71" s="23">
        <f>SUM('[2]British Columbia-123 clean'!AX134)</f>
        <v>6</v>
      </c>
      <c r="AX71" s="23">
        <f>SUM('[2]British Columbia-123 clean'!AY134)</f>
        <v>2</v>
      </c>
      <c r="AY71" s="210"/>
      <c r="AZ71" s="9">
        <f>SUM('[2]British Columbia-123 clean'!BI134)</f>
        <v>0</v>
      </c>
      <c r="BA71" s="9">
        <f>SUM('[2]British Columbia-123 clean'!BJ134)</f>
        <v>0</v>
      </c>
      <c r="BB71" s="9">
        <f>SUM('[2]British Columbia-123 clean'!BK134)</f>
        <v>0</v>
      </c>
      <c r="BC71" s="9">
        <f>SUM('[2]British Columbia-123 clean'!BL134)</f>
        <v>0</v>
      </c>
      <c r="BD71" s="9">
        <f>SUM('[2]British Columbia-123 clean'!BM134)</f>
        <v>0</v>
      </c>
      <c r="BE71" s="9">
        <f>SUM('[2]British Columbia-123 clean'!BN134)</f>
        <v>0</v>
      </c>
      <c r="BF71" s="9">
        <f>SUM('[2]British Columbia-123 clean'!BO134)</f>
        <v>31</v>
      </c>
      <c r="BG71" s="210"/>
      <c r="BH71" s="9">
        <f>SUM('[2]British Columbia-123 clean'!BR134)</f>
        <v>31</v>
      </c>
      <c r="BI71" s="147">
        <f>SUM('[2]British Columbia-123 clean'!BT134)</f>
        <v>1</v>
      </c>
      <c r="BJ71" s="210"/>
      <c r="BK71" s="147">
        <f>SUM('[2]British Columbia-123 clean'!BV134)</f>
        <v>1</v>
      </c>
      <c r="BL71" s="9">
        <f>SUM('[2]British Columbia-123 clean'!BW134)</f>
        <v>0</v>
      </c>
      <c r="BM71" s="9">
        <f>SUM('[2]British Columbia-123 clean'!BX134)</f>
        <v>0</v>
      </c>
      <c r="BN71" s="9">
        <f>SUM('[2]British Columbia-123 clean'!BY134)</f>
        <v>0</v>
      </c>
      <c r="BO71" s="9">
        <f>SUM('[2]British Columbia-123 clean'!BZ134)</f>
        <v>0</v>
      </c>
      <c r="BP71" s="210"/>
      <c r="BQ71" s="9">
        <f>SUM('[2]British Columbia-123 clean'!CC134)</f>
        <v>1</v>
      </c>
      <c r="BR71" s="9">
        <f>SUM('[2]British Columbia-123 clean'!CE134)</f>
        <v>91</v>
      </c>
      <c r="BS71" s="9">
        <f>SUM('[2]British Columbia-123 clean'!CG134)</f>
        <v>3</v>
      </c>
      <c r="BT71" s="9">
        <f>SUM('[2]British Columbia-123 clean'!CI134)</f>
        <v>0</v>
      </c>
      <c r="BU71" s="9">
        <f>SUM('[2]British Columbia-123 clean'!CJ134)</f>
        <v>0</v>
      </c>
      <c r="BV71" s="9">
        <f>SUM('[2]British Columbia-123 clean'!CK134)</f>
        <v>0</v>
      </c>
      <c r="BW71" s="9">
        <f>SUM('[2]British Columbia-123 clean'!CM134)</f>
        <v>7</v>
      </c>
      <c r="BX71" s="9">
        <f>SUM('[2]British Columbia-123 clean'!CN134)</f>
        <v>4194</v>
      </c>
      <c r="BY71" s="9">
        <f>SUM('[2]British Columbia-123 clean'!CP134)</f>
        <v>0</v>
      </c>
      <c r="BZ71" s="9">
        <f>SUM('[2]British Columbia-123 clean'!CR134)</f>
        <v>6</v>
      </c>
      <c r="CA71" s="9">
        <f>SUM('[2]British Columbia-123 clean'!CS134)</f>
        <v>3028</v>
      </c>
      <c r="CB71" s="9">
        <f>SUM('[2]British Columbia-123 clean'!CU134)</f>
        <v>0</v>
      </c>
      <c r="CC71" s="9">
        <f>SUM('[2]British Columbia-123 clean'!CV134)</f>
        <v>0</v>
      </c>
      <c r="CD71" s="210"/>
    </row>
    <row r="72" spans="1:82" s="9" customFormat="1">
      <c r="A72" s="152"/>
      <c r="B72" s="45" t="s">
        <v>1548</v>
      </c>
      <c r="C72" s="9">
        <v>2</v>
      </c>
      <c r="D72" s="9">
        <v>0</v>
      </c>
      <c r="E72" s="9">
        <f>SUM('[2]Manitoba-2 clean'!D8)</f>
        <v>2</v>
      </c>
      <c r="F72" s="9">
        <f t="shared" si="6"/>
        <v>2</v>
      </c>
      <c r="G72" s="210"/>
      <c r="H72" s="9">
        <f>SUM('[2]Manitoba-2 clean'!E8)</f>
        <v>2</v>
      </c>
      <c r="I72" s="9">
        <f>SUM('[2]Manitoba-2 clean'!F8)</f>
        <v>0</v>
      </c>
      <c r="J72" s="9">
        <f>SUM('[2]Manitoba-2 clean'!G8)</f>
        <v>0</v>
      </c>
      <c r="K72" s="9">
        <f>SUM('[2]Manitoba-2 clean'!H8)</f>
        <v>0</v>
      </c>
      <c r="L72" s="9">
        <f>SUM('[2]Manitoba-2 clean'!I8)</f>
        <v>0</v>
      </c>
      <c r="M72" s="9">
        <f>SUM('[2]Manitoba-2 clean'!J8)</f>
        <v>0</v>
      </c>
      <c r="N72" s="9">
        <f>SUM('[2]Manitoba-2 clean'!K8)</f>
        <v>0</v>
      </c>
      <c r="O72" s="9">
        <f>SUM('[2]Manitoba-2 clean'!L8)</f>
        <v>0</v>
      </c>
      <c r="P72" s="9">
        <f>SUM('[2]Manitoba-2 clean'!M8)</f>
        <v>0</v>
      </c>
      <c r="Q72" s="210"/>
      <c r="R72" s="9">
        <f>SUM('[2]Manitoba-2 clean'!R8)</f>
        <v>1</v>
      </c>
      <c r="S72" s="9">
        <f>SUM('[2]Manitoba-2 clean'!S8)</f>
        <v>0</v>
      </c>
      <c r="T72" s="9">
        <f>SUM('[2]Manitoba-2 clean'!T8)</f>
        <v>0</v>
      </c>
      <c r="U72" s="9">
        <f>SUM('[2]Manitoba-2 clean'!U8)</f>
        <v>1</v>
      </c>
      <c r="V72" s="9">
        <f>SUM('[2]Manitoba-2 clean'!V8)</f>
        <v>0</v>
      </c>
      <c r="W72" s="9">
        <f>SUM('[2]Manitoba-2 clean'!W8)</f>
        <v>0</v>
      </c>
      <c r="X72" s="9">
        <f>SUM('[2]Manitoba-2 clean'!X8)</f>
        <v>0</v>
      </c>
      <c r="Y72" s="210"/>
      <c r="Z72" s="9">
        <f>SUM('[2]Manitoba-2 clean'!Z8)</f>
        <v>0</v>
      </c>
      <c r="AA72" s="9">
        <f>SUM('[2]Manitoba-2 clean'!AA8)</f>
        <v>0</v>
      </c>
      <c r="AB72" s="9">
        <f>SUM('[2]Manitoba-2 clean'!AB8)</f>
        <v>0</v>
      </c>
      <c r="AC72" s="9">
        <f>SUM('[2]Manitoba-2 clean'!AC8)</f>
        <v>0</v>
      </c>
      <c r="AD72" s="9">
        <f>SUM('[2]Manitoba-2 clean'!AD8)</f>
        <v>0</v>
      </c>
      <c r="AE72" s="9">
        <f>SUM('[2]Manitoba-2 clean'!AE8)</f>
        <v>0</v>
      </c>
      <c r="AF72" s="9">
        <f>SUM('[2]Manitoba-2 clean'!AF8)</f>
        <v>0</v>
      </c>
      <c r="AG72" s="210"/>
      <c r="AH72" s="9">
        <f>SUM('[2]Manitoba-2 clean'!AI8)</f>
        <v>2</v>
      </c>
      <c r="AI72" s="9">
        <f>SUM('[2]Manitoba-2 clean'!AJ8)</f>
        <v>0</v>
      </c>
      <c r="AJ72" s="9">
        <f>SUM('[2]Manitoba-2 clean'!AK8)</f>
        <v>0</v>
      </c>
      <c r="AK72" s="9">
        <f>SUM('[2]Manitoba-2 clean'!AL8)</f>
        <v>0</v>
      </c>
      <c r="AL72" s="9">
        <f>SUM('[2]Manitoba-2 clean'!AM8)</f>
        <v>0</v>
      </c>
      <c r="AM72" s="9">
        <f>SUM('[2]Manitoba-2 clean'!AN8)</f>
        <v>0</v>
      </c>
      <c r="AN72" s="9">
        <f>SUM('[2]Manitoba-2 clean'!AO8)</f>
        <v>0</v>
      </c>
      <c r="AO72" s="9">
        <f>SUM('[2]Manitoba-2 clean'!AP8)</f>
        <v>0</v>
      </c>
      <c r="AP72" s="9">
        <f>SUM('[2]Manitoba-2 clean'!AQ8)</f>
        <v>0</v>
      </c>
      <c r="AQ72" s="9">
        <f>SUM('[2]Manitoba-2 clean'!AR8)</f>
        <v>0</v>
      </c>
      <c r="AR72" s="9">
        <f>SUM('[2]Manitoba-2 clean'!AS8)</f>
        <v>0</v>
      </c>
      <c r="AS72" s="9">
        <f>SUM('[2]Manitoba-2 clean'!AT8)</f>
        <v>0</v>
      </c>
      <c r="AT72" s="9">
        <f>SUM('[2]Manitoba-2 clean'!AU8)</f>
        <v>0</v>
      </c>
      <c r="AU72" s="9">
        <f>SUM('[2]Manitoba-2 clean'!AV8)</f>
        <v>0</v>
      </c>
      <c r="AV72" s="9">
        <f>SUM('[2]Manitoba-2 clean'!AW8)</f>
        <v>0</v>
      </c>
      <c r="AW72" s="9">
        <f>SUM('[2]Manitoba-2 clean'!AX8)</f>
        <v>0</v>
      </c>
      <c r="AX72" s="9">
        <f>SUM('[2]Manitoba-2 clean'!AY8)</f>
        <v>0</v>
      </c>
      <c r="AY72" s="210"/>
      <c r="AZ72" s="9">
        <f>SUM('[2]Manitoba-2 clean'!BI8)</f>
        <v>0</v>
      </c>
      <c r="BA72" s="9">
        <f>SUM('[2]Manitoba-2 clean'!BJ8)</f>
        <v>0</v>
      </c>
      <c r="BB72" s="9">
        <f>SUM('[2]Manitoba-2 clean'!BK8)</f>
        <v>0</v>
      </c>
      <c r="BC72" s="9">
        <f>SUM('[2]Manitoba-2 clean'!BL8)</f>
        <v>0</v>
      </c>
      <c r="BD72" s="9">
        <f>SUM('[2]Manitoba-2 clean'!BM8)</f>
        <v>0</v>
      </c>
      <c r="BE72" s="9">
        <f>SUM('[2]Manitoba-2 clean'!BN8)</f>
        <v>0</v>
      </c>
      <c r="BF72" s="9">
        <f>SUM('[2]Manitoba-2 clean'!BO8)</f>
        <v>2</v>
      </c>
      <c r="BG72" s="210"/>
      <c r="BH72" s="9">
        <f>SUM('[2]Manitoba-2 clean'!BR8)</f>
        <v>2</v>
      </c>
      <c r="BI72" s="9">
        <f>SUM('[2]Manitoba-2 clean'!BT8)</f>
        <v>0</v>
      </c>
      <c r="BJ72" s="210"/>
      <c r="BK72" s="104">
        <f>SUM('[2]Manitoba-2 clean'!BV8)</f>
        <v>0</v>
      </c>
      <c r="BL72" s="104">
        <f>SUM('[2]Manitoba-2 clean'!BW8)</f>
        <v>0</v>
      </c>
      <c r="BM72" s="104">
        <f>SUM('[2]Manitoba-2 clean'!BX8)</f>
        <v>0</v>
      </c>
      <c r="BN72" s="104">
        <f>SUM('[2]Manitoba-2 clean'!BY8)</f>
        <v>0</v>
      </c>
      <c r="BO72" s="104">
        <f>SUM('[2]Manitoba-2 clean'!BZ8)</f>
        <v>0</v>
      </c>
      <c r="BP72" s="210"/>
      <c r="BQ72" s="9">
        <f>SUM('[2]Manitoba-2 clean'!CC8)</f>
        <v>0</v>
      </c>
      <c r="BR72" s="9">
        <f>SUM('[2]Manitoba-2 clean'!CE8)</f>
        <v>2</v>
      </c>
      <c r="BS72" s="9">
        <f>SUM('[2]Manitoba-2 clean'!CG8)</f>
        <v>0</v>
      </c>
      <c r="BT72" s="9">
        <f>SUM('[2]Manitoba-2 clean'!CI8)</f>
        <v>0</v>
      </c>
      <c r="BU72" s="9">
        <f>SUM('[2]Manitoba-2 clean'!CJ8)</f>
        <v>0</v>
      </c>
      <c r="BV72" s="9">
        <f>SUM('[2]Manitoba-2 clean'!CK8)</f>
        <v>0</v>
      </c>
      <c r="BW72" s="9">
        <f>SUM('[2]Manitoba-2 clean'!CM8)</f>
        <v>0</v>
      </c>
      <c r="BX72" s="9">
        <f>SUM('[2]Manitoba-2 clean'!CN8)</f>
        <v>0</v>
      </c>
      <c r="BY72" s="9">
        <f>SUM('[2]Manitoba-2 clean'!CP8)</f>
        <v>0</v>
      </c>
      <c r="BZ72" s="9">
        <f>SUM('[2]Manitoba-2 clean'!CR8)</f>
        <v>0</v>
      </c>
      <c r="CA72" s="9">
        <f>SUM('[2]Manitoba-2 clean'!CS8)</f>
        <v>0</v>
      </c>
      <c r="CB72" s="9">
        <f>SUM('[2]Manitoba-2 clean'!CU8)</f>
        <v>0</v>
      </c>
      <c r="CC72" s="9">
        <f>SUM('[2]Manitoba-2 clean'!CV8)</f>
        <v>0</v>
      </c>
      <c r="CD72" s="210"/>
    </row>
    <row r="73" spans="1:82" s="9" customFormat="1">
      <c r="A73" s="152"/>
      <c r="B73" s="23" t="s">
        <v>1549</v>
      </c>
      <c r="C73" s="23">
        <v>0</v>
      </c>
      <c r="D73" s="23">
        <v>0</v>
      </c>
      <c r="E73" s="23">
        <f>SUM('[2]New Brunswick-4 clean'!D10)</f>
        <v>4</v>
      </c>
      <c r="F73" s="23">
        <f t="shared" si="6"/>
        <v>3</v>
      </c>
      <c r="G73" s="210"/>
      <c r="H73" s="9">
        <f>SUM('[2]New Brunswick-4 clean'!E10)</f>
        <v>3</v>
      </c>
      <c r="I73" s="9">
        <f>SUM('[2]New Brunswick-4 clean'!F10)</f>
        <v>0</v>
      </c>
      <c r="J73" s="9">
        <f>SUM('[2]New Brunswick-4 clean'!G10)</f>
        <v>0</v>
      </c>
      <c r="K73" s="9">
        <f>SUM('[2]New Brunswick-4 clean'!H10)</f>
        <v>0</v>
      </c>
      <c r="L73" s="9">
        <f>SUM('[2]New Brunswick-4 clean'!I10)</f>
        <v>0</v>
      </c>
      <c r="M73" s="9">
        <f>SUM('[2]New Brunswick-4 clean'!J10)</f>
        <v>0</v>
      </c>
      <c r="N73" s="9">
        <f>SUM('[2]New Brunswick-4 clean'!K10)</f>
        <v>0</v>
      </c>
      <c r="O73" s="9">
        <f>SUM('[2]New Brunswick-4 clean'!L10)</f>
        <v>0</v>
      </c>
      <c r="P73" s="9">
        <f>SUM('[2]New Brunswick-4 clean'!M10)</f>
        <v>0</v>
      </c>
      <c r="Q73" s="210"/>
      <c r="R73" s="9">
        <f>SUM('[2]New Brunswick-4 clean'!R10)</f>
        <v>1</v>
      </c>
      <c r="S73" s="9">
        <f>SUM('[2]New Brunswick-4 clean'!S10)</f>
        <v>0</v>
      </c>
      <c r="T73" s="9">
        <f>SUM('[2]New Brunswick-4 clean'!T10)</f>
        <v>0</v>
      </c>
      <c r="U73" s="9">
        <f>SUM('[2]New Brunswick-4 clean'!U10)</f>
        <v>0</v>
      </c>
      <c r="V73" s="9">
        <f>SUM('[2]New Brunswick-4 clean'!V10)</f>
        <v>2</v>
      </c>
      <c r="W73" s="9">
        <f>SUM('[2]New Brunswick-4 clean'!W10)</f>
        <v>0</v>
      </c>
      <c r="X73" s="9">
        <f>SUM('[2]New Brunswick-4 clean'!X10)</f>
        <v>0</v>
      </c>
      <c r="Y73" s="210"/>
      <c r="Z73" s="23">
        <f>SUM('[2]New Brunswick-4 clean'!Z10)</f>
        <v>1</v>
      </c>
      <c r="AA73" s="23">
        <f>SUM('[2]New Brunswick-4 clean'!AA10)</f>
        <v>0</v>
      </c>
      <c r="AB73" s="23">
        <f>SUM('[2]New Brunswick-4 clean'!AB10)</f>
        <v>0</v>
      </c>
      <c r="AC73" s="23">
        <f>SUM('[2]New Brunswick-4 clean'!AC10)</f>
        <v>0</v>
      </c>
      <c r="AD73" s="23">
        <f>SUM('[2]New Brunswick-4 clean'!AD10)</f>
        <v>0</v>
      </c>
      <c r="AE73" s="23">
        <f>SUM('[2]New Brunswick-4 clean'!AE10)</f>
        <v>0</v>
      </c>
      <c r="AF73" s="23">
        <f>SUM('[2]New Brunswick-4 clean'!AF10)</f>
        <v>1</v>
      </c>
      <c r="AG73" s="210"/>
      <c r="AH73" s="23">
        <f>SUM('[2]New Brunswick-4 clean'!AI10)</f>
        <v>4</v>
      </c>
      <c r="AI73" s="23">
        <f>SUM('[2]New Brunswick-4 clean'!AJ10)</f>
        <v>0</v>
      </c>
      <c r="AJ73" s="23">
        <f>SUM('[2]New Brunswick-4 clean'!AK10)</f>
        <v>0</v>
      </c>
      <c r="AK73" s="23">
        <f>SUM('[2]New Brunswick-4 clean'!AL10)</f>
        <v>0</v>
      </c>
      <c r="AL73" s="23">
        <f>SUM('[2]New Brunswick-4 clean'!AM10)</f>
        <v>0</v>
      </c>
      <c r="AM73" s="23">
        <f>SUM('[2]New Brunswick-4 clean'!AN10)</f>
        <v>0</v>
      </c>
      <c r="AN73" s="23">
        <f>SUM('[2]New Brunswick-4 clean'!AO10)</f>
        <v>0</v>
      </c>
      <c r="AO73" s="23">
        <f>SUM('[2]New Brunswick-4 clean'!AP10)</f>
        <v>0</v>
      </c>
      <c r="AP73" s="23">
        <f>SUM('[2]New Brunswick-4 clean'!AQ10)</f>
        <v>0</v>
      </c>
      <c r="AQ73" s="23">
        <f>SUM('[2]New Brunswick-4 clean'!AR10)</f>
        <v>0</v>
      </c>
      <c r="AR73" s="23">
        <f>SUM('[2]New Brunswick-4 clean'!AS10)</f>
        <v>0</v>
      </c>
      <c r="AS73" s="23">
        <f>SUM('[2]New Brunswick-4 clean'!AT10)</f>
        <v>0</v>
      </c>
      <c r="AT73" s="23">
        <f>SUM('[2]New Brunswick-4 clean'!AU10)</f>
        <v>0</v>
      </c>
      <c r="AU73" s="23">
        <f>SUM('[2]New Brunswick-4 clean'!AV10)</f>
        <v>0</v>
      </c>
      <c r="AV73" s="23">
        <f>SUM('[2]New Brunswick-4 clean'!AW10)</f>
        <v>0</v>
      </c>
      <c r="AW73" s="23">
        <f>SUM('[2]New Brunswick-4 clean'!AX10)</f>
        <v>0</v>
      </c>
      <c r="AX73" s="23">
        <f>SUM('[2]New Brunswick-4 clean'!AY10)</f>
        <v>0</v>
      </c>
      <c r="AY73" s="210"/>
      <c r="AZ73" s="23">
        <f>SUM('[2]New Brunswick-4 clean'!BI10)</f>
        <v>0</v>
      </c>
      <c r="BA73" s="23">
        <f>SUM('[2]New Brunswick-4 clean'!BJ10)</f>
        <v>0</v>
      </c>
      <c r="BB73" s="23">
        <f>SUM('[2]New Brunswick-4 clean'!BK10)</f>
        <v>0</v>
      </c>
      <c r="BC73" s="23">
        <f>SUM('[2]New Brunswick-4 clean'!BL10)</f>
        <v>0</v>
      </c>
      <c r="BD73" s="23">
        <f>SUM('[2]New Brunswick-4 clean'!BM10)</f>
        <v>0</v>
      </c>
      <c r="BE73" s="23">
        <f>SUM('[2]New Brunswick-4 clean'!BN10)</f>
        <v>0</v>
      </c>
      <c r="BF73" s="23">
        <f>SUM('[2]New Brunswick-4 clean'!BO10)</f>
        <v>3</v>
      </c>
      <c r="BG73" s="210"/>
      <c r="BH73" s="23">
        <f>SUM('[2]New Brunswick-4 clean'!BR10)</f>
        <v>3</v>
      </c>
      <c r="BI73" s="23">
        <f>SUM('[2]New Brunswick-4 clean'!BS10)</f>
        <v>0</v>
      </c>
      <c r="BJ73" s="210"/>
      <c r="BK73" s="104">
        <f>SUM('[2]New Brunswick-4 clean'!BV10)</f>
        <v>0</v>
      </c>
      <c r="BL73" s="104">
        <f>SUM('[2]New Brunswick-4 clean'!BW10)</f>
        <v>0</v>
      </c>
      <c r="BM73" s="104">
        <f>SUM('[2]New Brunswick-4 clean'!BX10)</f>
        <v>0</v>
      </c>
      <c r="BN73" s="104">
        <f>SUM('[2]New Brunswick-4 clean'!BY10)</f>
        <v>0</v>
      </c>
      <c r="BO73" s="104">
        <f>SUM('[2]New Brunswick-4 clean'!BZ10)</f>
        <v>0</v>
      </c>
      <c r="BP73" s="210"/>
      <c r="BQ73" s="23">
        <f>SUM('[2]New Brunswick-4 clean'!CC10)</f>
        <v>0</v>
      </c>
      <c r="BR73" s="23">
        <f>SUM('[2]New Brunswick-4 clean'!CE10)</f>
        <v>1</v>
      </c>
      <c r="BS73" s="23">
        <f>SUM('[2]New Brunswick-4 clean'!CG10)</f>
        <v>0</v>
      </c>
      <c r="BT73" s="23">
        <f>SUM('[2]New Brunswick-4 clean'!CI10)</f>
        <v>0</v>
      </c>
      <c r="BU73" s="23">
        <f>SUM('[2]New Brunswick-4 clean'!CJ10)</f>
        <v>0</v>
      </c>
      <c r="BV73" s="23">
        <f>SUM('[2]New Brunswick-4 clean'!CK10)</f>
        <v>0</v>
      </c>
      <c r="BW73" s="23">
        <f>SUM('[2]New Brunswick-4 clean'!CM10)</f>
        <v>0</v>
      </c>
      <c r="BX73" s="23">
        <f>SUM('[2]New Brunswick-4 clean'!CN10)</f>
        <v>0</v>
      </c>
      <c r="BY73" s="23">
        <f>SUM('[2]New Brunswick-4 clean'!CP10)</f>
        <v>0</v>
      </c>
      <c r="BZ73" s="23">
        <f>SUM('[2]New Brunswick-4 clean'!CR10)</f>
        <v>0</v>
      </c>
      <c r="CA73" s="23">
        <f>SUM('[2]New Brunswick-4 clean'!CS10)</f>
        <v>0</v>
      </c>
      <c r="CB73" s="23">
        <f>SUM('[2]New Brunswick-4 clean'!CU10)</f>
        <v>0</v>
      </c>
      <c r="CC73" s="23">
        <f>SUM('[2]New Brunswick-4 clean'!CV10)</f>
        <v>0</v>
      </c>
      <c r="CD73" s="210"/>
    </row>
    <row r="74" spans="1:82" s="9" customFormat="1">
      <c r="A74" s="152"/>
      <c r="B74" s="23" t="s">
        <v>1550</v>
      </c>
      <c r="C74" s="23">
        <v>0</v>
      </c>
      <c r="D74" s="23">
        <v>0</v>
      </c>
      <c r="E74" s="23">
        <f>SUM('[2]Nova Scotia-1 clean'!D6)</f>
        <v>1</v>
      </c>
      <c r="F74" s="23">
        <f t="shared" si="6"/>
        <v>1</v>
      </c>
      <c r="G74" s="210"/>
      <c r="H74" s="9">
        <f>SUM('[2]Nova Scotia-1 clean'!E6)</f>
        <v>1</v>
      </c>
      <c r="I74" s="9">
        <f>SUM('[2]Nova Scotia-1 clean'!F6)</f>
        <v>0</v>
      </c>
      <c r="J74" s="9">
        <f>SUM('[2]Nova Scotia-1 clean'!G6)</f>
        <v>0</v>
      </c>
      <c r="K74" s="9">
        <f>SUM('[2]Nova Scotia-1 clean'!H6)</f>
        <v>0</v>
      </c>
      <c r="L74" s="9">
        <f>SUM('[2]Nova Scotia-1 clean'!I6)</f>
        <v>0</v>
      </c>
      <c r="M74" s="9">
        <f>SUM('[2]Nova Scotia-1 clean'!J6)</f>
        <v>0</v>
      </c>
      <c r="N74" s="9">
        <f>SUM('[2]Nova Scotia-1 clean'!K6)</f>
        <v>0</v>
      </c>
      <c r="O74" s="9">
        <f>SUM('[2]Nova Scotia-1 clean'!L6)</f>
        <v>0</v>
      </c>
      <c r="P74" s="9">
        <f>SUM('[2]Nova Scotia-1 clean'!M6)</f>
        <v>0</v>
      </c>
      <c r="Q74" s="210"/>
      <c r="R74" s="9">
        <f>SUM('[2]Nova Scotia-1 clean'!R6)</f>
        <v>0</v>
      </c>
      <c r="S74" s="9">
        <f>SUM('[2]Nova Scotia-1 clean'!S6)</f>
        <v>0</v>
      </c>
      <c r="T74" s="9">
        <f>SUM('[2]Nova Scotia-1 clean'!T6)</f>
        <v>0</v>
      </c>
      <c r="U74" s="9">
        <f>SUM('[2]Nova Scotia-1 clean'!U6)</f>
        <v>0</v>
      </c>
      <c r="V74" s="9">
        <f>SUM('[2]Nova Scotia-1 clean'!V6)</f>
        <v>1</v>
      </c>
      <c r="W74" s="9">
        <f>SUM('[2]Nova Scotia-1 clean'!W6)</f>
        <v>0</v>
      </c>
      <c r="X74" s="9">
        <f>SUM('[2]Nova Scotia-1 clean'!X6)</f>
        <v>0</v>
      </c>
      <c r="Y74" s="210"/>
      <c r="Z74" s="23">
        <f>SUM('[2]Nova Scotia-1 clean'!Z6)</f>
        <v>0</v>
      </c>
      <c r="AA74" s="23">
        <f>SUM('[2]Nova Scotia-1 clean'!AA6)</f>
        <v>0</v>
      </c>
      <c r="AB74" s="23">
        <f>SUM('[2]Nova Scotia-1 clean'!AB6)</f>
        <v>0</v>
      </c>
      <c r="AC74" s="23">
        <f>SUM('[2]Nova Scotia-1 clean'!AC6)</f>
        <v>0</v>
      </c>
      <c r="AD74" s="23">
        <f>SUM('[2]Nova Scotia-1 clean'!AD6)</f>
        <v>0</v>
      </c>
      <c r="AE74" s="23">
        <f>SUM('[2]Nova Scotia-1 clean'!AE6)</f>
        <v>0</v>
      </c>
      <c r="AF74" s="23">
        <f>SUM('[2]Nova Scotia-1 clean'!AF6)</f>
        <v>0</v>
      </c>
      <c r="AG74" s="210"/>
      <c r="AH74" s="23">
        <f>SUM('[2]Nova Scotia-1 clean'!AI6)</f>
        <v>1</v>
      </c>
      <c r="AI74" s="23">
        <f>SUM('[2]Nova Scotia-1 clean'!AJ6)</f>
        <v>0</v>
      </c>
      <c r="AJ74" s="23">
        <f>SUM('[2]Nova Scotia-1 clean'!AK6)</f>
        <v>0</v>
      </c>
      <c r="AK74" s="23">
        <f>SUM('[2]Nova Scotia-1 clean'!AL6)</f>
        <v>0</v>
      </c>
      <c r="AL74" s="23">
        <f>SUM('[2]Nova Scotia-1 clean'!AM6)</f>
        <v>0</v>
      </c>
      <c r="AM74" s="23">
        <f>SUM('[2]Nova Scotia-1 clean'!AN6)</f>
        <v>0</v>
      </c>
      <c r="AN74" s="23">
        <f>SUM('[2]Nova Scotia-1 clean'!AO6)</f>
        <v>0</v>
      </c>
      <c r="AO74" s="23">
        <f>SUM('[2]Nova Scotia-1 clean'!AP6)</f>
        <v>0</v>
      </c>
      <c r="AP74" s="23">
        <f>SUM('[2]Nova Scotia-1 clean'!AQ6)</f>
        <v>0</v>
      </c>
      <c r="AQ74" s="23">
        <f>SUM('[2]Nova Scotia-1 clean'!AR6)</f>
        <v>0</v>
      </c>
      <c r="AR74" s="23">
        <f>SUM('[2]Nova Scotia-1 clean'!AS6)</f>
        <v>0</v>
      </c>
      <c r="AS74" s="23">
        <f>SUM('[2]Nova Scotia-1 clean'!AT6)</f>
        <v>0</v>
      </c>
      <c r="AT74" s="23">
        <f>SUM('[2]Nova Scotia-1 clean'!AU6)</f>
        <v>0</v>
      </c>
      <c r="AU74" s="23">
        <f>SUM('[2]Nova Scotia-1 clean'!AV6)</f>
        <v>0</v>
      </c>
      <c r="AV74" s="23">
        <f>SUM('[2]Nova Scotia-1 clean'!AW6)</f>
        <v>0</v>
      </c>
      <c r="AW74" s="23">
        <f>SUM('[2]Nova Scotia-1 clean'!AX6)</f>
        <v>0</v>
      </c>
      <c r="AX74" s="23">
        <f>SUM('[2]Nova Scotia-1 clean'!AY6)</f>
        <v>0</v>
      </c>
      <c r="AY74" s="210"/>
      <c r="AZ74" s="23">
        <f>SUM('[2]Nova Scotia-1 clean'!BI6)</f>
        <v>0</v>
      </c>
      <c r="BA74" s="23">
        <f>SUM('[2]Nova Scotia-1 clean'!BJ6)</f>
        <v>0</v>
      </c>
      <c r="BB74" s="23">
        <f>SUM('[2]Nova Scotia-1 clean'!BK6)</f>
        <v>0</v>
      </c>
      <c r="BC74" s="23">
        <f>SUM('[2]Nova Scotia-1 clean'!BL6)</f>
        <v>0</v>
      </c>
      <c r="BD74" s="23">
        <f>SUM('[2]Nova Scotia-1 clean'!BM6)</f>
        <v>0</v>
      </c>
      <c r="BE74" s="23">
        <f>SUM('[2]Nova Scotia-1 clean'!BN6)</f>
        <v>0</v>
      </c>
      <c r="BF74" s="23">
        <f>SUM('[2]Nova Scotia-1 clean'!BO6)</f>
        <v>1</v>
      </c>
      <c r="BG74" s="210"/>
      <c r="BH74" s="23">
        <f>SUM('[2]Nova Scotia-1 clean'!BR6)</f>
        <v>1</v>
      </c>
      <c r="BI74" s="23">
        <f>SUM('[2]Nova Scotia-1 clean'!BT6)</f>
        <v>0</v>
      </c>
      <c r="BJ74" s="210"/>
      <c r="BK74" s="104">
        <f>SUM('[2]Nova Scotia-1 clean'!BV6)</f>
        <v>0</v>
      </c>
      <c r="BL74" s="104">
        <f>SUM('[2]Nova Scotia-1 clean'!BW6)</f>
        <v>0</v>
      </c>
      <c r="BM74" s="104">
        <f>SUM('[2]Nova Scotia-1 clean'!BX6)</f>
        <v>0</v>
      </c>
      <c r="BN74" s="104">
        <f>SUM('[2]Nova Scotia-1 clean'!BY6)</f>
        <v>0</v>
      </c>
      <c r="BO74" s="104">
        <f>SUM('[2]Nova Scotia-1 clean'!BZ6)</f>
        <v>0</v>
      </c>
      <c r="BP74" s="210"/>
      <c r="BQ74" s="23">
        <f>SUM('[2]Nova Scotia-1 clean'!CC6)</f>
        <v>0</v>
      </c>
      <c r="BR74" s="23">
        <f>SUM('[2]Nova Scotia-1 clean'!CE6)</f>
        <v>1</v>
      </c>
      <c r="BS74" s="23">
        <f>SUM('[2]Nova Scotia-1 clean'!CG6)</f>
        <v>0</v>
      </c>
      <c r="BT74" s="23">
        <f>SUM('[2]Nova Scotia-1 clean'!CI6)</f>
        <v>0</v>
      </c>
      <c r="BU74" s="23">
        <f>SUM('[2]Nova Scotia-1 clean'!CJ6)</f>
        <v>0</v>
      </c>
      <c r="BV74" s="23">
        <f>SUM('[2]Nova Scotia-1 clean'!CK6)</f>
        <v>0</v>
      </c>
      <c r="BW74" s="23">
        <f>SUM('[2]Nova Scotia-1 clean'!CM6)</f>
        <v>0</v>
      </c>
      <c r="BX74" s="23">
        <f>SUM('[2]Nova Scotia-1 clean'!CN6)</f>
        <v>0</v>
      </c>
      <c r="BY74" s="23">
        <f>SUM('[2]Nova Scotia-1 clean'!CP6)</f>
        <v>0</v>
      </c>
      <c r="BZ74" s="23">
        <f>SUM('[2]Nova Scotia-1 clean'!CR6)</f>
        <v>0</v>
      </c>
      <c r="CA74" s="23">
        <f>SUM('[2]Nova Scotia-1 clean'!CS6)</f>
        <v>0</v>
      </c>
      <c r="CB74" s="23">
        <f>SUM('[2]Nova Scotia-1 clean'!CU6)</f>
        <v>0</v>
      </c>
      <c r="CC74" s="23">
        <f>SUM('[2]Nova Scotia-1 clean'!CV6)</f>
        <v>0</v>
      </c>
      <c r="CD74" s="210"/>
    </row>
    <row r="75" spans="1:82" s="9" customFormat="1">
      <c r="A75" s="152"/>
      <c r="B75" s="66" t="s">
        <v>1551</v>
      </c>
      <c r="C75" s="9">
        <v>0</v>
      </c>
      <c r="D75" s="9">
        <v>6</v>
      </c>
      <c r="E75" s="9">
        <f>SUM('[2]Ontario-34 clean'!D41)</f>
        <v>34</v>
      </c>
      <c r="F75" s="147">
        <f t="shared" si="6"/>
        <v>24</v>
      </c>
      <c r="G75" s="210"/>
      <c r="H75" s="9">
        <f>SUM('[2]Ontario-34 clean'!E41)</f>
        <v>23</v>
      </c>
      <c r="I75" s="9">
        <f>SUM('[2]Ontario-34 clean'!F41)</f>
        <v>1</v>
      </c>
      <c r="J75" s="9">
        <f>SUM('[2]Ontario-34 clean'!G41)</f>
        <v>0</v>
      </c>
      <c r="K75" s="9">
        <f>SUM('[2]Ontario-34 clean'!H41)</f>
        <v>0</v>
      </c>
      <c r="L75" s="9">
        <f>SUM('[2]Ontario-34 clean'!I41)</f>
        <v>0</v>
      </c>
      <c r="M75" s="9">
        <f>SUM('[2]Ontario-34 clean'!J41)</f>
        <v>0</v>
      </c>
      <c r="N75" s="9">
        <f>SUM('[2]Ontario-34 clean'!K41)</f>
        <v>0</v>
      </c>
      <c r="O75" s="9">
        <f>SUM('[2]Ontario-34 clean'!L41)</f>
        <v>0</v>
      </c>
      <c r="P75" s="9">
        <f>SUM('[2]Ontario-34 clean'!M41)</f>
        <v>0</v>
      </c>
      <c r="Q75" s="210"/>
      <c r="R75" s="9">
        <f>SUM('[2]Ontario-34 clean'!R41)</f>
        <v>2</v>
      </c>
      <c r="S75" s="9">
        <f>SUM('[2]Ontario-34 clean'!S41)</f>
        <v>2</v>
      </c>
      <c r="T75" s="9">
        <f>SUM('[2]Ontario-34 clean'!T41)</f>
        <v>1</v>
      </c>
      <c r="U75" s="9">
        <f>SUM('[2]Ontario-34 clean'!U41)</f>
        <v>0</v>
      </c>
      <c r="V75" s="9">
        <f>SUM('[2]Ontario-34 clean'!V41)</f>
        <v>17</v>
      </c>
      <c r="W75" s="9">
        <f>SUM('[2]Ontario-34 clean'!W41)</f>
        <v>2</v>
      </c>
      <c r="X75" s="9">
        <f>SUM('[2]Ontario-34 clean'!X41)</f>
        <v>2</v>
      </c>
      <c r="Y75" s="210"/>
      <c r="Z75" s="9">
        <f>SUM('[2]Ontario-34 clean'!Z41)</f>
        <v>0</v>
      </c>
      <c r="AA75" s="9">
        <f>SUM('[2]Ontario-34 clean'!AA41)</f>
        <v>0</v>
      </c>
      <c r="AB75" s="9">
        <f>SUM('[2]Ontario-34 clean'!AB41)</f>
        <v>0</v>
      </c>
      <c r="AC75" s="9">
        <f>SUM('[2]Ontario-34 clean'!AC41)</f>
        <v>0</v>
      </c>
      <c r="AD75" s="9">
        <f>SUM('[2]Ontario-34 clean'!AD41)</f>
        <v>0</v>
      </c>
      <c r="AE75" s="9">
        <f>SUM('[2]Ontario-34 clean'!AE41)</f>
        <v>0</v>
      </c>
      <c r="AF75" s="9">
        <f>SUM('[2]Ontario-34 clean'!AF41)</f>
        <v>0</v>
      </c>
      <c r="AG75" s="210"/>
      <c r="AH75" s="9">
        <f>SUM('[2]Ontario-34 clean'!AI41)</f>
        <v>24</v>
      </c>
      <c r="AI75" s="9">
        <f>SUM('[2]Ontario-34 clean'!AJ41)</f>
        <v>0</v>
      </c>
      <c r="AJ75" s="9">
        <f>SUM('[2]Ontario-34 clean'!AK41)</f>
        <v>0</v>
      </c>
      <c r="AK75" s="9">
        <f>SUM('[2]Ontario-34 clean'!AL41)</f>
        <v>0</v>
      </c>
      <c r="AL75" s="9">
        <f>SUM('[2]Ontario-34 clean'!AM41)</f>
        <v>0</v>
      </c>
      <c r="AM75" s="9">
        <f>SUM('[2]Ontario-34 clean'!AN41)</f>
        <v>1</v>
      </c>
      <c r="AN75" s="9">
        <f>SUM('[2]Ontario-34 clean'!AO41)</f>
        <v>0</v>
      </c>
      <c r="AO75" s="9">
        <f>SUM('[2]Ontario-34 clean'!AP41)</f>
        <v>1</v>
      </c>
      <c r="AP75" s="9">
        <f>SUM('[2]Ontario-34 clean'!AQ41)</f>
        <v>0</v>
      </c>
      <c r="AQ75" s="9">
        <f>SUM('[2]Ontario-34 clean'!AR41)</f>
        <v>4</v>
      </c>
      <c r="AR75" s="9">
        <f>SUM('[2]Ontario-34 clean'!AS41)</f>
        <v>0</v>
      </c>
      <c r="AS75" s="9">
        <f>SUM('[2]Ontario-34 clean'!AT41)</f>
        <v>0</v>
      </c>
      <c r="AT75" s="9">
        <f>SUM('[2]Ontario-34 clean'!AU41)</f>
        <v>3</v>
      </c>
      <c r="AU75" s="9">
        <f>SUM('[2]Ontario-34 clean'!AV41)</f>
        <v>0</v>
      </c>
      <c r="AV75" s="9">
        <f>SUM('[2]Ontario-34 clean'!AW41)</f>
        <v>0</v>
      </c>
      <c r="AW75" s="9">
        <f>SUM('[2]Ontario-34 clean'!AX41)</f>
        <v>1</v>
      </c>
      <c r="AX75" s="9">
        <f>SUM('[2]Ontario-34 clean'!AY41)</f>
        <v>1</v>
      </c>
      <c r="AY75" s="210"/>
      <c r="AZ75" s="9">
        <f>SUM('[2]Ontario-34 clean'!BI41)</f>
        <v>0</v>
      </c>
      <c r="BA75" s="9">
        <f>SUM('[2]Ontario-34 clean'!BJ41)</f>
        <v>0</v>
      </c>
      <c r="BB75" s="9">
        <f>SUM('[2]Ontario-34 clean'!BK41)</f>
        <v>0</v>
      </c>
      <c r="BC75" s="9">
        <f>SUM('[2]Ontario-34 clean'!BL41)</f>
        <v>0</v>
      </c>
      <c r="BD75" s="9">
        <f>SUM('[2]Ontario-34 clean'!BM41)</f>
        <v>0</v>
      </c>
      <c r="BE75" s="9">
        <f>SUM('[2]Ontario-34 clean'!BN41)</f>
        <v>0</v>
      </c>
      <c r="BF75" s="9">
        <f>SUM('[2]Ontario-34 clean'!BO41)</f>
        <v>24</v>
      </c>
      <c r="BG75" s="210"/>
      <c r="BH75" s="9">
        <f>SUM('[2]Ontario-34 clean'!BR41)</f>
        <v>24</v>
      </c>
      <c r="BI75" s="9">
        <f>SUM('[2]Ontario-34 clean'!BT41)</f>
        <v>0</v>
      </c>
      <c r="BJ75" s="210"/>
      <c r="BK75" s="104">
        <f>SUM('[2]Ontario-34 clean'!BV41)</f>
        <v>0</v>
      </c>
      <c r="BL75" s="104">
        <f>SUM('[2]Ontario-34 clean'!BW41)</f>
        <v>0</v>
      </c>
      <c r="BM75" s="104">
        <f>SUM('[2]Ontario-34 clean'!BX41)</f>
        <v>0</v>
      </c>
      <c r="BN75" s="104">
        <f>SUM('[2]Ontario-34 clean'!BY41)</f>
        <v>0</v>
      </c>
      <c r="BO75" s="104">
        <f>SUM('[2]Ontario-34 clean'!BZ41)</f>
        <v>0</v>
      </c>
      <c r="BP75" s="210"/>
      <c r="BQ75" s="9">
        <f>SUM('[2]Ontario-34 clean'!CC41)</f>
        <v>0</v>
      </c>
      <c r="BR75" s="9">
        <f>SUM('[2]Ontario-34 clean'!CE41)</f>
        <v>5</v>
      </c>
      <c r="BS75" s="9">
        <f>SUM('[2]Ontario-34 clean'!CG41)</f>
        <v>0</v>
      </c>
      <c r="BT75" s="9">
        <f>SUM('[2]Ontario-34 clean'!CI41)</f>
        <v>0</v>
      </c>
      <c r="BU75" s="9">
        <f>SUM('[2]Ontario-34 clean'!CJ41)</f>
        <v>0</v>
      </c>
      <c r="BV75" s="9">
        <f>SUM('[2]Ontario-34 clean'!CK41)</f>
        <v>0</v>
      </c>
      <c r="BW75" s="9">
        <f>SUM('[2]Ontario-34 clean'!CM41)</f>
        <v>0</v>
      </c>
      <c r="BX75" s="9">
        <f>SUM('[2]Ontario-34 clean'!CN41)</f>
        <v>0</v>
      </c>
      <c r="BY75" s="9">
        <f>SUM('[2]Ontario-34 clean'!CP41)</f>
        <v>0</v>
      </c>
      <c r="BZ75" s="9">
        <f>SUM('[2]Ontario-34 clean'!CR41)</f>
        <v>0</v>
      </c>
      <c r="CA75" s="9">
        <f>SUM('[2]Ontario-34 clean'!CS41)</f>
        <v>0</v>
      </c>
      <c r="CB75" s="9">
        <f>SUM('[2]Ontario-34 clean'!CU41)</f>
        <v>0</v>
      </c>
      <c r="CC75" s="9">
        <f>SUM('[2]Ontario-34 clean'!CV41)</f>
        <v>0</v>
      </c>
      <c r="CD75" s="210"/>
    </row>
    <row r="76" spans="1:82" s="23" customFormat="1">
      <c r="A76" s="152"/>
      <c r="B76" s="66" t="s">
        <v>1467</v>
      </c>
      <c r="C76" s="9">
        <v>0</v>
      </c>
      <c r="D76" s="9">
        <v>0</v>
      </c>
      <c r="E76" s="9">
        <f>SUM('[2]Quebec-2 clean'!D7)</f>
        <v>2</v>
      </c>
      <c r="F76" s="9">
        <f t="shared" si="6"/>
        <v>2</v>
      </c>
      <c r="G76" s="210"/>
      <c r="H76" s="9">
        <f>SUM('[2]Quebec-2 clean'!E7)</f>
        <v>2</v>
      </c>
      <c r="I76" s="9">
        <f>SUM('[2]Quebec-2 clean'!F7)</f>
        <v>0</v>
      </c>
      <c r="J76" s="9">
        <f>SUM('[2]Quebec-2 clean'!G7)</f>
        <v>0</v>
      </c>
      <c r="K76" s="9">
        <f>SUM('[2]Quebec-2 clean'!H7)</f>
        <v>0</v>
      </c>
      <c r="L76" s="9">
        <f>SUM('[2]Quebec-2 clean'!I7)</f>
        <v>0</v>
      </c>
      <c r="M76" s="9">
        <f>SUM('[2]Quebec-2 clean'!J7)</f>
        <v>0</v>
      </c>
      <c r="N76" s="9">
        <f>SUM('[2]Quebec-2 clean'!K7)</f>
        <v>0</v>
      </c>
      <c r="O76" s="9">
        <f>SUM('[2]Quebec-2 clean'!L7)</f>
        <v>0</v>
      </c>
      <c r="P76" s="9">
        <f>SUM('[2]Quebec-2 clean'!M7)</f>
        <v>0</v>
      </c>
      <c r="Q76" s="210"/>
      <c r="R76" s="9">
        <f>SUM('[2]Quebec-2 clean'!R7)</f>
        <v>0</v>
      </c>
      <c r="S76" s="9">
        <f>SUM('[2]Quebec-2 clean'!S7)</f>
        <v>0</v>
      </c>
      <c r="T76" s="9">
        <f>SUM('[2]Quebec-2 clean'!T7)</f>
        <v>0</v>
      </c>
      <c r="U76" s="9">
        <f>SUM('[2]Quebec-2 clean'!U7)</f>
        <v>0</v>
      </c>
      <c r="V76" s="9">
        <f>SUM('[2]Quebec-2 clean'!V7)</f>
        <v>2</v>
      </c>
      <c r="W76" s="9">
        <f>SUM('[2]Quebec-2 clean'!W7)</f>
        <v>0</v>
      </c>
      <c r="X76" s="9">
        <f>SUM('[2]Quebec-2 clean'!X7)</f>
        <v>0</v>
      </c>
      <c r="Y76" s="210"/>
      <c r="Z76" s="9">
        <f>SUM('[2]Quebec-2 clean'!Z7)</f>
        <v>0</v>
      </c>
      <c r="AA76" s="9">
        <f>SUM('[2]Quebec-2 clean'!AA7)</f>
        <v>0</v>
      </c>
      <c r="AB76" s="9">
        <f>SUM('[2]Quebec-2 clean'!AB7)</f>
        <v>0</v>
      </c>
      <c r="AC76" s="9">
        <f>SUM('[2]Quebec-2 clean'!AC7)</f>
        <v>0</v>
      </c>
      <c r="AD76" s="9">
        <f>SUM('[2]Quebec-2 clean'!AD7)</f>
        <v>0</v>
      </c>
      <c r="AE76" s="9">
        <f>SUM('[2]Quebec-2 clean'!AE7)</f>
        <v>0</v>
      </c>
      <c r="AF76" s="9">
        <f>SUM('[2]Quebec-2 clean'!AF7)</f>
        <v>0</v>
      </c>
      <c r="AG76" s="210"/>
      <c r="AH76" s="9">
        <f>SUM('[2]Quebec-2 clean'!AI7)</f>
        <v>2</v>
      </c>
      <c r="AI76" s="9">
        <f>SUM('[2]Quebec-2 clean'!AJ7)</f>
        <v>0</v>
      </c>
      <c r="AJ76" s="9">
        <f>SUM('[2]Quebec-2 clean'!AK7)</f>
        <v>0</v>
      </c>
      <c r="AK76" s="9">
        <f>SUM('[2]Quebec-2 clean'!AL7)</f>
        <v>0</v>
      </c>
      <c r="AL76" s="9">
        <f>SUM('[2]Quebec-2 clean'!AM7)</f>
        <v>0</v>
      </c>
      <c r="AM76" s="9">
        <f>SUM('[2]Quebec-2 clean'!AN7)</f>
        <v>0</v>
      </c>
      <c r="AN76" s="9">
        <f>SUM('[2]Quebec-2 clean'!AO7)</f>
        <v>0</v>
      </c>
      <c r="AO76" s="9">
        <f>SUM('[2]Quebec-2 clean'!AP7)</f>
        <v>0</v>
      </c>
      <c r="AP76" s="9">
        <f>SUM('[2]Quebec-2 clean'!AQ7)</f>
        <v>0</v>
      </c>
      <c r="AQ76" s="9">
        <f>SUM('[2]Quebec-2 clean'!AR7)</f>
        <v>0</v>
      </c>
      <c r="AR76" s="9">
        <f>SUM('[2]Quebec-2 clean'!AS7)</f>
        <v>0</v>
      </c>
      <c r="AS76" s="9">
        <f>SUM('[2]Quebec-2 clean'!AT7)</f>
        <v>0</v>
      </c>
      <c r="AT76" s="9">
        <f>SUM('[2]Quebec-2 clean'!AU7)</f>
        <v>0</v>
      </c>
      <c r="AU76" s="9">
        <f>SUM('[2]Quebec-2 clean'!AV7)</f>
        <v>0</v>
      </c>
      <c r="AV76" s="9">
        <f>SUM('[2]Quebec-2 clean'!AW7)</f>
        <v>0</v>
      </c>
      <c r="AW76" s="9">
        <f>SUM('[2]Quebec-2 clean'!AX7)</f>
        <v>0</v>
      </c>
      <c r="AX76" s="9">
        <f>SUM('[2]Quebec-2 clean'!AY7)</f>
        <v>0</v>
      </c>
      <c r="AY76" s="210"/>
      <c r="AZ76" s="9">
        <f>SUM('[2]Quebec-2 clean'!BI7)</f>
        <v>0</v>
      </c>
      <c r="BA76" s="9">
        <f>SUM('[2]Quebec-2 clean'!BJ7)</f>
        <v>0</v>
      </c>
      <c r="BB76" s="9">
        <f>SUM('[2]Quebec-2 clean'!BK7)</f>
        <v>0</v>
      </c>
      <c r="BC76" s="9">
        <f>SUM('[2]Quebec-2 clean'!BL7)</f>
        <v>0</v>
      </c>
      <c r="BD76" s="9">
        <f>SUM('[2]Quebec-2 clean'!BM7)</f>
        <v>0</v>
      </c>
      <c r="BE76" s="9">
        <f>SUM('[2]Quebec-2 clean'!BN7)</f>
        <v>0</v>
      </c>
      <c r="BF76" s="9">
        <f>SUM('[2]Quebec-2 clean'!BO7)</f>
        <v>2</v>
      </c>
      <c r="BG76" s="210"/>
      <c r="BH76" s="9">
        <f>SUM('[2]Quebec-2 clean'!BR7)</f>
        <v>2</v>
      </c>
      <c r="BI76" s="9">
        <f>SUM('[2]Quebec-2 clean'!BT7)</f>
        <v>0</v>
      </c>
      <c r="BJ76" s="210"/>
      <c r="BK76" s="104">
        <f>SUM('[2]Quebec-2 clean'!BV7)</f>
        <v>0</v>
      </c>
      <c r="BL76" s="104">
        <f>SUM('[2]Quebec-2 clean'!BW7)</f>
        <v>0</v>
      </c>
      <c r="BM76" s="104">
        <f>SUM('[2]Quebec-2 clean'!BX7)</f>
        <v>0</v>
      </c>
      <c r="BN76" s="104">
        <f>SUM('[2]Quebec-2 clean'!BY7)</f>
        <v>0</v>
      </c>
      <c r="BO76" s="104">
        <f>SUM('[2]Quebec-2 clean'!BZ7)</f>
        <v>0</v>
      </c>
      <c r="BP76" s="210"/>
      <c r="BQ76" s="9">
        <f>SUM('[2]Quebec-2 clean'!CC7)</f>
        <v>0</v>
      </c>
      <c r="BR76" s="9">
        <f>SUM('[2]Quebec-2 clean'!CE7)</f>
        <v>2</v>
      </c>
      <c r="BS76" s="9">
        <f>SUM('[2]Quebec-2 clean'!CG7)</f>
        <v>0</v>
      </c>
      <c r="BT76" s="9">
        <f>SUM('[2]Quebec-2 clean'!CI7)</f>
        <v>0</v>
      </c>
      <c r="BU76" s="9">
        <f>SUM('[2]Quebec-2 clean'!CJ7)</f>
        <v>0</v>
      </c>
      <c r="BV76" s="9">
        <f>SUM('[2]Quebec-2 clean'!CK7)</f>
        <v>0</v>
      </c>
      <c r="BW76" s="9">
        <f>SUM('[2]Quebec-2 clean'!CM7)</f>
        <v>0</v>
      </c>
      <c r="BX76" s="9">
        <f>SUM('[2]Quebec-2 clean'!CN7)</f>
        <v>0</v>
      </c>
      <c r="BY76" s="9">
        <f>SUM('[2]Quebec-2 clean'!CP7)</f>
        <v>0</v>
      </c>
      <c r="BZ76" s="9">
        <f>SUM('[2]Quebec-2 clean'!CR7)</f>
        <v>0</v>
      </c>
      <c r="CA76" s="9">
        <f>SUM('[2]Quebec-2 clean'!CS7)</f>
        <v>0</v>
      </c>
      <c r="CB76" s="9">
        <f>SUM('[2]Quebec-2 clean'!CU7)</f>
        <v>0</v>
      </c>
      <c r="CC76" s="9">
        <f>SUM('[2]Quebec-2 clean'!CV7)</f>
        <v>0</v>
      </c>
      <c r="CD76" s="210"/>
    </row>
    <row r="77" spans="1:82" s="23" customFormat="1">
      <c r="A77" s="152"/>
      <c r="B77" s="23" t="s">
        <v>1552</v>
      </c>
      <c r="C77" s="9">
        <v>1</v>
      </c>
      <c r="D77" s="9">
        <v>2</v>
      </c>
      <c r="E77" s="9">
        <f>SUM('[2]Saskatchewan-17 clean'!D26)</f>
        <v>17</v>
      </c>
      <c r="F77" s="9">
        <f t="shared" si="6"/>
        <v>11</v>
      </c>
      <c r="G77" s="210"/>
      <c r="H77" s="9">
        <f>SUM('[2]Saskatchewan-17 clean'!E26)</f>
        <v>11</v>
      </c>
      <c r="I77" s="9">
        <f>SUM('[2]Saskatchewan-17 clean'!F26)</f>
        <v>0</v>
      </c>
      <c r="J77" s="9">
        <f>SUM('[2]Saskatchewan-17 clean'!G26)</f>
        <v>0</v>
      </c>
      <c r="K77" s="9">
        <f>SUM('[2]Saskatchewan-17 clean'!H26)</f>
        <v>0</v>
      </c>
      <c r="L77" s="9">
        <f>SUM('[2]Saskatchewan-17 clean'!I26)</f>
        <v>0</v>
      </c>
      <c r="M77" s="9">
        <f>SUM('[2]Saskatchewan-17 clean'!J26)</f>
        <v>0</v>
      </c>
      <c r="N77" s="9">
        <f>SUM('[2]Saskatchewan-17 clean'!K26)</f>
        <v>0</v>
      </c>
      <c r="O77" s="9">
        <f>SUM('[2]Saskatchewan-17 clean'!L26)</f>
        <v>0</v>
      </c>
      <c r="P77" s="9">
        <f>SUM('[2]Saskatchewan-17 clean'!M26)</f>
        <v>0</v>
      </c>
      <c r="Q77" s="210"/>
      <c r="R77" s="9">
        <f>SUM('[2]Saskatchewan-17 clean'!R26)</f>
        <v>3</v>
      </c>
      <c r="S77" s="9">
        <f>SUM('[2]Saskatchewan-17 clean'!S26)</f>
        <v>0</v>
      </c>
      <c r="T77" s="9">
        <f>SUM('[2]Saskatchewan-17 clean'!T26)</f>
        <v>0</v>
      </c>
      <c r="U77" s="9">
        <f>SUM('[2]Saskatchewan-17 clean'!U26)</f>
        <v>0</v>
      </c>
      <c r="V77" s="9">
        <f>SUM('[2]Saskatchewan-17 clean'!V26)</f>
        <v>8</v>
      </c>
      <c r="W77" s="9">
        <f>SUM('[2]Saskatchewan-17 clean'!W26)</f>
        <v>0</v>
      </c>
      <c r="X77" s="9">
        <f>SUM('[2]Saskatchewan-17 clean'!X26)</f>
        <v>1</v>
      </c>
      <c r="Y77" s="210"/>
      <c r="Z77" s="9">
        <f>SUM('[2]Saskatchewan-17 clean'!Z26)</f>
        <v>0</v>
      </c>
      <c r="AA77" s="9">
        <f>SUM('[2]Saskatchewan-17 clean'!AA26)</f>
        <v>0</v>
      </c>
      <c r="AB77" s="9">
        <f>SUM('[2]Saskatchewan-17 clean'!AB26)</f>
        <v>0</v>
      </c>
      <c r="AC77" s="9">
        <f>SUM('[2]Saskatchewan-17 clean'!AC26)</f>
        <v>0</v>
      </c>
      <c r="AD77" s="9">
        <f>SUM('[2]Saskatchewan-17 clean'!AD26)</f>
        <v>0</v>
      </c>
      <c r="AE77" s="9">
        <f>SUM('[2]Saskatchewan-17 clean'!AE26)</f>
        <v>0</v>
      </c>
      <c r="AF77" s="9">
        <f>SUM('[2]Saskatchewan-17 clean'!AF26)</f>
        <v>0</v>
      </c>
      <c r="AG77" s="210"/>
      <c r="AH77" s="9">
        <f>SUM('[2]Saskatchewan-17 clean'!AI26)</f>
        <v>12</v>
      </c>
      <c r="AI77" s="9">
        <f>SUM('[2]Saskatchewan-17 clean'!AJ26)</f>
        <v>0</v>
      </c>
      <c r="AJ77" s="9">
        <f>SUM('[2]Saskatchewan-17 clean'!AK26)</f>
        <v>0</v>
      </c>
      <c r="AK77" s="9">
        <f>SUM('[2]Saskatchewan-17 clean'!AL26)</f>
        <v>0</v>
      </c>
      <c r="AL77" s="9">
        <f>SUM('[2]Saskatchewan-17 clean'!AM26)</f>
        <v>0</v>
      </c>
      <c r="AM77" s="9">
        <f>SUM('[2]Saskatchewan-17 clean'!AN26)</f>
        <v>1</v>
      </c>
      <c r="AN77" s="9">
        <f>SUM('[2]Saskatchewan-17 clean'!AO26)</f>
        <v>1</v>
      </c>
      <c r="AO77" s="9">
        <f>SUM('[2]Saskatchewan-17 clean'!AP26)</f>
        <v>0</v>
      </c>
      <c r="AP77" s="9">
        <f>SUM('[2]Saskatchewan-17 clean'!AQ26)</f>
        <v>1</v>
      </c>
      <c r="AQ77" s="9">
        <f>SUM('[2]Saskatchewan-17 clean'!AR26)</f>
        <v>0</v>
      </c>
      <c r="AR77" s="9">
        <f>SUM('[2]Saskatchewan-17 clean'!AS26)</f>
        <v>0</v>
      </c>
      <c r="AS77" s="9">
        <f>SUM('[2]Saskatchewan-17 clean'!AT26)</f>
        <v>0</v>
      </c>
      <c r="AT77" s="9">
        <f>SUM('[2]Saskatchewan-17 clean'!AU26)</f>
        <v>2</v>
      </c>
      <c r="AU77" s="9">
        <f>SUM('[2]Saskatchewan-17 clean'!AV26)</f>
        <v>0</v>
      </c>
      <c r="AV77" s="9">
        <f>SUM('[2]Saskatchewan-17 clean'!AW26)</f>
        <v>0</v>
      </c>
      <c r="AW77" s="9">
        <f>SUM('[2]Saskatchewan-17 clean'!AX26)</f>
        <v>0</v>
      </c>
      <c r="AX77" s="9">
        <f>SUM('[2]Saskatchewan-17 clean'!AY26)</f>
        <v>0</v>
      </c>
      <c r="AY77" s="210"/>
      <c r="AZ77" s="9">
        <f>SUM('[2]Saskatchewan-17 clean'!BI26)</f>
        <v>0</v>
      </c>
      <c r="BA77" s="9">
        <f>SUM('[2]Saskatchewan-17 clean'!BJ26)</f>
        <v>0</v>
      </c>
      <c r="BB77" s="9">
        <f>SUM('[2]Saskatchewan-17 clean'!BK26)</f>
        <v>0</v>
      </c>
      <c r="BC77" s="9">
        <f>SUM('[2]Saskatchewan-17 clean'!BL26)</f>
        <v>0</v>
      </c>
      <c r="BD77" s="9">
        <f>SUM('[2]Saskatchewan-17 clean'!BM26)</f>
        <v>0</v>
      </c>
      <c r="BE77" s="9">
        <f>SUM('[2]Saskatchewan-17 clean'!BN26)</f>
        <v>0</v>
      </c>
      <c r="BF77" s="9">
        <f>SUM('[2]Saskatchewan-17 clean'!BO26)</f>
        <v>11</v>
      </c>
      <c r="BG77" s="210"/>
      <c r="BH77" s="9">
        <f>SUM('[2]Saskatchewan-17 clean'!BR26)</f>
        <v>11</v>
      </c>
      <c r="BI77" s="9">
        <f>SUM('[2]Saskatchewan-17 clean'!BT26)</f>
        <v>0</v>
      </c>
      <c r="BJ77" s="210"/>
      <c r="BK77" s="104">
        <f>SUM('[2]Saskatchewan-17 clean'!BV26)</f>
        <v>0</v>
      </c>
      <c r="BL77" s="104">
        <f>SUM('[2]Saskatchewan-17 clean'!BW26)</f>
        <v>0</v>
      </c>
      <c r="BM77" s="104">
        <f>SUM('[2]Saskatchewan-17 clean'!BX26)</f>
        <v>0</v>
      </c>
      <c r="BN77" s="104">
        <f>SUM('[2]Saskatchewan-17 clean'!BY26)</f>
        <v>0</v>
      </c>
      <c r="BO77" s="104">
        <f>SUM('[2]Saskatchewan-17 clean'!BZ26)</f>
        <v>0</v>
      </c>
      <c r="BP77" s="210"/>
      <c r="BQ77" s="9">
        <f>SUM('[2]Saskatchewan-17 clean'!CC26)</f>
        <v>0</v>
      </c>
      <c r="BR77" s="9">
        <f>SUM('[2]Saskatchewan-17 clean'!CE26)</f>
        <v>9</v>
      </c>
      <c r="BS77" s="9">
        <f>SUM('[2]Saskatchewan-17 clean'!CG26)</f>
        <v>0</v>
      </c>
      <c r="BT77" s="9">
        <f>SUM('[2]Saskatchewan-17 clean'!CI26)</f>
        <v>0</v>
      </c>
      <c r="BU77" s="9">
        <f>SUM('[2]Saskatchewan-17 clean'!CJ26)</f>
        <v>0</v>
      </c>
      <c r="BV77" s="9">
        <f>SUM('[2]Saskatchewan-17 clean'!CK26)</f>
        <v>0</v>
      </c>
      <c r="BW77" s="9">
        <f>SUM('[2]Saskatchewan-17 clean'!CM26)</f>
        <v>0</v>
      </c>
      <c r="BX77" s="9">
        <f>SUM('[2]Saskatchewan-17 clean'!CN26)</f>
        <v>0</v>
      </c>
      <c r="BY77" s="9">
        <f>SUM('[2]Saskatchewan-17 clean'!CP26)</f>
        <v>1</v>
      </c>
      <c r="BZ77" s="9">
        <f>SUM('[2]Saskatchewan-17 clean'!CR26)</f>
        <v>0</v>
      </c>
      <c r="CA77" s="9">
        <f>SUM('[2]Saskatchewan-17 clean'!CS26)</f>
        <v>0</v>
      </c>
      <c r="CB77" s="9">
        <f>SUM('[2]Saskatchewan-17 clean'!CU26)</f>
        <v>0</v>
      </c>
      <c r="CC77" s="9">
        <f>SUM('[2]Saskatchewan-17 clean'!CV26)</f>
        <v>0</v>
      </c>
      <c r="CD77" s="210"/>
    </row>
    <row r="78" spans="1:82" s="23" customFormat="1">
      <c r="A78" s="152"/>
      <c r="B78" s="23" t="s">
        <v>1553</v>
      </c>
      <c r="C78" s="23">
        <v>1</v>
      </c>
      <c r="D78" s="23">
        <v>1</v>
      </c>
      <c r="E78" s="23">
        <f>SUM('[2]Yukon-2 clean'!D7)</f>
        <v>2</v>
      </c>
      <c r="F78" s="23">
        <f t="shared" si="6"/>
        <v>1</v>
      </c>
      <c r="G78" s="210"/>
      <c r="H78" s="9">
        <f>SUM('[2]Yukon-2 clean'!E7)</f>
        <v>1</v>
      </c>
      <c r="I78" s="9">
        <f>SUM('[2]Yukon-2 clean'!F7)</f>
        <v>0</v>
      </c>
      <c r="J78" s="9">
        <f>SUM('[2]Yukon-2 clean'!G7)</f>
        <v>0</v>
      </c>
      <c r="K78" s="9">
        <f>SUM('[2]Yukon-2 clean'!H7)</f>
        <v>0</v>
      </c>
      <c r="L78" s="9">
        <f>SUM('[2]Yukon-2 clean'!I7)</f>
        <v>0</v>
      </c>
      <c r="M78" s="9">
        <f>SUM('[2]Yukon-2 clean'!J7)</f>
        <v>0</v>
      </c>
      <c r="N78" s="9">
        <f>SUM('[2]Yukon-2 clean'!K7)</f>
        <v>0</v>
      </c>
      <c r="O78" s="9">
        <f>SUM('[2]Yukon-2 clean'!L7)</f>
        <v>0</v>
      </c>
      <c r="P78" s="9">
        <f>SUM('[2]Yukon-2 clean'!M7)</f>
        <v>0</v>
      </c>
      <c r="Q78" s="210"/>
      <c r="R78" s="9">
        <f>SUM('[2]Yukon-2 clean'!R7)</f>
        <v>1</v>
      </c>
      <c r="S78" s="9">
        <f>SUM('[2]Yukon-2 clean'!S7)</f>
        <v>0</v>
      </c>
      <c r="T78" s="9">
        <f>SUM('[2]Yukon-2 clean'!T7)</f>
        <v>0</v>
      </c>
      <c r="U78" s="9">
        <f>SUM('[2]Yukon-2 clean'!U7)</f>
        <v>0</v>
      </c>
      <c r="V78" s="9">
        <f>SUM('[2]Yukon-2 clean'!V7)</f>
        <v>0</v>
      </c>
      <c r="W78" s="9">
        <f>SUM('[2]Yukon-2 clean'!W7)</f>
        <v>0</v>
      </c>
      <c r="X78" s="9">
        <f>SUM('[2]Yukon-2 clean'!X7)</f>
        <v>0</v>
      </c>
      <c r="Y78" s="210"/>
      <c r="Z78" s="23">
        <f>SUM('[2]Yukon-2 clean'!Z7)</f>
        <v>0</v>
      </c>
      <c r="AA78" s="23">
        <f>SUM('[2]Yukon-2 clean'!AA7)</f>
        <v>0</v>
      </c>
      <c r="AB78" s="23">
        <f>SUM('[2]Yukon-2 clean'!AB7)</f>
        <v>0</v>
      </c>
      <c r="AC78" s="23">
        <f>SUM('[2]Yukon-2 clean'!AC7)</f>
        <v>0</v>
      </c>
      <c r="AD78" s="23">
        <f>SUM('[2]Yukon-2 clean'!AD7)</f>
        <v>0</v>
      </c>
      <c r="AE78" s="23">
        <f>SUM('[2]Yukon-2 clean'!AE7)</f>
        <v>0</v>
      </c>
      <c r="AF78" s="23">
        <f>SUM('[2]Yukon-2 clean'!AF7)</f>
        <v>0</v>
      </c>
      <c r="AG78" s="210"/>
      <c r="AH78" s="23">
        <f>SUM('[2]Yukon-2 clean'!AI7)</f>
        <v>1</v>
      </c>
      <c r="AI78" s="23">
        <f>SUM('[2]Yukon-2 clean'!AJ7)</f>
        <v>0</v>
      </c>
      <c r="AJ78" s="23">
        <f>SUM('[2]Yukon-2 clean'!AK7)</f>
        <v>0</v>
      </c>
      <c r="AK78" s="23">
        <f>SUM('[2]Yukon-2 clean'!AL7)</f>
        <v>0</v>
      </c>
      <c r="AL78" s="23">
        <f>SUM('[2]Yukon-2 clean'!AM7)</f>
        <v>0</v>
      </c>
      <c r="AM78" s="23">
        <f>SUM('[2]Yukon-2 clean'!AN7)</f>
        <v>0</v>
      </c>
      <c r="AN78" s="23">
        <f>SUM('[2]Yukon-2 clean'!AO7)</f>
        <v>0</v>
      </c>
      <c r="AO78" s="23">
        <f>SUM('[2]Yukon-2 clean'!AP7)</f>
        <v>0</v>
      </c>
      <c r="AP78" s="23">
        <f>SUM('[2]Yukon-2 clean'!AQ7)</f>
        <v>0</v>
      </c>
      <c r="AQ78" s="23">
        <f>SUM('[2]Yukon-2 clean'!AR7)</f>
        <v>0</v>
      </c>
      <c r="AR78" s="23">
        <f>SUM('[2]Yukon-2 clean'!AS7)</f>
        <v>0</v>
      </c>
      <c r="AS78" s="23">
        <f>SUM('[2]Yukon-2 clean'!AT7)</f>
        <v>0</v>
      </c>
      <c r="AT78" s="23">
        <f>SUM('[2]Yukon-2 clean'!AU7)</f>
        <v>1</v>
      </c>
      <c r="AU78" s="23">
        <f>SUM('[2]Yukon-2 clean'!AV7)</f>
        <v>0</v>
      </c>
      <c r="AV78" s="23">
        <f>SUM('[2]Yukon-2 clean'!AW7)</f>
        <v>0</v>
      </c>
      <c r="AW78" s="23">
        <f>SUM('[2]Yukon-2 clean'!AX7)</f>
        <v>0</v>
      </c>
      <c r="AX78" s="23">
        <f>SUM('[2]Yukon-2 clean'!AY7)</f>
        <v>0</v>
      </c>
      <c r="AY78" s="210"/>
      <c r="AZ78" s="23">
        <f>SUM('[2]Yukon-2 clean'!BI7)</f>
        <v>1</v>
      </c>
      <c r="BA78" s="23">
        <f>SUM('[2]Yukon-2 clean'!BJ7)</f>
        <v>0</v>
      </c>
      <c r="BB78" s="23">
        <f>SUM('[2]Yukon-2 clean'!BK7)</f>
        <v>0</v>
      </c>
      <c r="BC78" s="23">
        <f>SUM('[2]Yukon-2 clean'!BL7)</f>
        <v>0</v>
      </c>
      <c r="BD78" s="23">
        <f>SUM('[2]Yukon-2 clean'!BM7)</f>
        <v>0</v>
      </c>
      <c r="BE78" s="23">
        <f>SUM('[2]Yukon-2 clean'!BN7)</f>
        <v>0</v>
      </c>
      <c r="BF78" s="23">
        <f>SUM('[2]Yukon-2 clean'!BO7)</f>
        <v>0</v>
      </c>
      <c r="BG78" s="210"/>
      <c r="BH78" s="23">
        <f>SUM('[2]Yukon-2 clean'!BR7)</f>
        <v>1</v>
      </c>
      <c r="BI78" s="23">
        <f>SUM('[2]Yukon-2 clean'!BT7)</f>
        <v>0</v>
      </c>
      <c r="BJ78" s="210"/>
      <c r="BK78" s="104">
        <f>SUM('[2]Yukon-2 clean'!BV7)</f>
        <v>0</v>
      </c>
      <c r="BL78" s="104">
        <f>SUM('[2]Yukon-2 clean'!BW7)</f>
        <v>0</v>
      </c>
      <c r="BM78" s="104">
        <f>SUM('[2]Yukon-2 clean'!BX7)</f>
        <v>0</v>
      </c>
      <c r="BN78" s="104">
        <f>SUM('[2]Yukon-2 clean'!BY7)</f>
        <v>0</v>
      </c>
      <c r="BO78" s="104">
        <f>SUM('[2]Yukon-2 clean'!BZ7)</f>
        <v>0</v>
      </c>
      <c r="BP78" s="210"/>
      <c r="BQ78" s="23">
        <f>SUM('[2]Yukon-2 clean'!CC7)</f>
        <v>0</v>
      </c>
      <c r="BR78" s="23">
        <f>SUM('[2]Yukon-2 clean'!CE7)</f>
        <v>0</v>
      </c>
      <c r="BS78" s="23">
        <f>SUM('[2]Yukon-2 clean'!CG7)</f>
        <v>0</v>
      </c>
      <c r="BT78" s="23">
        <f>SUM('[2]Yukon-2 clean'!CI7)</f>
        <v>0</v>
      </c>
      <c r="BU78" s="23">
        <f>SUM('[2]Yukon-2 clean'!CJ7)</f>
        <v>0</v>
      </c>
      <c r="BV78" s="23">
        <f>SUM('[2]Yukon-2 clean'!CK7)</f>
        <v>0</v>
      </c>
      <c r="BW78" s="23">
        <f>SUM('[2]Yukon-2 clean'!CM7)</f>
        <v>0</v>
      </c>
      <c r="BX78" s="23">
        <f>SUM('[2]Yukon-2 clean'!CN7)</f>
        <v>0</v>
      </c>
      <c r="BY78" s="23">
        <f>SUM('[2]Yukon-2 clean'!CP7)</f>
        <v>0</v>
      </c>
      <c r="BZ78" s="23">
        <f>SUM('[2]Yukon-2 clean'!CR7)</f>
        <v>0</v>
      </c>
      <c r="CA78" s="23">
        <f>SUM('[2]Yukon-2 clean'!CS7)</f>
        <v>0</v>
      </c>
      <c r="CB78" s="23">
        <f>SUM('[2]Yukon-2 clean'!CU7)</f>
        <v>0</v>
      </c>
      <c r="CC78" s="23">
        <f>SUM('[2]Yukon-2 clean'!CV7)</f>
        <v>0</v>
      </c>
      <c r="CD78" s="210"/>
    </row>
    <row r="82" spans="1:82" ht="21">
      <c r="A82" s="151"/>
      <c r="B82" s="151" t="s">
        <v>1554</v>
      </c>
      <c r="C82" s="124">
        <f>SUM(C70:C81)</f>
        <v>15</v>
      </c>
      <c r="D82" s="124">
        <f>SUM(D70:D81)</f>
        <v>54</v>
      </c>
      <c r="E82" s="124">
        <f>SUM(E70:E81)</f>
        <v>190</v>
      </c>
      <c r="F82" s="124">
        <f>SUM(F70:F81)</f>
        <v>78</v>
      </c>
      <c r="G82" s="151"/>
      <c r="H82" s="124">
        <f t="shared" ref="H82:P82" si="7">SUM(H70:H81)</f>
        <v>70</v>
      </c>
      <c r="I82" s="124">
        <f t="shared" si="7"/>
        <v>2</v>
      </c>
      <c r="J82" s="124">
        <f t="shared" si="7"/>
        <v>3</v>
      </c>
      <c r="K82" s="124">
        <f t="shared" si="7"/>
        <v>1</v>
      </c>
      <c r="L82" s="124">
        <f t="shared" si="7"/>
        <v>0</v>
      </c>
      <c r="M82" s="124">
        <f t="shared" si="7"/>
        <v>0</v>
      </c>
      <c r="N82" s="124">
        <f t="shared" si="7"/>
        <v>0</v>
      </c>
      <c r="O82" s="124">
        <f t="shared" si="7"/>
        <v>0</v>
      </c>
      <c r="P82" s="124">
        <f t="shared" si="7"/>
        <v>0</v>
      </c>
      <c r="Q82" s="151"/>
      <c r="R82" s="124">
        <f t="shared" ref="R82:X82" si="8">SUM(R70:R81)</f>
        <v>30</v>
      </c>
      <c r="S82" s="124">
        <f t="shared" si="8"/>
        <v>2</v>
      </c>
      <c r="T82" s="124">
        <f t="shared" si="8"/>
        <v>1</v>
      </c>
      <c r="U82" s="124">
        <f t="shared" si="8"/>
        <v>4</v>
      </c>
      <c r="V82" s="124">
        <f t="shared" si="8"/>
        <v>41</v>
      </c>
      <c r="W82" s="124">
        <f t="shared" si="8"/>
        <v>3</v>
      </c>
      <c r="X82" s="124">
        <f t="shared" si="8"/>
        <v>9</v>
      </c>
      <c r="Y82" s="151"/>
      <c r="Z82" s="124">
        <f t="shared" ref="Z82:AF82" si="9">SUM(Z70:Z81)</f>
        <v>4</v>
      </c>
      <c r="AA82" s="124">
        <f t="shared" si="9"/>
        <v>1</v>
      </c>
      <c r="AB82" s="124">
        <f t="shared" si="9"/>
        <v>0</v>
      </c>
      <c r="AC82" s="124">
        <f t="shared" si="9"/>
        <v>0</v>
      </c>
      <c r="AD82" s="124">
        <f t="shared" si="9"/>
        <v>0</v>
      </c>
      <c r="AE82" s="124">
        <f t="shared" si="9"/>
        <v>2</v>
      </c>
      <c r="AF82" s="124">
        <f t="shared" si="9"/>
        <v>3</v>
      </c>
      <c r="AG82" s="151"/>
      <c r="AH82" s="124">
        <f t="shared" ref="AH82:AX82" si="10">SUM(AH70:AH81)</f>
        <v>85</v>
      </c>
      <c r="AI82" s="124">
        <f t="shared" si="10"/>
        <v>5</v>
      </c>
      <c r="AJ82" s="124">
        <f t="shared" si="10"/>
        <v>3</v>
      </c>
      <c r="AK82" s="124">
        <f t="shared" si="10"/>
        <v>2</v>
      </c>
      <c r="AL82" s="124">
        <f t="shared" si="10"/>
        <v>5</v>
      </c>
      <c r="AM82" s="124">
        <f t="shared" si="10"/>
        <v>18</v>
      </c>
      <c r="AN82" s="124">
        <f t="shared" si="10"/>
        <v>17</v>
      </c>
      <c r="AO82" s="124">
        <f t="shared" si="10"/>
        <v>11</v>
      </c>
      <c r="AP82" s="124">
        <f t="shared" si="10"/>
        <v>9</v>
      </c>
      <c r="AQ82" s="124">
        <f t="shared" si="10"/>
        <v>14</v>
      </c>
      <c r="AR82" s="124">
        <f t="shared" si="10"/>
        <v>7</v>
      </c>
      <c r="AS82" s="124">
        <f t="shared" si="10"/>
        <v>3</v>
      </c>
      <c r="AT82" s="124">
        <f t="shared" si="10"/>
        <v>10</v>
      </c>
      <c r="AU82" s="124">
        <f t="shared" si="10"/>
        <v>6</v>
      </c>
      <c r="AV82" s="124">
        <f t="shared" si="10"/>
        <v>5</v>
      </c>
      <c r="AW82" s="124">
        <f t="shared" si="10"/>
        <v>7</v>
      </c>
      <c r="AX82" s="124">
        <f t="shared" si="10"/>
        <v>3</v>
      </c>
      <c r="AY82" s="151"/>
      <c r="AZ82" s="124">
        <f t="shared" ref="AZ82:BF82" si="11">SUM(AZ70:AZ81)</f>
        <v>1</v>
      </c>
      <c r="BA82" s="124">
        <f t="shared" si="11"/>
        <v>0</v>
      </c>
      <c r="BB82" s="124">
        <f t="shared" si="11"/>
        <v>0</v>
      </c>
      <c r="BC82" s="124">
        <f t="shared" si="11"/>
        <v>0</v>
      </c>
      <c r="BD82" s="124">
        <f t="shared" si="11"/>
        <v>0</v>
      </c>
      <c r="BE82" s="124">
        <f t="shared" si="11"/>
        <v>0</v>
      </c>
      <c r="BF82" s="124">
        <f t="shared" si="11"/>
        <v>77</v>
      </c>
      <c r="BG82" s="151"/>
      <c r="BH82" s="124">
        <f>SUM(BH70:BH81)</f>
        <v>78</v>
      </c>
      <c r="BI82" s="124">
        <f>SUM(BI70:BI81)</f>
        <v>1</v>
      </c>
      <c r="BJ82" s="151"/>
      <c r="BK82" s="124">
        <f>SUM(BK70:BK81)</f>
        <v>1</v>
      </c>
      <c r="BL82" s="124">
        <f>SUM(BL70:BL81)</f>
        <v>0</v>
      </c>
      <c r="BM82" s="124">
        <f>SUM(BM70:BM81)</f>
        <v>0</v>
      </c>
      <c r="BN82" s="124">
        <f>SUM(BN70:BN81)</f>
        <v>0</v>
      </c>
      <c r="BO82" s="124">
        <f>SUM(BO70:BO81)</f>
        <v>0</v>
      </c>
      <c r="BP82" s="151"/>
      <c r="BQ82" s="124">
        <f t="shared" ref="BQ82:CC82" si="12">SUM(BQ70:BQ81)</f>
        <v>1</v>
      </c>
      <c r="BR82" s="124">
        <f t="shared" si="12"/>
        <v>115</v>
      </c>
      <c r="BS82" s="124">
        <f t="shared" si="12"/>
        <v>3</v>
      </c>
      <c r="BT82" s="124">
        <f t="shared" si="12"/>
        <v>0</v>
      </c>
      <c r="BU82" s="124">
        <f t="shared" si="12"/>
        <v>0</v>
      </c>
      <c r="BV82" s="124">
        <f t="shared" si="12"/>
        <v>0</v>
      </c>
      <c r="BW82" s="124">
        <f t="shared" si="12"/>
        <v>7</v>
      </c>
      <c r="BX82" s="124">
        <f t="shared" si="12"/>
        <v>4194</v>
      </c>
      <c r="BY82" s="124">
        <f t="shared" si="12"/>
        <v>1</v>
      </c>
      <c r="BZ82" s="124">
        <f t="shared" si="12"/>
        <v>6</v>
      </c>
      <c r="CA82" s="124">
        <f t="shared" si="12"/>
        <v>3028</v>
      </c>
      <c r="CB82" s="124">
        <f t="shared" si="12"/>
        <v>0</v>
      </c>
      <c r="CC82" s="124">
        <f t="shared" si="12"/>
        <v>0</v>
      </c>
      <c r="CD82" s="151"/>
    </row>
    <row r="85" spans="1:82" s="153" customFormat="1" ht="21">
      <c r="A85" s="151"/>
      <c r="B85" s="151" t="s">
        <v>1477</v>
      </c>
      <c r="C85" s="124">
        <f>SUM(C63, C82)</f>
        <v>189</v>
      </c>
      <c r="D85" s="124">
        <f>SUM(D63, D82)</f>
        <v>1240</v>
      </c>
      <c r="E85" s="124">
        <f>SUM(E63, E82)</f>
        <v>4454</v>
      </c>
      <c r="F85" s="124">
        <f>SUM(F63, F82)</f>
        <v>1558</v>
      </c>
      <c r="G85" s="124"/>
      <c r="H85" s="124">
        <f t="shared" ref="H85:P85" si="13">SUM(H63, H82)</f>
        <v>1351</v>
      </c>
      <c r="I85" s="124">
        <f t="shared" si="13"/>
        <v>105</v>
      </c>
      <c r="J85" s="124">
        <f t="shared" si="13"/>
        <v>52</v>
      </c>
      <c r="K85" s="124">
        <f t="shared" si="13"/>
        <v>18</v>
      </c>
      <c r="L85" s="124">
        <f t="shared" si="13"/>
        <v>8</v>
      </c>
      <c r="M85" s="124">
        <f t="shared" si="13"/>
        <v>1</v>
      </c>
      <c r="N85" s="124">
        <f t="shared" si="13"/>
        <v>0</v>
      </c>
      <c r="O85" s="124">
        <f t="shared" si="13"/>
        <v>0</v>
      </c>
      <c r="P85" s="124">
        <f t="shared" si="13"/>
        <v>0</v>
      </c>
      <c r="Q85" s="124"/>
      <c r="R85" s="124">
        <f t="shared" ref="R85:X85" si="14">SUM(R63, R82)</f>
        <v>375</v>
      </c>
      <c r="S85" s="124">
        <f t="shared" si="14"/>
        <v>22</v>
      </c>
      <c r="T85" s="124">
        <f t="shared" si="14"/>
        <v>206</v>
      </c>
      <c r="U85" s="124">
        <f t="shared" si="14"/>
        <v>25</v>
      </c>
      <c r="V85" s="124">
        <f t="shared" si="14"/>
        <v>899</v>
      </c>
      <c r="W85" s="124">
        <f t="shared" si="14"/>
        <v>28</v>
      </c>
      <c r="X85" s="124">
        <f t="shared" si="14"/>
        <v>139</v>
      </c>
      <c r="Y85" s="124"/>
      <c r="Z85" s="124">
        <f t="shared" ref="Z85:AF85" si="15">SUM(Z63, Z82)</f>
        <v>79</v>
      </c>
      <c r="AA85" s="124">
        <f t="shared" si="15"/>
        <v>20</v>
      </c>
      <c r="AB85" s="124">
        <f t="shared" si="15"/>
        <v>7</v>
      </c>
      <c r="AC85" s="124">
        <f t="shared" si="15"/>
        <v>10</v>
      </c>
      <c r="AD85" s="124">
        <f t="shared" si="15"/>
        <v>0</v>
      </c>
      <c r="AE85" s="124">
        <f t="shared" si="15"/>
        <v>13</v>
      </c>
      <c r="AF85" s="124">
        <f t="shared" si="15"/>
        <v>68</v>
      </c>
      <c r="AG85" s="124"/>
      <c r="AH85" s="124">
        <f t="shared" ref="AH85:AX85" si="16">SUM(AH63, AH82)</f>
        <v>1739</v>
      </c>
      <c r="AI85" s="124">
        <f t="shared" si="16"/>
        <v>76</v>
      </c>
      <c r="AJ85" s="124">
        <f t="shared" si="16"/>
        <v>31</v>
      </c>
      <c r="AK85" s="124">
        <f t="shared" si="16"/>
        <v>70</v>
      </c>
      <c r="AL85" s="124">
        <f t="shared" si="16"/>
        <v>111</v>
      </c>
      <c r="AM85" s="124">
        <f t="shared" si="16"/>
        <v>552</v>
      </c>
      <c r="AN85" s="124">
        <f t="shared" si="16"/>
        <v>531</v>
      </c>
      <c r="AO85" s="124">
        <f t="shared" si="16"/>
        <v>142</v>
      </c>
      <c r="AP85" s="124">
        <f t="shared" si="16"/>
        <v>400</v>
      </c>
      <c r="AQ85" s="124">
        <f t="shared" si="16"/>
        <v>356</v>
      </c>
      <c r="AR85" s="124">
        <f t="shared" si="16"/>
        <v>100</v>
      </c>
      <c r="AS85" s="124">
        <f t="shared" si="16"/>
        <v>168</v>
      </c>
      <c r="AT85" s="124">
        <f t="shared" si="16"/>
        <v>243</v>
      </c>
      <c r="AU85" s="124">
        <f t="shared" si="16"/>
        <v>81</v>
      </c>
      <c r="AV85" s="124">
        <f t="shared" si="16"/>
        <v>160</v>
      </c>
      <c r="AW85" s="124">
        <f t="shared" si="16"/>
        <v>116</v>
      </c>
      <c r="AX85" s="124">
        <f t="shared" si="16"/>
        <v>101</v>
      </c>
      <c r="AY85" s="124"/>
      <c r="AZ85" s="124">
        <f t="shared" ref="AZ85:BF85" si="17">SUM(AZ63, AZ82)</f>
        <v>708</v>
      </c>
      <c r="BA85" s="124">
        <f t="shared" si="17"/>
        <v>319</v>
      </c>
      <c r="BB85" s="124">
        <f t="shared" si="17"/>
        <v>37</v>
      </c>
      <c r="BC85" s="124">
        <f t="shared" si="17"/>
        <v>33</v>
      </c>
      <c r="BD85" s="124">
        <f t="shared" si="17"/>
        <v>16</v>
      </c>
      <c r="BE85" s="124">
        <f t="shared" si="17"/>
        <v>0</v>
      </c>
      <c r="BF85" s="124">
        <f t="shared" si="17"/>
        <v>397</v>
      </c>
      <c r="BG85" s="124"/>
      <c r="BH85" s="124">
        <f>SUM(BH63, BH82)</f>
        <v>1558</v>
      </c>
      <c r="BI85" s="124">
        <f>SUM(BI63, BI82)</f>
        <v>19</v>
      </c>
      <c r="BJ85" s="124"/>
      <c r="BK85" s="124">
        <f>SUM(BK63, BK82)</f>
        <v>18</v>
      </c>
      <c r="BL85" s="124">
        <f>SUM(BL63, BL82)</f>
        <v>0</v>
      </c>
      <c r="BM85" s="124">
        <f>SUM(BM63, BM82)</f>
        <v>1</v>
      </c>
      <c r="BN85" s="124">
        <f>SUM(BN63, BN82)</f>
        <v>1</v>
      </c>
      <c r="BO85" s="124">
        <f>SUM(BO63, BO82)</f>
        <v>0</v>
      </c>
      <c r="BP85" s="124"/>
      <c r="BQ85" s="124">
        <f t="shared" ref="BQ85:CC85" si="18">SUM(BQ63, BQ82)</f>
        <v>16</v>
      </c>
      <c r="BR85" s="124">
        <f t="shared" si="18"/>
        <v>2886</v>
      </c>
      <c r="BS85" s="124">
        <f t="shared" si="18"/>
        <v>134</v>
      </c>
      <c r="BT85" s="124">
        <f t="shared" si="18"/>
        <v>1</v>
      </c>
      <c r="BU85" s="124">
        <f t="shared" si="18"/>
        <v>38</v>
      </c>
      <c r="BV85" s="124">
        <f t="shared" si="18"/>
        <v>12078</v>
      </c>
      <c r="BW85" s="124">
        <f t="shared" si="18"/>
        <v>130</v>
      </c>
      <c r="BX85" s="124">
        <f t="shared" si="18"/>
        <v>82287</v>
      </c>
      <c r="BY85" s="124">
        <f t="shared" si="18"/>
        <v>17</v>
      </c>
      <c r="BZ85" s="124">
        <f t="shared" si="18"/>
        <v>59</v>
      </c>
      <c r="CA85" s="124">
        <f t="shared" si="18"/>
        <v>32077</v>
      </c>
      <c r="CB85" s="124">
        <f t="shared" si="18"/>
        <v>1</v>
      </c>
      <c r="CC85" s="124">
        <f t="shared" si="18"/>
        <v>21</v>
      </c>
      <c r="CD85" s="124"/>
    </row>
    <row r="88" spans="1:82" s="38" customFormat="1">
      <c r="C88" s="42" t="s">
        <v>191</v>
      </c>
      <c r="D88" s="137"/>
      <c r="E88" s="137"/>
      <c r="F88" s="137"/>
      <c r="G88" s="137"/>
      <c r="P88" s="137"/>
      <c r="Q88" s="137"/>
      <c r="R88" s="41" t="s">
        <v>192</v>
      </c>
      <c r="S88" s="42"/>
      <c r="T88" s="42"/>
      <c r="U88" s="42"/>
      <c r="V88" s="42"/>
      <c r="W88" s="42"/>
      <c r="X88" s="42"/>
      <c r="Y88" s="137"/>
      <c r="Z88" s="38" t="s">
        <v>193</v>
      </c>
      <c r="AG88" s="137"/>
      <c r="AH88" s="139" t="s">
        <v>1384</v>
      </c>
      <c r="AI88" s="139"/>
      <c r="AJ88" s="139"/>
      <c r="AK88" s="139"/>
      <c r="AL88" s="139"/>
      <c r="AM88" s="42"/>
      <c r="AN88" s="141"/>
      <c r="AO88" s="141"/>
      <c r="AP88" s="141"/>
      <c r="AQ88" s="141"/>
      <c r="AR88" s="141"/>
      <c r="AS88" s="141"/>
      <c r="AT88" s="141"/>
      <c r="AU88" s="141"/>
      <c r="AV88" s="141"/>
      <c r="AW88" s="141"/>
      <c r="AX88" s="141"/>
      <c r="AY88" s="137"/>
      <c r="AZ88" s="38" t="s">
        <v>1534</v>
      </c>
      <c r="BG88" s="137"/>
      <c r="BH88" s="42"/>
      <c r="BI88" s="42" t="s">
        <v>124</v>
      </c>
      <c r="BJ88" s="137"/>
      <c r="BK88" s="41" t="s">
        <v>1386</v>
      </c>
      <c r="BL88" s="42"/>
      <c r="BM88" s="42"/>
      <c r="BN88" s="42"/>
      <c r="BO88" s="42"/>
      <c r="BP88" s="137"/>
      <c r="BQ88" s="42" t="s">
        <v>1535</v>
      </c>
      <c r="BR88" s="42" t="s">
        <v>1388</v>
      </c>
      <c r="BS88" s="42"/>
      <c r="BT88" s="42"/>
      <c r="BU88" s="142"/>
      <c r="BV88" s="142"/>
      <c r="BW88" s="137"/>
      <c r="BX88" s="137"/>
      <c r="BY88" s="137"/>
      <c r="CD88" s="137"/>
    </row>
    <row r="89" spans="1:82" s="38" customFormat="1">
      <c r="C89" s="42" t="s">
        <v>1389</v>
      </c>
      <c r="D89" s="42" t="s">
        <v>191</v>
      </c>
      <c r="E89" s="42" t="s">
        <v>124</v>
      </c>
      <c r="F89" s="42" t="s">
        <v>124</v>
      </c>
      <c r="G89" s="137"/>
      <c r="H89" s="43" t="s">
        <v>194</v>
      </c>
      <c r="I89" s="39"/>
      <c r="J89" s="39"/>
      <c r="K89" s="39"/>
      <c r="L89" s="39"/>
      <c r="M89" s="39"/>
      <c r="N89" s="39"/>
      <c r="O89" s="39"/>
      <c r="P89" s="137"/>
      <c r="Q89" s="137"/>
      <c r="R89" s="44" t="s">
        <v>20</v>
      </c>
      <c r="S89" s="44"/>
      <c r="T89" s="44"/>
      <c r="U89" s="44"/>
      <c r="V89" s="44"/>
      <c r="W89" s="44"/>
      <c r="X89" s="44"/>
      <c r="Y89" s="137"/>
      <c r="Z89" s="38" t="s">
        <v>20</v>
      </c>
      <c r="AG89" s="137"/>
      <c r="AH89" s="141" t="s">
        <v>195</v>
      </c>
      <c r="AI89" s="42" t="s">
        <v>196</v>
      </c>
      <c r="AJ89" s="42" t="s">
        <v>197</v>
      </c>
      <c r="AK89" s="42" t="s">
        <v>198</v>
      </c>
      <c r="AL89" s="42" t="s">
        <v>199</v>
      </c>
      <c r="AM89" s="141" t="s">
        <v>14</v>
      </c>
      <c r="AN89" s="141" t="s">
        <v>200</v>
      </c>
      <c r="AO89" s="42"/>
      <c r="AP89" s="141"/>
      <c r="AQ89" s="42" t="s">
        <v>201</v>
      </c>
      <c r="AR89" s="42" t="s">
        <v>202</v>
      </c>
      <c r="AS89" s="141" t="s">
        <v>203</v>
      </c>
      <c r="AT89" s="42" t="s">
        <v>204</v>
      </c>
      <c r="AU89" s="42"/>
      <c r="AV89" s="42" t="s">
        <v>205</v>
      </c>
      <c r="AW89" s="42"/>
      <c r="AX89" s="141" t="s">
        <v>206</v>
      </c>
      <c r="AY89" s="137"/>
      <c r="AZ89" s="38" t="s">
        <v>1546</v>
      </c>
      <c r="BG89" s="137"/>
      <c r="BH89" s="42" t="s">
        <v>124</v>
      </c>
      <c r="BI89" s="42" t="s">
        <v>1391</v>
      </c>
      <c r="BJ89" s="137"/>
      <c r="BK89" s="46" t="s">
        <v>209</v>
      </c>
      <c r="BL89" s="46" t="s">
        <v>210</v>
      </c>
      <c r="BM89" s="46" t="s">
        <v>211</v>
      </c>
      <c r="BN89" s="46" t="s">
        <v>212</v>
      </c>
      <c r="BO89" s="46" t="s">
        <v>213</v>
      </c>
      <c r="BP89" s="137"/>
      <c r="BQ89" s="42" t="s">
        <v>1387</v>
      </c>
      <c r="BR89" s="42" t="s">
        <v>1537</v>
      </c>
      <c r="BS89" s="42" t="s">
        <v>1538</v>
      </c>
      <c r="BT89" s="42" t="s">
        <v>21</v>
      </c>
      <c r="BU89" s="42" t="s">
        <v>21</v>
      </c>
      <c r="BV89" s="42" t="s">
        <v>21</v>
      </c>
      <c r="BW89" s="137" t="s">
        <v>22</v>
      </c>
      <c r="BX89" s="137" t="s">
        <v>22</v>
      </c>
      <c r="BY89" s="137"/>
      <c r="BZ89" s="42" t="s">
        <v>23</v>
      </c>
      <c r="CA89" s="42" t="s">
        <v>23</v>
      </c>
      <c r="CB89" s="42" t="s">
        <v>24</v>
      </c>
      <c r="CC89" s="42" t="s">
        <v>24</v>
      </c>
      <c r="CD89" s="137"/>
    </row>
    <row r="90" spans="1:82" s="47" customFormat="1" ht="17" thickBot="1">
      <c r="B90" s="47" t="s">
        <v>34</v>
      </c>
      <c r="C90" s="53" t="s">
        <v>1393</v>
      </c>
      <c r="D90" s="53" t="s">
        <v>216</v>
      </c>
      <c r="E90" s="53" t="s">
        <v>216</v>
      </c>
      <c r="F90" s="143" t="s">
        <v>2</v>
      </c>
      <c r="H90" s="49" t="s">
        <v>217</v>
      </c>
      <c r="I90" s="48" t="s">
        <v>218</v>
      </c>
      <c r="J90" s="48" t="s">
        <v>1539</v>
      </c>
      <c r="K90" s="47" t="s">
        <v>220</v>
      </c>
      <c r="L90" s="47" t="s">
        <v>101</v>
      </c>
      <c r="M90" s="47" t="s">
        <v>102</v>
      </c>
      <c r="N90" s="47" t="s">
        <v>221</v>
      </c>
      <c r="O90" s="47" t="s">
        <v>222</v>
      </c>
      <c r="P90" s="47" t="s">
        <v>223</v>
      </c>
      <c r="R90" s="51" t="s">
        <v>26</v>
      </c>
      <c r="S90" s="51" t="s">
        <v>27</v>
      </c>
      <c r="T90" s="51" t="s">
        <v>28</v>
      </c>
      <c r="U90" s="51" t="s">
        <v>29</v>
      </c>
      <c r="V90" s="51" t="s">
        <v>14</v>
      </c>
      <c r="W90" s="51" t="s">
        <v>24</v>
      </c>
      <c r="X90" s="51" t="s">
        <v>30</v>
      </c>
      <c r="Z90" s="47" t="s">
        <v>26</v>
      </c>
      <c r="AA90" s="47" t="s">
        <v>27</v>
      </c>
      <c r="AB90" s="47" t="s">
        <v>28</v>
      </c>
      <c r="AC90" s="47" t="s">
        <v>29</v>
      </c>
      <c r="AD90" s="47" t="s">
        <v>14</v>
      </c>
      <c r="AE90" s="47" t="s">
        <v>24</v>
      </c>
      <c r="AF90" s="47" t="s">
        <v>224</v>
      </c>
      <c r="AH90" s="144" t="s">
        <v>225</v>
      </c>
      <c r="AI90" s="53" t="s">
        <v>226</v>
      </c>
      <c r="AJ90" s="53" t="s">
        <v>226</v>
      </c>
      <c r="AK90" s="53" t="s">
        <v>215</v>
      </c>
      <c r="AL90" s="53" t="s">
        <v>227</v>
      </c>
      <c r="AM90" s="144" t="s">
        <v>228</v>
      </c>
      <c r="AN90" s="144" t="s">
        <v>229</v>
      </c>
      <c r="AO90" s="144" t="s">
        <v>230</v>
      </c>
      <c r="AP90" s="144" t="s">
        <v>231</v>
      </c>
      <c r="AQ90" s="53" t="s">
        <v>232</v>
      </c>
      <c r="AR90" s="53" t="s">
        <v>233</v>
      </c>
      <c r="AS90" s="144" t="s">
        <v>234</v>
      </c>
      <c r="AT90" s="53" t="s">
        <v>235</v>
      </c>
      <c r="AU90" s="53" t="s">
        <v>236</v>
      </c>
      <c r="AV90" s="53" t="s">
        <v>237</v>
      </c>
      <c r="AW90" s="144" t="s">
        <v>238</v>
      </c>
      <c r="AX90" s="144" t="s">
        <v>239</v>
      </c>
      <c r="AZ90" s="47" t="s">
        <v>4</v>
      </c>
      <c r="BA90" s="47" t="s">
        <v>1540</v>
      </c>
      <c r="BB90" s="47" t="s">
        <v>1541</v>
      </c>
      <c r="BC90" s="47" t="s">
        <v>1542</v>
      </c>
      <c r="BD90" s="53" t="s">
        <v>242</v>
      </c>
      <c r="BE90" s="53" t="s">
        <v>243</v>
      </c>
      <c r="BF90" s="53" t="s">
        <v>14</v>
      </c>
      <c r="BH90" s="53" t="s">
        <v>2</v>
      </c>
      <c r="BI90" s="53" t="s">
        <v>2</v>
      </c>
      <c r="BK90" s="53" t="s">
        <v>244</v>
      </c>
      <c r="BL90" s="53" t="s">
        <v>244</v>
      </c>
      <c r="BM90" s="53" t="s">
        <v>244</v>
      </c>
      <c r="BN90" s="53" t="s">
        <v>34</v>
      </c>
      <c r="BO90" s="53" t="s">
        <v>196</v>
      </c>
      <c r="BQ90" s="53" t="s">
        <v>1543</v>
      </c>
      <c r="BR90" s="53" t="s">
        <v>39</v>
      </c>
      <c r="BS90" s="53" t="s">
        <v>39</v>
      </c>
      <c r="BT90" s="53" t="s">
        <v>1396</v>
      </c>
      <c r="BU90" s="53" t="s">
        <v>39</v>
      </c>
      <c r="BV90" s="53" t="s">
        <v>42</v>
      </c>
      <c r="BW90" s="53" t="s">
        <v>39</v>
      </c>
      <c r="BX90" s="145" t="s">
        <v>43</v>
      </c>
      <c r="BY90" s="145" t="s">
        <v>1397</v>
      </c>
      <c r="BZ90" s="53" t="s">
        <v>39</v>
      </c>
      <c r="CA90" s="53" t="s">
        <v>42</v>
      </c>
      <c r="CB90" s="53" t="s">
        <v>45</v>
      </c>
      <c r="CC90" s="53" t="s">
        <v>42</v>
      </c>
    </row>
    <row r="92" spans="1:82" ht="19">
      <c r="B92" s="88"/>
    </row>
    <row r="93" spans="1:82" s="104" customFormat="1" ht="19">
      <c r="B93" s="129"/>
      <c r="BA93" s="129"/>
      <c r="BD93" s="71"/>
      <c r="BH93" s="9"/>
    </row>
    <row r="94" spans="1:82" s="104" customFormat="1" ht="21">
      <c r="B94" s="133" t="s">
        <v>1480</v>
      </c>
      <c r="BD94" s="135"/>
    </row>
    <row r="95" spans="1:82" s="104" customFormat="1">
      <c r="B95" s="129" t="s">
        <v>1555</v>
      </c>
    </row>
    <row r="96" spans="1:82" s="104" customFormat="1">
      <c r="B96" s="129" t="s">
        <v>1556</v>
      </c>
    </row>
    <row r="97" spans="2:60" s="104" customFormat="1">
      <c r="B97" s="129" t="s">
        <v>1557</v>
      </c>
    </row>
    <row r="98" spans="2:60" s="104" customFormat="1">
      <c r="B98" s="129"/>
    </row>
    <row r="99" spans="2:60" s="104" customFormat="1">
      <c r="B99" s="129"/>
    </row>
    <row r="100" spans="2:60" s="104" customFormat="1">
      <c r="B100" s="129"/>
      <c r="BH100" s="9"/>
    </row>
    <row r="101" spans="2:60" s="104" customFormat="1">
      <c r="B101" s="133" t="s">
        <v>1486</v>
      </c>
      <c r="C101" s="129"/>
    </row>
    <row r="102" spans="2:60" s="104" customFormat="1">
      <c r="B102" s="129" t="s">
        <v>1487</v>
      </c>
      <c r="C102" s="129" t="s">
        <v>1488</v>
      </c>
    </row>
    <row r="103" spans="2:60" s="104" customFormat="1">
      <c r="B103" s="129" t="s">
        <v>1489</v>
      </c>
      <c r="C103" s="129" t="s">
        <v>1490</v>
      </c>
    </row>
    <row r="104" spans="2:60" s="104" customFormat="1">
      <c r="B104" s="129" t="s">
        <v>1491</v>
      </c>
      <c r="C104" s="129" t="s">
        <v>1492</v>
      </c>
    </row>
    <row r="105" spans="2:60" s="104" customFormat="1">
      <c r="B105" s="129" t="s">
        <v>1493</v>
      </c>
      <c r="C105" s="129" t="s">
        <v>1494</v>
      </c>
    </row>
    <row r="106" spans="2:60" s="104" customFormat="1">
      <c r="B106" s="129" t="s">
        <v>1495</v>
      </c>
      <c r="C106" s="129" t="s">
        <v>1496</v>
      </c>
    </row>
    <row r="107" spans="2:60" s="104" customFormat="1">
      <c r="B107" s="129" t="s">
        <v>14</v>
      </c>
      <c r="C107" s="129" t="s">
        <v>1497</v>
      </c>
    </row>
    <row r="108" spans="2:60" s="104" customFormat="1">
      <c r="B108" s="129" t="s">
        <v>1498</v>
      </c>
      <c r="C108" s="129" t="s">
        <v>1499</v>
      </c>
    </row>
    <row r="109" spans="2:60" s="104" customFormat="1">
      <c r="B109" s="129" t="s">
        <v>230</v>
      </c>
      <c r="C109" s="129" t="s">
        <v>1500</v>
      </c>
    </row>
    <row r="110" spans="2:60" s="104" customFormat="1">
      <c r="B110" s="129" t="s">
        <v>231</v>
      </c>
      <c r="C110" s="129" t="s">
        <v>1501</v>
      </c>
    </row>
    <row r="111" spans="2:60" s="104" customFormat="1">
      <c r="B111" s="129" t="s">
        <v>1502</v>
      </c>
      <c r="C111" s="129" t="s">
        <v>1503</v>
      </c>
    </row>
    <row r="112" spans="2:60" s="104" customFormat="1">
      <c r="B112" s="129" t="s">
        <v>1504</v>
      </c>
      <c r="C112" s="129" t="s">
        <v>1505</v>
      </c>
    </row>
    <row r="113" spans="2:60" s="104" customFormat="1">
      <c r="B113" s="129" t="s">
        <v>1506</v>
      </c>
      <c r="C113" s="129" t="s">
        <v>1507</v>
      </c>
    </row>
    <row r="114" spans="2:60" s="104" customFormat="1">
      <c r="B114" s="129" t="s">
        <v>204</v>
      </c>
      <c r="C114" s="129" t="s">
        <v>1508</v>
      </c>
    </row>
    <row r="115" spans="2:60" s="104" customFormat="1">
      <c r="B115" s="129" t="s">
        <v>1509</v>
      </c>
      <c r="C115" s="129" t="s">
        <v>1510</v>
      </c>
    </row>
    <row r="116" spans="2:60" s="104" customFormat="1">
      <c r="B116" s="129" t="s">
        <v>1511</v>
      </c>
      <c r="C116" s="129" t="s">
        <v>1512</v>
      </c>
    </row>
    <row r="117" spans="2:60" s="104" customFormat="1">
      <c r="B117" s="129" t="s">
        <v>238</v>
      </c>
      <c r="C117" s="129" t="s">
        <v>1513</v>
      </c>
    </row>
    <row r="118" spans="2:60" s="104" customFormat="1">
      <c r="B118" s="129" t="s">
        <v>1514</v>
      </c>
      <c r="C118" s="129" t="s">
        <v>1515</v>
      </c>
    </row>
    <row r="119" spans="2:60" s="104" customFormat="1">
      <c r="B119" s="129"/>
      <c r="BH119" s="9"/>
    </row>
    <row r="120" spans="2:60" s="104" customFormat="1">
      <c r="B120" s="129"/>
      <c r="BH120" s="9"/>
    </row>
    <row r="121" spans="2:60" s="104" customFormat="1">
      <c r="B121" s="133" t="s">
        <v>1516</v>
      </c>
    </row>
    <row r="122" spans="2:60" s="104" customFormat="1">
      <c r="B122" s="129" t="s">
        <v>1517</v>
      </c>
      <c r="C122" s="129" t="s">
        <v>1518</v>
      </c>
    </row>
    <row r="123" spans="2:60" s="104" customFormat="1">
      <c r="B123" s="129" t="s">
        <v>21</v>
      </c>
      <c r="C123" s="129" t="s">
        <v>1519</v>
      </c>
    </row>
    <row r="124" spans="2:60" s="104" customFormat="1">
      <c r="B124" s="129" t="s">
        <v>1520</v>
      </c>
      <c r="C124" s="136" t="s">
        <v>1521</v>
      </c>
    </row>
    <row r="125" spans="2:60" s="104" customFormat="1">
      <c r="B125" s="129" t="s">
        <v>22</v>
      </c>
      <c r="C125" s="129" t="s">
        <v>1522</v>
      </c>
    </row>
    <row r="126" spans="2:60" s="104" customFormat="1">
      <c r="B126" s="129" t="s">
        <v>1397</v>
      </c>
      <c r="C126" s="129" t="s">
        <v>1523</v>
      </c>
    </row>
    <row r="127" spans="2:60" s="104" customFormat="1">
      <c r="B127" s="129" t="s">
        <v>23</v>
      </c>
      <c r="C127" s="129" t="s">
        <v>1519</v>
      </c>
    </row>
    <row r="128" spans="2:60" s="104" customFormat="1">
      <c r="B128" s="129" t="s">
        <v>1524</v>
      </c>
      <c r="C128" s="129" t="s">
        <v>1519</v>
      </c>
    </row>
    <row r="129" spans="2:60" s="104" customFormat="1">
      <c r="B129" s="129" t="s">
        <v>1525</v>
      </c>
    </row>
    <row r="130" spans="2:60" s="104" customFormat="1">
      <c r="B130" s="129"/>
      <c r="BH130" s="9"/>
    </row>
    <row r="131" spans="2:60" s="104" customFormat="1">
      <c r="B131" s="133" t="s">
        <v>1526</v>
      </c>
    </row>
    <row r="132" spans="2:60" s="104" customFormat="1">
      <c r="B132" s="129" t="s">
        <v>1527</v>
      </c>
    </row>
    <row r="133" spans="2:60" s="104" customFormat="1">
      <c r="B133" s="129" t="s">
        <v>1528</v>
      </c>
    </row>
    <row r="134" spans="2:60" s="104" customFormat="1">
      <c r="B134" s="129" t="s">
        <v>1529</v>
      </c>
    </row>
    <row r="135" spans="2:60" s="104" customFormat="1">
      <c r="B135" s="129" t="s">
        <v>1530</v>
      </c>
    </row>
    <row r="136" spans="2:60" s="104" customFormat="1">
      <c r="B136" s="129"/>
      <c r="BH136" s="9"/>
    </row>
    <row r="137" spans="2:60" s="104" customFormat="1">
      <c r="B137" s="129"/>
      <c r="BH137" s="9"/>
    </row>
    <row r="138" spans="2:60" s="104" customFormat="1">
      <c r="B138" s="154"/>
      <c r="C138" s="129" t="s">
        <v>1558</v>
      </c>
    </row>
    <row r="139" spans="2:60" s="104" customFormat="1">
      <c r="B139" s="155"/>
      <c r="C139" s="129" t="s">
        <v>1559</v>
      </c>
    </row>
    <row r="140" spans="2:60" s="104" customFormat="1">
      <c r="B140" s="129"/>
      <c r="BH140" s="9"/>
    </row>
    <row r="141" spans="2:60" s="104" customFormat="1">
      <c r="B141" s="129"/>
      <c r="BH14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0FD9-31D8-6249-AA0F-E13B08ABB83B}">
  <dimension ref="A1:AT112"/>
  <sheetViews>
    <sheetView workbookViewId="0">
      <selection activeCell="B5" sqref="B5:D5"/>
    </sheetView>
  </sheetViews>
  <sheetFormatPr baseColWidth="10" defaultRowHeight="16"/>
  <cols>
    <col min="1" max="1" width="5.83203125" style="7" customWidth="1"/>
    <col min="2" max="2" width="16.6640625" style="7" customWidth="1"/>
    <col min="3" max="3" width="18" style="7" bestFit="1" customWidth="1"/>
    <col min="4" max="4" width="6.1640625" style="7" bestFit="1" customWidth="1"/>
    <col min="5" max="5" width="5.83203125" style="7" customWidth="1"/>
    <col min="6" max="6" width="9" style="7" customWidth="1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35.6640625" style="7" bestFit="1" customWidth="1"/>
    <col min="15" max="15" width="59.33203125" style="7" bestFit="1" customWidth="1"/>
    <col min="16" max="16" width="31" style="7" bestFit="1" customWidth="1"/>
    <col min="17" max="17" width="14.83203125" style="7" bestFit="1" customWidth="1"/>
    <col min="18" max="18" width="4.1640625" style="7" bestFit="1" customWidth="1"/>
    <col min="19" max="19" width="6.1640625" style="7" bestFit="1" customWidth="1"/>
    <col min="20" max="20" width="13.6640625" style="7" bestFit="1" customWidth="1"/>
    <col min="21" max="21" width="13.83203125" style="7" bestFit="1" customWidth="1"/>
    <col min="22" max="22" width="5.83203125" style="7" customWidth="1"/>
    <col min="23" max="23" width="31.33203125" style="7" bestFit="1" customWidth="1"/>
    <col min="24" max="24" width="26.33203125" style="7" bestFit="1" customWidth="1"/>
    <col min="25" max="25" width="5.33203125" style="9" bestFit="1" customWidth="1"/>
    <col min="26" max="26" width="9.33203125" style="7" bestFit="1" customWidth="1"/>
    <col min="27" max="27" width="5.33203125" style="7" bestFit="1" customWidth="1"/>
    <col min="28" max="28" width="32" style="7" bestFit="1" customWidth="1"/>
    <col min="29" max="30" width="9.5" style="9" bestFit="1" customWidth="1"/>
    <col min="31" max="31" width="12" style="9" bestFit="1" customWidth="1"/>
    <col min="32" max="32" width="40" style="7" bestFit="1" customWidth="1"/>
    <col min="33" max="34" width="12" style="9" bestFit="1" customWidth="1"/>
    <col min="35" max="35" width="6.1640625" style="7" bestFit="1" customWidth="1"/>
    <col min="36" max="36" width="5.33203125" style="7" bestFit="1" customWidth="1"/>
    <col min="37" max="37" width="37.6640625" style="7" bestFit="1" customWidth="1"/>
    <col min="38" max="39" width="12.5" style="9" bestFit="1" customWidth="1"/>
    <col min="40" max="40" width="54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7.83203125" style="9" bestFit="1" customWidth="1"/>
    <col min="45" max="45" width="31" style="7" bestFit="1" customWidth="1"/>
    <col min="46" max="46" width="12.83203125" style="7" bestFit="1" customWidth="1"/>
    <col min="47" max="16384" width="10.83203125" style="7"/>
  </cols>
  <sheetData>
    <row r="1" spans="2:44" customFormat="1">
      <c r="C1" s="32"/>
      <c r="D1" s="32"/>
      <c r="F1" s="32"/>
      <c r="Y1" s="32"/>
      <c r="AC1" s="32"/>
      <c r="AD1" s="32"/>
      <c r="AE1" s="32"/>
      <c r="AG1" s="32"/>
      <c r="AH1" s="32"/>
      <c r="AL1" s="32"/>
      <c r="AM1" s="32"/>
      <c r="AR1" s="32"/>
    </row>
    <row r="2" spans="2:44" s="1" customFormat="1" ht="21">
      <c r="B2" s="1" t="s">
        <v>114</v>
      </c>
      <c r="C2" s="33"/>
      <c r="D2" s="33"/>
      <c r="F2" s="69" t="s">
        <v>973</v>
      </c>
      <c r="Y2" s="33"/>
      <c r="AC2" s="33"/>
      <c r="AD2" s="33"/>
      <c r="AE2" s="33"/>
      <c r="AG2" s="33"/>
      <c r="AH2" s="33"/>
      <c r="AL2" s="33"/>
      <c r="AM2" s="33"/>
      <c r="AR2" s="33"/>
    </row>
    <row r="3" spans="2:44" s="1" customFormat="1" ht="21">
      <c r="C3" s="33"/>
      <c r="D3" s="33"/>
      <c r="F3" s="33"/>
      <c r="Y3" s="33"/>
      <c r="AC3" s="33"/>
      <c r="AD3" s="33"/>
      <c r="AE3" s="33"/>
      <c r="AG3" s="33"/>
      <c r="AH3" s="33"/>
      <c r="AL3" s="33"/>
      <c r="AM3" s="33"/>
      <c r="AR3" s="33"/>
    </row>
    <row r="4" spans="2:44" s="1" customFormat="1" ht="21">
      <c r="C4" s="33"/>
      <c r="D4" s="33"/>
      <c r="F4" s="33"/>
      <c r="Y4" s="33"/>
      <c r="AC4" s="33"/>
      <c r="AD4" s="33"/>
      <c r="AE4" s="33"/>
      <c r="AG4" s="33"/>
      <c r="AH4" s="33"/>
      <c r="AL4" s="33"/>
      <c r="AM4" s="33"/>
      <c r="AR4" s="33"/>
    </row>
    <row r="5" spans="2:44" s="2" customFormat="1" ht="22" thickBot="1">
      <c r="B5" s="223" t="s">
        <v>1</v>
      </c>
      <c r="C5" s="224" t="s">
        <v>2</v>
      </c>
      <c r="D5" s="224" t="s">
        <v>3</v>
      </c>
      <c r="F5" s="3"/>
      <c r="N5" s="219" t="s">
        <v>1379</v>
      </c>
      <c r="Y5" s="3"/>
      <c r="AC5" s="3"/>
      <c r="AD5" s="3"/>
      <c r="AE5" s="3"/>
      <c r="AG5" s="3"/>
      <c r="AH5" s="3"/>
      <c r="AL5" s="3"/>
      <c r="AM5" s="3"/>
      <c r="AR5" s="3"/>
    </row>
    <row r="6" spans="2:44" s="4" customFormat="1">
      <c r="B6" s="29" t="s">
        <v>100</v>
      </c>
      <c r="C6" s="26">
        <v>18000</v>
      </c>
      <c r="D6" s="6">
        <v>37.700000000000003</v>
      </c>
      <c r="Y6" s="6"/>
      <c r="AC6" s="6"/>
      <c r="AD6" s="6"/>
      <c r="AE6" s="6"/>
      <c r="AG6" s="6"/>
      <c r="AH6" s="6"/>
      <c r="AL6" s="6"/>
      <c r="AM6" s="6"/>
      <c r="AR6" s="6"/>
    </row>
    <row r="7" spans="2:44" ht="21">
      <c r="B7" s="10" t="s">
        <v>101</v>
      </c>
      <c r="C7" s="13">
        <v>13000</v>
      </c>
      <c r="D7" s="9">
        <v>28.7</v>
      </c>
      <c r="N7" s="78" t="s">
        <v>6</v>
      </c>
      <c r="O7" s="78"/>
    </row>
    <row r="8" spans="2:44">
      <c r="B8" s="10" t="s">
        <v>115</v>
      </c>
      <c r="C8" s="13">
        <v>12000</v>
      </c>
      <c r="D8" s="9">
        <v>22.3</v>
      </c>
      <c r="N8" s="7" t="s">
        <v>120</v>
      </c>
    </row>
    <row r="9" spans="2:44">
      <c r="B9" s="10" t="s">
        <v>116</v>
      </c>
      <c r="C9" s="13">
        <v>2800</v>
      </c>
      <c r="D9" s="9">
        <v>7.1</v>
      </c>
    </row>
    <row r="10" spans="2:44">
      <c r="B10" s="10" t="s">
        <v>7</v>
      </c>
      <c r="C10" s="13">
        <v>1000</v>
      </c>
      <c r="D10" s="9">
        <v>2.7</v>
      </c>
      <c r="N10" s="84" t="s">
        <v>123</v>
      </c>
      <c r="O10" s="84"/>
      <c r="P10" s="84"/>
    </row>
    <row r="11" spans="2:44">
      <c r="B11" s="10" t="s">
        <v>117</v>
      </c>
      <c r="C11" s="9">
        <v>490</v>
      </c>
      <c r="D11" s="9">
        <v>1.6</v>
      </c>
      <c r="N11" s="22" t="s">
        <v>122</v>
      </c>
      <c r="O11" s="84" t="s">
        <v>121</v>
      </c>
    </row>
    <row r="12" spans="2:44">
      <c r="B12" s="10"/>
      <c r="C12" s="9"/>
      <c r="D12" s="9"/>
      <c r="N12" s="22" t="s">
        <v>862</v>
      </c>
      <c r="O12" s="84" t="s">
        <v>863</v>
      </c>
    </row>
    <row r="13" spans="2:44">
      <c r="B13" s="225" t="s">
        <v>1949</v>
      </c>
      <c r="C13" s="99">
        <f>SUM(C6:C11)</f>
        <v>47290</v>
      </c>
      <c r="D13" s="99">
        <f>SUM(D6:D11)</f>
        <v>100.1</v>
      </c>
      <c r="N13" s="22" t="s">
        <v>864</v>
      </c>
      <c r="O13" s="22" t="s">
        <v>865</v>
      </c>
    </row>
    <row r="14" spans="2:44">
      <c r="B14" s="14"/>
      <c r="N14" s="22" t="s">
        <v>866</v>
      </c>
      <c r="O14" s="22" t="s">
        <v>867</v>
      </c>
    </row>
    <row r="15" spans="2:44">
      <c r="B15" s="10" t="s">
        <v>113</v>
      </c>
      <c r="N15" s="22" t="s">
        <v>868</v>
      </c>
      <c r="O15" s="22" t="s">
        <v>869</v>
      </c>
    </row>
    <row r="16" spans="2:44">
      <c r="N16" s="22" t="s">
        <v>870</v>
      </c>
      <c r="O16" s="84" t="s">
        <v>863</v>
      </c>
    </row>
    <row r="17" spans="1:46">
      <c r="A17" s="31"/>
      <c r="B17" s="81" t="s">
        <v>108</v>
      </c>
      <c r="D17" s="11">
        <f>SUM(C10:C11)</f>
        <v>1490</v>
      </c>
    </row>
    <row r="18" spans="1:46" ht="21">
      <c r="A18" s="31"/>
      <c r="B18" s="10"/>
      <c r="C18" s="10"/>
      <c r="N18" s="207" t="s">
        <v>3094</v>
      </c>
    </row>
    <row r="19" spans="1:46">
      <c r="A19" s="31"/>
      <c r="B19" s="10" t="s">
        <v>109</v>
      </c>
      <c r="C19" s="10" t="s">
        <v>110</v>
      </c>
      <c r="N19" s="7" t="s">
        <v>975</v>
      </c>
    </row>
    <row r="20" spans="1:46" ht="24">
      <c r="B20" s="10" t="s">
        <v>111</v>
      </c>
      <c r="C20" s="10" t="s">
        <v>112</v>
      </c>
      <c r="D20" s="28"/>
    </row>
    <row r="21" spans="1:46" s="16" customFormat="1" ht="21">
      <c r="A21" s="15"/>
      <c r="D21" s="15"/>
      <c r="E21" s="15"/>
      <c r="F21" s="1" t="s">
        <v>17</v>
      </c>
      <c r="G21" s="1"/>
      <c r="H21" s="1"/>
      <c r="I21" s="1"/>
      <c r="J21" s="1"/>
      <c r="K21" s="1"/>
      <c r="L21" s="1"/>
      <c r="M21" s="15"/>
      <c r="N21" s="17"/>
      <c r="O21" s="17"/>
      <c r="T21" s="15"/>
      <c r="U21" s="15"/>
      <c r="V21" s="15"/>
      <c r="X21" s="18"/>
      <c r="Y21" s="15"/>
      <c r="Z21" s="15"/>
      <c r="AA21" s="15"/>
      <c r="AB21" s="17"/>
      <c r="AC21" s="15"/>
      <c r="AD21" s="15"/>
      <c r="AE21" s="15"/>
      <c r="AF21" s="17"/>
      <c r="AG21" s="15"/>
      <c r="AH21" s="15"/>
      <c r="AI21" s="17"/>
      <c r="AJ21" s="15"/>
      <c r="AK21" s="17"/>
      <c r="AL21" s="15"/>
      <c r="AM21" s="15"/>
      <c r="AQ21" s="15"/>
      <c r="AR21" s="15"/>
    </row>
    <row r="22" spans="1:46" s="16" customFormat="1" ht="21">
      <c r="A22" s="15"/>
      <c r="B22" s="16" t="s">
        <v>18</v>
      </c>
      <c r="C22" s="16" t="s">
        <v>19</v>
      </c>
      <c r="D22" s="15"/>
      <c r="E22" s="15"/>
      <c r="F22" s="1" t="s">
        <v>20</v>
      </c>
      <c r="G22" s="1"/>
      <c r="H22" s="1"/>
      <c r="I22" s="1"/>
      <c r="J22" s="1"/>
      <c r="K22" s="1"/>
      <c r="L22" s="1"/>
      <c r="M22" s="15"/>
      <c r="N22" s="17"/>
      <c r="O22" s="17"/>
      <c r="T22" s="15"/>
      <c r="U22" s="15"/>
      <c r="V22" s="15"/>
      <c r="X22" s="18"/>
      <c r="Y22" s="15"/>
      <c r="Z22" s="15"/>
      <c r="AA22" s="15"/>
      <c r="AB22" s="17"/>
      <c r="AC22" s="15" t="s">
        <v>21</v>
      </c>
      <c r="AD22" s="15" t="s">
        <v>21</v>
      </c>
      <c r="AE22" s="15" t="s">
        <v>21</v>
      </c>
      <c r="AF22" s="17"/>
      <c r="AG22" s="15" t="s">
        <v>22</v>
      </c>
      <c r="AH22" s="15" t="s">
        <v>22</v>
      </c>
      <c r="AI22" s="17"/>
      <c r="AJ22" s="15"/>
      <c r="AK22" s="17"/>
      <c r="AL22" s="15" t="s">
        <v>23</v>
      </c>
      <c r="AM22" s="15" t="s">
        <v>23</v>
      </c>
      <c r="AN22" s="15" t="s">
        <v>24</v>
      </c>
      <c r="AO22" s="15"/>
      <c r="AQ22" s="15"/>
      <c r="AR22" s="15"/>
      <c r="AS22" s="16" t="s">
        <v>46</v>
      </c>
    </row>
    <row r="23" spans="1:46" s="20" customFormat="1" ht="22" thickBot="1">
      <c r="A23" s="19"/>
      <c r="B23" s="20" t="s">
        <v>25</v>
      </c>
      <c r="C23" s="20" t="s">
        <v>25</v>
      </c>
      <c r="D23" s="19"/>
      <c r="E23" s="19"/>
      <c r="F23" s="2" t="s">
        <v>26</v>
      </c>
      <c r="G23" s="2" t="s">
        <v>27</v>
      </c>
      <c r="H23" s="2" t="s">
        <v>28</v>
      </c>
      <c r="I23" s="2" t="s">
        <v>29</v>
      </c>
      <c r="J23" s="2" t="s">
        <v>14</v>
      </c>
      <c r="K23" s="2" t="s">
        <v>24</v>
      </c>
      <c r="L23" s="2" t="s">
        <v>30</v>
      </c>
      <c r="M23" s="19"/>
      <c r="N23" s="21" t="s">
        <v>31</v>
      </c>
      <c r="O23" s="21" t="s">
        <v>962</v>
      </c>
      <c r="P23" s="20" t="s">
        <v>32</v>
      </c>
      <c r="Q23" s="20" t="s">
        <v>33</v>
      </c>
      <c r="R23" s="20" t="s">
        <v>34</v>
      </c>
      <c r="S23" s="21" t="s">
        <v>35</v>
      </c>
      <c r="T23" s="21" t="s">
        <v>118</v>
      </c>
      <c r="U23" s="21" t="s">
        <v>119</v>
      </c>
      <c r="V23" s="19"/>
      <c r="W23" s="20" t="s">
        <v>37</v>
      </c>
      <c r="X23" s="21" t="s">
        <v>38</v>
      </c>
      <c r="Y23" s="19" t="s">
        <v>39</v>
      </c>
      <c r="Z23" s="21" t="s">
        <v>40</v>
      </c>
      <c r="AA23" s="19" t="s">
        <v>39</v>
      </c>
      <c r="AB23" s="21" t="s">
        <v>21</v>
      </c>
      <c r="AC23" s="19" t="s">
        <v>41</v>
      </c>
      <c r="AD23" s="19" t="s">
        <v>39</v>
      </c>
      <c r="AE23" s="19" t="s">
        <v>42</v>
      </c>
      <c r="AF23" s="21" t="s">
        <v>22</v>
      </c>
      <c r="AG23" s="19" t="s">
        <v>39</v>
      </c>
      <c r="AH23" s="19" t="s">
        <v>43</v>
      </c>
      <c r="AI23" s="21" t="s">
        <v>44</v>
      </c>
      <c r="AJ23" s="19" t="s">
        <v>39</v>
      </c>
      <c r="AK23" s="21" t="s">
        <v>23</v>
      </c>
      <c r="AL23" s="19" t="s">
        <v>39</v>
      </c>
      <c r="AM23" s="19" t="s">
        <v>42</v>
      </c>
      <c r="AN23" s="19" t="s">
        <v>45</v>
      </c>
      <c r="AO23" s="20" t="s">
        <v>39</v>
      </c>
      <c r="AP23" s="19" t="s">
        <v>42</v>
      </c>
      <c r="AQ23" s="19"/>
      <c r="AR23" s="19" t="s">
        <v>39</v>
      </c>
      <c r="AS23" s="20" t="s">
        <v>1342</v>
      </c>
      <c r="AT23" s="20" t="s">
        <v>2</v>
      </c>
    </row>
    <row r="24" spans="1:46">
      <c r="D24" s="9"/>
      <c r="E24" s="210"/>
      <c r="M24" s="210"/>
      <c r="V24" s="210"/>
      <c r="AQ24" s="210"/>
    </row>
    <row r="25" spans="1:46" s="22" customFormat="1">
      <c r="E25" s="210"/>
      <c r="F25" s="7"/>
      <c r="G25" s="7"/>
      <c r="H25" s="7"/>
      <c r="I25" s="7"/>
      <c r="J25" s="7"/>
      <c r="K25" s="7"/>
      <c r="L25" s="7"/>
      <c r="M25" s="210"/>
      <c r="V25" s="210"/>
      <c r="Y25" s="23"/>
      <c r="AC25" s="23"/>
      <c r="AD25" s="23"/>
      <c r="AE25" s="23"/>
      <c r="AG25" s="23"/>
      <c r="AH25" s="23"/>
      <c r="AL25" s="23"/>
      <c r="AM25" s="23"/>
      <c r="AQ25" s="210"/>
      <c r="AR25" s="23"/>
    </row>
    <row r="26" spans="1:46" s="22" customFormat="1">
      <c r="E26" s="210"/>
      <c r="F26" s="7"/>
      <c r="G26" s="7"/>
      <c r="H26" s="7"/>
      <c r="I26" s="7"/>
      <c r="J26" s="7"/>
      <c r="K26" s="7"/>
      <c r="L26" s="7"/>
      <c r="M26" s="210"/>
      <c r="V26" s="210"/>
      <c r="Y26" s="23"/>
      <c r="AC26" s="23"/>
      <c r="AD26" s="23"/>
      <c r="AE26" s="23"/>
      <c r="AG26" s="23"/>
      <c r="AH26" s="23"/>
      <c r="AL26" s="23"/>
      <c r="AM26" s="23"/>
      <c r="AQ26" s="210"/>
      <c r="AR26" s="23"/>
    </row>
    <row r="27" spans="1:46" s="22" customFormat="1">
      <c r="B27" s="22" t="s">
        <v>1007</v>
      </c>
      <c r="C27" s="22" t="s">
        <v>1008</v>
      </c>
      <c r="E27" s="210"/>
      <c r="F27" s="7"/>
      <c r="G27" s="7"/>
      <c r="H27" s="7"/>
      <c r="I27" s="7"/>
      <c r="J27" s="7"/>
      <c r="K27" s="7"/>
      <c r="L27" s="7"/>
      <c r="M27" s="210"/>
      <c r="N27" s="22" t="s">
        <v>976</v>
      </c>
      <c r="Q27" s="22" t="s">
        <v>1018</v>
      </c>
      <c r="R27" s="22" t="s">
        <v>56</v>
      </c>
      <c r="V27" s="210"/>
      <c r="Y27" s="23"/>
      <c r="AC27" s="23"/>
      <c r="AD27" s="23"/>
      <c r="AE27" s="23"/>
      <c r="AG27" s="23"/>
      <c r="AH27" s="23"/>
      <c r="AL27" s="23"/>
      <c r="AM27" s="23"/>
      <c r="AQ27" s="210"/>
      <c r="AR27" s="23"/>
    </row>
    <row r="28" spans="1:46" s="22" customFormat="1">
      <c r="B28" s="22" t="s">
        <v>1009</v>
      </c>
      <c r="C28" s="22" t="s">
        <v>1010</v>
      </c>
      <c r="E28" s="210"/>
      <c r="F28" s="7"/>
      <c r="G28" s="7"/>
      <c r="H28" s="7"/>
      <c r="I28" s="7"/>
      <c r="J28" s="7"/>
      <c r="K28" s="7"/>
      <c r="L28" s="7"/>
      <c r="M28" s="210"/>
      <c r="N28" s="22" t="s">
        <v>977</v>
      </c>
      <c r="P28" s="36" t="s">
        <v>1026</v>
      </c>
      <c r="Q28" s="22" t="s">
        <v>1019</v>
      </c>
      <c r="R28" s="22" t="s">
        <v>559</v>
      </c>
      <c r="S28" s="22">
        <v>23230</v>
      </c>
      <c r="T28" s="36" t="s">
        <v>1023</v>
      </c>
      <c r="V28" s="210"/>
      <c r="W28" s="22" t="s">
        <v>999</v>
      </c>
      <c r="Y28" s="23"/>
      <c r="AC28" s="23"/>
      <c r="AD28" s="23"/>
      <c r="AE28" s="23"/>
      <c r="AG28" s="23"/>
      <c r="AH28" s="23"/>
      <c r="AL28" s="23"/>
      <c r="AM28" s="23"/>
      <c r="AQ28" s="210"/>
      <c r="AR28" s="23"/>
    </row>
    <row r="29" spans="1:46" s="22" customFormat="1">
      <c r="B29" s="22" t="s">
        <v>1011</v>
      </c>
      <c r="C29" s="22" t="s">
        <v>1012</v>
      </c>
      <c r="E29" s="210"/>
      <c r="F29" s="7"/>
      <c r="G29" s="7"/>
      <c r="H29" s="7"/>
      <c r="I29" s="7"/>
      <c r="J29" s="7"/>
      <c r="K29" s="7"/>
      <c r="L29" s="7"/>
      <c r="M29" s="210"/>
      <c r="N29" s="22" t="s">
        <v>978</v>
      </c>
      <c r="P29" s="36" t="s">
        <v>1027</v>
      </c>
      <c r="Q29" s="22" t="s">
        <v>1020</v>
      </c>
      <c r="R29" s="22" t="s">
        <v>663</v>
      </c>
      <c r="S29" s="22">
        <v>30022</v>
      </c>
      <c r="T29" s="36" t="s">
        <v>1024</v>
      </c>
      <c r="V29" s="210"/>
      <c r="W29" s="22" t="s">
        <v>1006</v>
      </c>
      <c r="Y29" s="23"/>
      <c r="AC29" s="23"/>
      <c r="AD29" s="23"/>
      <c r="AE29" s="23"/>
      <c r="AG29" s="23"/>
      <c r="AH29" s="23"/>
      <c r="AL29" s="23"/>
      <c r="AM29" s="23"/>
      <c r="AQ29" s="210"/>
      <c r="AR29" s="23"/>
    </row>
    <row r="30" spans="1:46" s="22" customFormat="1">
      <c r="B30" s="22" t="s">
        <v>1013</v>
      </c>
      <c r="C30" s="22" t="s">
        <v>1014</v>
      </c>
      <c r="E30" s="210"/>
      <c r="F30" s="7"/>
      <c r="G30" s="7"/>
      <c r="H30" s="7"/>
      <c r="I30" s="7"/>
      <c r="J30" s="7"/>
      <c r="K30" s="7"/>
      <c r="L30" s="7"/>
      <c r="M30" s="210"/>
      <c r="N30" s="22" t="s">
        <v>1005</v>
      </c>
      <c r="P30" s="22" t="s">
        <v>1004</v>
      </c>
      <c r="Q30" s="22" t="s">
        <v>1021</v>
      </c>
      <c r="R30" s="22" t="s">
        <v>632</v>
      </c>
      <c r="S30" s="22">
        <v>37234</v>
      </c>
      <c r="V30" s="210"/>
      <c r="W30" s="22" t="s">
        <v>1003</v>
      </c>
      <c r="Y30" s="23"/>
      <c r="AC30" s="23"/>
      <c r="AD30" s="23"/>
      <c r="AE30" s="23"/>
      <c r="AG30" s="23"/>
      <c r="AH30" s="23"/>
      <c r="AL30" s="23"/>
      <c r="AM30" s="23"/>
      <c r="AQ30" s="210"/>
      <c r="AR30" s="23"/>
    </row>
    <row r="31" spans="1:46" s="22" customFormat="1">
      <c r="B31" s="22" t="s">
        <v>1015</v>
      </c>
      <c r="C31" s="22" t="s">
        <v>1016</v>
      </c>
      <c r="E31" s="210"/>
      <c r="F31" s="7"/>
      <c r="G31" s="7"/>
      <c r="H31" s="7"/>
      <c r="I31" s="7"/>
      <c r="J31" s="7"/>
      <c r="K31" s="7"/>
      <c r="L31" s="7"/>
      <c r="M31" s="210"/>
      <c r="N31" s="22" t="s">
        <v>1002</v>
      </c>
      <c r="P31" s="22" t="s">
        <v>1028</v>
      </c>
      <c r="Q31" s="22" t="s">
        <v>1022</v>
      </c>
      <c r="R31" s="22" t="s">
        <v>56</v>
      </c>
      <c r="S31" s="22">
        <v>75244</v>
      </c>
      <c r="V31" s="210"/>
      <c r="W31" s="22" t="s">
        <v>1001</v>
      </c>
      <c r="Y31" s="23"/>
      <c r="AC31" s="23"/>
      <c r="AD31" s="23"/>
      <c r="AE31" s="23"/>
      <c r="AG31" s="23"/>
      <c r="AH31" s="23"/>
      <c r="AL31" s="23"/>
      <c r="AM31" s="23"/>
      <c r="AQ31" s="210"/>
      <c r="AR31" s="23"/>
    </row>
    <row r="32" spans="1:46" s="22" customFormat="1">
      <c r="E32" s="210"/>
      <c r="F32" s="7"/>
      <c r="G32" s="7"/>
      <c r="H32" s="7"/>
      <c r="I32" s="7"/>
      <c r="J32" s="7"/>
      <c r="K32" s="7"/>
      <c r="L32" s="7"/>
      <c r="M32" s="210"/>
      <c r="N32" s="22" t="s">
        <v>979</v>
      </c>
      <c r="V32" s="210"/>
      <c r="Y32" s="23"/>
      <c r="AC32" s="23"/>
      <c r="AD32" s="23"/>
      <c r="AE32" s="23"/>
      <c r="AG32" s="23"/>
      <c r="AH32" s="23"/>
      <c r="AL32" s="23"/>
      <c r="AM32" s="23"/>
      <c r="AQ32" s="210"/>
      <c r="AR32" s="23"/>
    </row>
    <row r="33" spans="2:46" s="22" customFormat="1">
      <c r="B33" s="22" t="s">
        <v>838</v>
      </c>
      <c r="C33" s="22" t="s">
        <v>1017</v>
      </c>
      <c r="E33" s="210"/>
      <c r="F33" s="7"/>
      <c r="G33" s="7"/>
      <c r="H33" s="7"/>
      <c r="I33" s="7"/>
      <c r="J33" s="7"/>
      <c r="K33" s="7"/>
      <c r="L33" s="7"/>
      <c r="M33" s="210"/>
      <c r="N33" s="22" t="s">
        <v>980</v>
      </c>
      <c r="P33" s="22" t="s">
        <v>1029</v>
      </c>
      <c r="Q33" s="22" t="s">
        <v>1021</v>
      </c>
      <c r="R33" s="22" t="s">
        <v>632</v>
      </c>
      <c r="S33" s="22">
        <v>37203</v>
      </c>
      <c r="T33" s="22" t="s">
        <v>1025</v>
      </c>
      <c r="V33" s="210"/>
      <c r="W33" s="22" t="s">
        <v>1000</v>
      </c>
      <c r="Y33" s="23"/>
      <c r="AC33" s="23"/>
      <c r="AD33" s="23"/>
      <c r="AE33" s="23"/>
      <c r="AG33" s="23"/>
      <c r="AH33" s="23"/>
      <c r="AL33" s="23"/>
      <c r="AM33" s="23"/>
      <c r="AQ33" s="210"/>
      <c r="AR33" s="23"/>
    </row>
    <row r="34" spans="2:46" s="22" customFormat="1">
      <c r="Y34" s="23"/>
      <c r="AC34" s="23"/>
      <c r="AD34" s="23"/>
      <c r="AE34" s="23"/>
      <c r="AG34" s="23"/>
      <c r="AH34" s="23"/>
      <c r="AL34" s="23"/>
      <c r="AM34" s="23"/>
      <c r="AR34" s="23"/>
    </row>
    <row r="35" spans="2:46" s="22" customFormat="1">
      <c r="Y35" s="23"/>
      <c r="AC35" s="23"/>
      <c r="AD35" s="23"/>
      <c r="AE35" s="23"/>
      <c r="AG35" s="23"/>
      <c r="AH35" s="23"/>
      <c r="AL35" s="23"/>
      <c r="AM35" s="23"/>
      <c r="AR35" s="23"/>
    </row>
    <row r="37" spans="2:46">
      <c r="P37"/>
    </row>
    <row r="38" spans="2:46">
      <c r="B38" s="95" t="s">
        <v>3089</v>
      </c>
      <c r="C38" s="22"/>
      <c r="D38" s="22"/>
      <c r="E38" s="210"/>
      <c r="F38" s="22"/>
      <c r="G38" s="22"/>
      <c r="H38" s="22"/>
      <c r="I38" s="22"/>
      <c r="J38" s="22"/>
      <c r="K38" s="22"/>
      <c r="L38" s="22"/>
      <c r="M38" s="210"/>
      <c r="N38" s="95" t="s">
        <v>3090</v>
      </c>
      <c r="V38" s="210"/>
      <c r="AQ38" s="210"/>
    </row>
    <row r="39" spans="2:46" s="22" customFormat="1">
      <c r="B39" s="22" t="s">
        <v>47</v>
      </c>
      <c r="C39" s="22" t="s">
        <v>1287</v>
      </c>
      <c r="E39" s="210"/>
      <c r="F39" s="23">
        <v>1</v>
      </c>
      <c r="G39" s="23"/>
      <c r="H39" s="23"/>
      <c r="I39" s="23"/>
      <c r="J39" s="23"/>
      <c r="K39" s="23"/>
      <c r="L39" s="23"/>
      <c r="M39" s="210"/>
      <c r="N39" s="22" t="s">
        <v>1113</v>
      </c>
      <c r="O39" s="36" t="s">
        <v>1030</v>
      </c>
      <c r="P39" s="22" t="s">
        <v>1072</v>
      </c>
      <c r="Q39" s="22" t="s">
        <v>251</v>
      </c>
      <c r="R39" s="22" t="s">
        <v>252</v>
      </c>
      <c r="S39" s="22">
        <v>99507</v>
      </c>
      <c r="T39" s="36" t="s">
        <v>1259</v>
      </c>
      <c r="V39" s="210"/>
      <c r="W39" s="22" t="s">
        <v>1071</v>
      </c>
      <c r="Y39" s="23"/>
      <c r="AC39" s="23"/>
      <c r="AD39" s="23"/>
      <c r="AE39" s="23"/>
      <c r="AG39" s="23"/>
      <c r="AH39" s="23"/>
      <c r="AL39" s="23"/>
      <c r="AM39" s="23"/>
      <c r="AQ39" s="210"/>
      <c r="AR39" s="23">
        <v>4</v>
      </c>
      <c r="AS39" s="22" t="s">
        <v>1099</v>
      </c>
    </row>
    <row r="40" spans="2:46" s="22" customFormat="1">
      <c r="B40" s="22" t="s">
        <v>441</v>
      </c>
      <c r="C40" s="22" t="s">
        <v>1288</v>
      </c>
      <c r="E40" s="210"/>
      <c r="F40" s="23">
        <v>1</v>
      </c>
      <c r="G40" s="23"/>
      <c r="H40" s="23"/>
      <c r="I40" s="23"/>
      <c r="J40" s="23"/>
      <c r="K40" s="23"/>
      <c r="L40" s="23"/>
      <c r="M40" s="210"/>
      <c r="N40" s="22" t="s">
        <v>1075</v>
      </c>
      <c r="O40" s="36" t="s">
        <v>1031</v>
      </c>
      <c r="P40" s="22" t="s">
        <v>1266</v>
      </c>
      <c r="Q40" s="22" t="s">
        <v>1232</v>
      </c>
      <c r="R40" s="22" t="s">
        <v>186</v>
      </c>
      <c r="S40" s="22">
        <v>36066</v>
      </c>
      <c r="T40" s="22" t="s">
        <v>1073</v>
      </c>
      <c r="V40" s="210"/>
      <c r="W40" s="36" t="s">
        <v>1074</v>
      </c>
      <c r="X40" s="22" t="s">
        <v>1076</v>
      </c>
      <c r="Y40" s="23">
        <v>1</v>
      </c>
      <c r="AB40" s="22" t="s">
        <v>1077</v>
      </c>
      <c r="AC40" s="23"/>
      <c r="AD40" s="23">
        <v>1</v>
      </c>
      <c r="AE40" s="23">
        <v>4575</v>
      </c>
      <c r="AF40" s="22" t="s">
        <v>1078</v>
      </c>
      <c r="AG40" s="23">
        <v>1</v>
      </c>
      <c r="AH40" s="72">
        <v>4800</v>
      </c>
      <c r="AL40" s="23"/>
      <c r="AM40" s="23"/>
      <c r="AQ40" s="210"/>
      <c r="AR40" s="23">
        <v>73</v>
      </c>
      <c r="AS40" s="22" t="s">
        <v>1099</v>
      </c>
    </row>
    <row r="41" spans="2:46" s="22" customFormat="1">
      <c r="B41" s="22" t="s">
        <v>1289</v>
      </c>
      <c r="C41" s="22" t="s">
        <v>1290</v>
      </c>
      <c r="E41" s="210"/>
      <c r="F41" s="23">
        <v>1</v>
      </c>
      <c r="G41" s="23"/>
      <c r="H41" s="23"/>
      <c r="I41" s="23"/>
      <c r="J41" s="23"/>
      <c r="K41" s="23"/>
      <c r="L41" s="23"/>
      <c r="M41" s="210"/>
      <c r="N41" s="22" t="s">
        <v>1075</v>
      </c>
      <c r="O41" s="36" t="s">
        <v>1032</v>
      </c>
      <c r="P41" s="22" t="s">
        <v>1079</v>
      </c>
      <c r="Q41" s="22" t="s">
        <v>279</v>
      </c>
      <c r="R41" s="22" t="s">
        <v>280</v>
      </c>
      <c r="S41" s="22">
        <v>72204</v>
      </c>
      <c r="T41" s="22" t="s">
        <v>1080</v>
      </c>
      <c r="V41" s="210"/>
      <c r="W41" s="36" t="s">
        <v>1081</v>
      </c>
      <c r="X41" s="36" t="s">
        <v>1082</v>
      </c>
      <c r="Y41" s="23">
        <v>1</v>
      </c>
      <c r="AC41" s="23"/>
      <c r="AD41" s="23"/>
      <c r="AE41" s="23"/>
      <c r="AG41" s="23"/>
      <c r="AH41" s="23"/>
      <c r="AL41" s="23"/>
      <c r="AM41" s="23"/>
      <c r="AQ41" s="210"/>
      <c r="AR41" s="23">
        <v>42</v>
      </c>
      <c r="AS41" s="22" t="s">
        <v>1099</v>
      </c>
    </row>
    <row r="42" spans="2:46" s="22" customFormat="1">
      <c r="B42" s="22" t="s">
        <v>255</v>
      </c>
      <c r="C42" s="22" t="s">
        <v>1291</v>
      </c>
      <c r="E42" s="210"/>
      <c r="F42" s="23">
        <v>1</v>
      </c>
      <c r="G42" s="23"/>
      <c r="H42" s="23"/>
      <c r="I42" s="23"/>
      <c r="J42" s="23"/>
      <c r="K42" s="23"/>
      <c r="L42" s="23"/>
      <c r="M42" s="210"/>
      <c r="N42" s="22" t="s">
        <v>1075</v>
      </c>
      <c r="O42" s="36" t="s">
        <v>1033</v>
      </c>
      <c r="P42" s="22" t="s">
        <v>1267</v>
      </c>
      <c r="Q42" s="22" t="s">
        <v>268</v>
      </c>
      <c r="R42" s="22" t="s">
        <v>269</v>
      </c>
      <c r="S42" s="22">
        <v>85029</v>
      </c>
      <c r="T42" s="22" t="s">
        <v>1260</v>
      </c>
      <c r="V42" s="210"/>
      <c r="W42" s="36" t="s">
        <v>1083</v>
      </c>
      <c r="Y42" s="23"/>
      <c r="AC42" s="23"/>
      <c r="AD42" s="23"/>
      <c r="AE42" s="23"/>
      <c r="AG42" s="23"/>
      <c r="AH42" s="23"/>
      <c r="AL42" s="23"/>
      <c r="AM42" s="23"/>
      <c r="AQ42" s="210"/>
      <c r="AR42" s="23">
        <v>13</v>
      </c>
      <c r="AS42" s="22" t="s">
        <v>1099</v>
      </c>
    </row>
    <row r="43" spans="2:46" s="22" customFormat="1">
      <c r="B43" s="22" t="s">
        <v>1292</v>
      </c>
      <c r="C43" s="22" t="s">
        <v>1293</v>
      </c>
      <c r="E43" s="210"/>
      <c r="F43" s="23"/>
      <c r="G43" s="23"/>
      <c r="H43" s="23"/>
      <c r="I43" s="23"/>
      <c r="J43" s="23">
        <v>1</v>
      </c>
      <c r="K43" s="23"/>
      <c r="L43" s="23"/>
      <c r="M43" s="210"/>
      <c r="N43" s="22" t="s">
        <v>1075</v>
      </c>
      <c r="O43" s="36" t="s">
        <v>1034</v>
      </c>
      <c r="P43" s="22" t="s">
        <v>1268</v>
      </c>
      <c r="Q43" s="22" t="s">
        <v>1233</v>
      </c>
      <c r="R43" s="22" t="s">
        <v>300</v>
      </c>
      <c r="S43" s="22">
        <v>93710</v>
      </c>
      <c r="T43" s="22" t="s">
        <v>1084</v>
      </c>
      <c r="V43" s="210"/>
      <c r="W43" s="22" t="s">
        <v>1085</v>
      </c>
      <c r="X43" s="22" t="s">
        <v>1086</v>
      </c>
      <c r="Y43" s="23">
        <v>1</v>
      </c>
      <c r="AC43" s="23"/>
      <c r="AD43" s="23"/>
      <c r="AE43" s="23"/>
      <c r="AG43" s="23"/>
      <c r="AH43" s="23"/>
      <c r="AL43" s="23"/>
      <c r="AM43" s="23"/>
      <c r="AQ43" s="210"/>
      <c r="AR43" s="23">
        <v>27</v>
      </c>
      <c r="AS43" s="22" t="s">
        <v>1099</v>
      </c>
    </row>
    <row r="44" spans="2:46" s="22" customFormat="1">
      <c r="B44" s="22" t="s">
        <v>424</v>
      </c>
      <c r="C44" s="22" t="s">
        <v>1294</v>
      </c>
      <c r="E44" s="210"/>
      <c r="F44" s="23"/>
      <c r="G44" s="23"/>
      <c r="H44" s="23"/>
      <c r="I44" s="23"/>
      <c r="J44" s="23">
        <v>1</v>
      </c>
      <c r="K44" s="23"/>
      <c r="L44" s="23"/>
      <c r="M44" s="210"/>
      <c r="N44" s="22" t="s">
        <v>1075</v>
      </c>
      <c r="O44" s="36" t="s">
        <v>1035</v>
      </c>
      <c r="P44" s="22" t="s">
        <v>1269</v>
      </c>
      <c r="Q44" s="22" t="s">
        <v>1234</v>
      </c>
      <c r="R44" s="22" t="s">
        <v>67</v>
      </c>
      <c r="S44" s="22">
        <v>80127</v>
      </c>
      <c r="T44" s="22" t="s">
        <v>1087</v>
      </c>
      <c r="V44" s="210"/>
      <c r="W44" s="22" t="s">
        <v>1088</v>
      </c>
      <c r="X44" s="22" t="s">
        <v>1089</v>
      </c>
      <c r="Y44" s="23">
        <v>1</v>
      </c>
      <c r="AC44" s="23"/>
      <c r="AD44" s="23"/>
      <c r="AE44" s="23"/>
      <c r="AG44" s="23"/>
      <c r="AH44" s="23"/>
      <c r="AL44" s="23"/>
      <c r="AM44" s="23"/>
      <c r="AQ44" s="210"/>
      <c r="AR44" s="23">
        <v>11</v>
      </c>
      <c r="AS44" s="22" t="s">
        <v>1099</v>
      </c>
    </row>
    <row r="45" spans="2:46" s="22" customFormat="1">
      <c r="B45" s="22" t="s">
        <v>1295</v>
      </c>
      <c r="C45" s="22" t="s">
        <v>1296</v>
      </c>
      <c r="E45" s="210"/>
      <c r="F45" s="23"/>
      <c r="G45" s="23"/>
      <c r="H45" s="23"/>
      <c r="I45" s="23"/>
      <c r="J45" s="23">
        <v>1</v>
      </c>
      <c r="K45" s="23"/>
      <c r="L45" s="23"/>
      <c r="M45" s="210"/>
      <c r="N45" s="22" t="s">
        <v>1092</v>
      </c>
      <c r="O45" s="36" t="s">
        <v>1036</v>
      </c>
      <c r="P45" s="22" t="s">
        <v>1270</v>
      </c>
      <c r="Q45" s="22" t="s">
        <v>1235</v>
      </c>
      <c r="R45" s="22" t="s">
        <v>594</v>
      </c>
      <c r="S45" s="22">
        <v>57701</v>
      </c>
      <c r="T45" s="22" t="s">
        <v>1090</v>
      </c>
      <c r="V45" s="210"/>
      <c r="W45" s="22" t="s">
        <v>1091</v>
      </c>
      <c r="Y45" s="23"/>
      <c r="AC45" s="23"/>
      <c r="AD45" s="23"/>
      <c r="AE45" s="23"/>
      <c r="AG45" s="23"/>
      <c r="AH45" s="23"/>
      <c r="AL45" s="23"/>
      <c r="AM45" s="23"/>
      <c r="AQ45" s="210"/>
      <c r="AR45" s="23">
        <v>6</v>
      </c>
      <c r="AS45" s="22" t="s">
        <v>1099</v>
      </c>
    </row>
    <row r="46" spans="2:46" s="22" customFormat="1">
      <c r="B46" s="22" t="s">
        <v>667</v>
      </c>
      <c r="C46" s="22" t="s">
        <v>1297</v>
      </c>
      <c r="E46" s="210"/>
      <c r="F46" s="23">
        <v>1</v>
      </c>
      <c r="G46" s="23"/>
      <c r="H46" s="23"/>
      <c r="I46" s="23"/>
      <c r="J46" s="23"/>
      <c r="K46" s="23"/>
      <c r="L46" s="23"/>
      <c r="M46" s="210"/>
      <c r="N46" s="22" t="s">
        <v>1113</v>
      </c>
      <c r="O46" s="36" t="s">
        <v>1037</v>
      </c>
      <c r="P46" s="22" t="s">
        <v>1093</v>
      </c>
      <c r="Q46" s="22" t="s">
        <v>1236</v>
      </c>
      <c r="R46" s="22" t="s">
        <v>551</v>
      </c>
      <c r="S46" s="22">
        <v>32216</v>
      </c>
      <c r="T46" s="22" t="s">
        <v>1094</v>
      </c>
      <c r="V46" s="210"/>
      <c r="W46" s="22" t="s">
        <v>1095</v>
      </c>
      <c r="X46" s="22" t="s">
        <v>1096</v>
      </c>
      <c r="Y46" s="23">
        <v>1</v>
      </c>
      <c r="AB46" s="22" t="s">
        <v>1097</v>
      </c>
      <c r="AC46" s="23"/>
      <c r="AD46" s="23">
        <v>1</v>
      </c>
      <c r="AE46" s="23">
        <v>3246</v>
      </c>
      <c r="AF46" s="22" t="s">
        <v>1098</v>
      </c>
      <c r="AG46" s="23">
        <v>1</v>
      </c>
      <c r="AH46" s="23">
        <v>89</v>
      </c>
      <c r="AL46" s="23"/>
      <c r="AM46" s="23"/>
      <c r="AQ46" s="210"/>
      <c r="AR46" s="23">
        <v>48</v>
      </c>
      <c r="AS46" s="22" t="s">
        <v>1099</v>
      </c>
    </row>
    <row r="47" spans="2:46" s="22" customFormat="1">
      <c r="B47" s="22" t="s">
        <v>667</v>
      </c>
      <c r="C47" s="22" t="s">
        <v>1298</v>
      </c>
      <c r="E47" s="210"/>
      <c r="F47" s="23">
        <v>1</v>
      </c>
      <c r="G47" s="23"/>
      <c r="H47" s="23"/>
      <c r="I47" s="23"/>
      <c r="J47" s="23"/>
      <c r="K47" s="23"/>
      <c r="L47" s="23"/>
      <c r="M47" s="210"/>
      <c r="N47" s="22" t="s">
        <v>1103</v>
      </c>
      <c r="O47" s="36" t="s">
        <v>1038</v>
      </c>
      <c r="P47" s="22" t="s">
        <v>1100</v>
      </c>
      <c r="Q47" s="22" t="s">
        <v>1237</v>
      </c>
      <c r="R47" s="22" t="s">
        <v>663</v>
      </c>
      <c r="S47" s="22">
        <v>30097</v>
      </c>
      <c r="T47" s="22" t="s">
        <v>1101</v>
      </c>
      <c r="V47" s="210"/>
      <c r="W47" s="22" t="s">
        <v>1102</v>
      </c>
      <c r="X47" s="22" t="s">
        <v>1104</v>
      </c>
      <c r="Y47" s="23">
        <v>1</v>
      </c>
      <c r="AC47" s="23"/>
      <c r="AD47" s="23"/>
      <c r="AE47" s="23"/>
      <c r="AG47" s="23"/>
      <c r="AH47" s="23"/>
      <c r="AL47" s="23"/>
      <c r="AM47" s="23"/>
      <c r="AQ47" s="210"/>
      <c r="AR47" s="23">
        <v>92</v>
      </c>
      <c r="AS47" s="22" t="s">
        <v>1099</v>
      </c>
    </row>
    <row r="48" spans="2:46" s="22" customFormat="1">
      <c r="B48" s="22" t="s">
        <v>1299</v>
      </c>
      <c r="C48" s="22" t="s">
        <v>1300</v>
      </c>
      <c r="E48" s="210"/>
      <c r="F48" s="23">
        <v>1</v>
      </c>
      <c r="G48" s="23"/>
      <c r="H48" s="23"/>
      <c r="I48" s="23"/>
      <c r="J48" s="23"/>
      <c r="K48" s="23"/>
      <c r="L48" s="23"/>
      <c r="M48" s="210"/>
      <c r="N48" s="22" t="s">
        <v>1092</v>
      </c>
      <c r="O48" s="36" t="s">
        <v>1039</v>
      </c>
      <c r="P48" s="22" t="s">
        <v>1105</v>
      </c>
      <c r="Q48" s="22" t="s">
        <v>325</v>
      </c>
      <c r="R48" s="22" t="s">
        <v>326</v>
      </c>
      <c r="S48" s="22">
        <v>96822</v>
      </c>
      <c r="T48" s="22" t="s">
        <v>1106</v>
      </c>
      <c r="V48" s="210"/>
      <c r="W48" s="22" t="s">
        <v>1107</v>
      </c>
      <c r="X48" s="36" t="s">
        <v>1108</v>
      </c>
      <c r="Y48" s="23">
        <v>1</v>
      </c>
      <c r="AC48" s="23"/>
      <c r="AD48" s="23"/>
      <c r="AE48" s="23"/>
      <c r="AG48" s="23"/>
      <c r="AH48" s="23"/>
      <c r="AL48" s="23"/>
      <c r="AM48" s="23"/>
      <c r="AQ48" s="210"/>
      <c r="AR48" s="23">
        <v>7</v>
      </c>
      <c r="AS48" s="22" t="s">
        <v>1099</v>
      </c>
      <c r="AT48" s="22" t="s">
        <v>1109</v>
      </c>
    </row>
    <row r="49" spans="2:46" s="22" customFormat="1">
      <c r="B49" s="22" t="s">
        <v>466</v>
      </c>
      <c r="C49" s="22" t="s">
        <v>1339</v>
      </c>
      <c r="E49" s="210"/>
      <c r="F49" s="23">
        <v>1</v>
      </c>
      <c r="G49" s="23"/>
      <c r="H49" s="23"/>
      <c r="I49" s="23"/>
      <c r="J49" s="23"/>
      <c r="K49" s="23"/>
      <c r="L49" s="23"/>
      <c r="M49" s="210"/>
      <c r="N49" s="22" t="s">
        <v>1113</v>
      </c>
      <c r="O49" s="36" t="s">
        <v>1040</v>
      </c>
      <c r="P49" s="22" t="s">
        <v>1110</v>
      </c>
      <c r="Q49" s="22" t="s">
        <v>1238</v>
      </c>
      <c r="R49" s="22" t="s">
        <v>352</v>
      </c>
      <c r="S49" s="22">
        <v>50021</v>
      </c>
      <c r="T49" s="22" t="s">
        <v>1111</v>
      </c>
      <c r="V49" s="210"/>
      <c r="W49" s="36" t="s">
        <v>1112</v>
      </c>
      <c r="X49" s="22" t="s">
        <v>1114</v>
      </c>
      <c r="Y49" s="23">
        <v>1</v>
      </c>
      <c r="AC49" s="23"/>
      <c r="AD49" s="23"/>
      <c r="AE49" s="23"/>
      <c r="AG49" s="23"/>
      <c r="AH49" s="23"/>
      <c r="AL49" s="23"/>
      <c r="AM49" s="23"/>
      <c r="AQ49" s="210"/>
      <c r="AR49" s="23">
        <v>7</v>
      </c>
      <c r="AS49" s="22" t="s">
        <v>1099</v>
      </c>
    </row>
    <row r="50" spans="2:46" s="22" customFormat="1">
      <c r="B50" s="22" t="s">
        <v>58</v>
      </c>
      <c r="C50" s="22" t="s">
        <v>1301</v>
      </c>
      <c r="E50" s="210"/>
      <c r="F50" s="23">
        <v>1</v>
      </c>
      <c r="G50" s="23"/>
      <c r="H50" s="23"/>
      <c r="I50" s="23"/>
      <c r="J50" s="23"/>
      <c r="K50" s="23"/>
      <c r="L50" s="23"/>
      <c r="M50" s="210"/>
      <c r="N50" s="22" t="s">
        <v>1118</v>
      </c>
      <c r="O50" s="36" t="s">
        <v>1041</v>
      </c>
      <c r="P50" s="22" t="s">
        <v>1115</v>
      </c>
      <c r="Q50" s="22" t="s">
        <v>128</v>
      </c>
      <c r="R50" s="22" t="s">
        <v>333</v>
      </c>
      <c r="S50" s="22">
        <v>62703</v>
      </c>
      <c r="T50" s="22" t="s">
        <v>1116</v>
      </c>
      <c r="V50" s="210"/>
      <c r="W50" s="36" t="s">
        <v>1117</v>
      </c>
      <c r="Y50" s="23"/>
      <c r="AC50" s="23"/>
      <c r="AD50" s="23"/>
      <c r="AE50" s="23"/>
      <c r="AG50" s="23"/>
      <c r="AH50" s="23"/>
      <c r="AL50" s="23"/>
      <c r="AM50" s="23"/>
      <c r="AQ50" s="210"/>
      <c r="AR50" s="23">
        <v>34</v>
      </c>
      <c r="AS50" s="22" t="s">
        <v>1099</v>
      </c>
      <c r="AT50" s="22" t="s">
        <v>1119</v>
      </c>
    </row>
    <row r="51" spans="2:46" s="22" customFormat="1">
      <c r="B51" s="22" t="s">
        <v>1302</v>
      </c>
      <c r="C51" s="22" t="s">
        <v>1303</v>
      </c>
      <c r="E51" s="210"/>
      <c r="F51" s="23">
        <v>1</v>
      </c>
      <c r="G51" s="23"/>
      <c r="H51" s="23"/>
      <c r="I51" s="23"/>
      <c r="J51" s="23"/>
      <c r="K51" s="23"/>
      <c r="L51" s="23"/>
      <c r="M51" s="210"/>
      <c r="N51" s="22" t="s">
        <v>1118</v>
      </c>
      <c r="O51" s="36" t="s">
        <v>1042</v>
      </c>
      <c r="P51" s="22" t="s">
        <v>1271</v>
      </c>
      <c r="Q51" s="22" t="s">
        <v>1239</v>
      </c>
      <c r="R51" s="22" t="s">
        <v>344</v>
      </c>
      <c r="S51" s="22">
        <v>46151</v>
      </c>
      <c r="T51" s="22" t="s">
        <v>1120</v>
      </c>
      <c r="V51" s="210"/>
      <c r="W51" s="36" t="s">
        <v>1121</v>
      </c>
      <c r="X51" s="22" t="s">
        <v>1122</v>
      </c>
      <c r="Y51" s="23">
        <v>1</v>
      </c>
      <c r="AC51" s="23"/>
      <c r="AD51" s="23"/>
      <c r="AE51" s="23"/>
      <c r="AG51" s="23"/>
      <c r="AH51" s="23"/>
      <c r="AL51" s="23"/>
      <c r="AM51" s="23"/>
      <c r="AQ51" s="210"/>
      <c r="AR51" s="23">
        <v>14</v>
      </c>
      <c r="AS51" s="22" t="s">
        <v>1099</v>
      </c>
    </row>
    <row r="52" spans="2:46" s="22" customFormat="1">
      <c r="B52" s="22" t="s">
        <v>255</v>
      </c>
      <c r="C52" s="22" t="s">
        <v>1304</v>
      </c>
      <c r="E52" s="210"/>
      <c r="F52" s="23">
        <v>1</v>
      </c>
      <c r="G52" s="23"/>
      <c r="H52" s="23"/>
      <c r="I52" s="23"/>
      <c r="J52" s="23"/>
      <c r="K52" s="23"/>
      <c r="L52" s="23"/>
      <c r="M52" s="210"/>
      <c r="N52" s="22" t="s">
        <v>1118</v>
      </c>
      <c r="O52" s="36" t="s">
        <v>1043</v>
      </c>
      <c r="P52" s="22" t="s">
        <v>1272</v>
      </c>
      <c r="Q52" s="22" t="s">
        <v>1240</v>
      </c>
      <c r="R52" s="22" t="s">
        <v>289</v>
      </c>
      <c r="S52" s="22">
        <v>66606</v>
      </c>
      <c r="T52" s="22" t="s">
        <v>1123</v>
      </c>
      <c r="V52" s="210"/>
      <c r="W52" s="36" t="s">
        <v>1124</v>
      </c>
      <c r="X52" s="36" t="s">
        <v>1126</v>
      </c>
      <c r="Y52" s="23">
        <v>1</v>
      </c>
      <c r="AB52" s="22" t="s">
        <v>1127</v>
      </c>
      <c r="AC52" s="23"/>
      <c r="AD52" s="23">
        <v>1</v>
      </c>
      <c r="AE52" s="23">
        <v>1562</v>
      </c>
      <c r="AF52" s="22" t="s">
        <v>1128</v>
      </c>
      <c r="AG52" s="23">
        <v>1</v>
      </c>
      <c r="AH52" s="23">
        <v>2900</v>
      </c>
      <c r="AL52" s="23"/>
      <c r="AM52" s="23"/>
      <c r="AN52" s="22" t="s">
        <v>1129</v>
      </c>
      <c r="AO52" s="22">
        <v>1</v>
      </c>
      <c r="AP52" s="22">
        <v>500</v>
      </c>
      <c r="AQ52" s="210"/>
      <c r="AR52" s="23">
        <v>12</v>
      </c>
      <c r="AS52" s="22" t="s">
        <v>1099</v>
      </c>
      <c r="AT52" s="22" t="s">
        <v>1125</v>
      </c>
    </row>
    <row r="53" spans="2:46" s="22" customFormat="1">
      <c r="B53" s="36" t="s">
        <v>1305</v>
      </c>
      <c r="C53" s="22" t="s">
        <v>1306</v>
      </c>
      <c r="E53" s="210"/>
      <c r="F53" s="23">
        <v>1</v>
      </c>
      <c r="G53" s="23"/>
      <c r="H53" s="23"/>
      <c r="I53" s="23"/>
      <c r="J53" s="23"/>
      <c r="K53" s="23"/>
      <c r="L53" s="23"/>
      <c r="M53" s="210"/>
      <c r="N53" s="22" t="s">
        <v>1133</v>
      </c>
      <c r="O53" s="36" t="s">
        <v>1044</v>
      </c>
      <c r="P53" s="22" t="s">
        <v>1130</v>
      </c>
      <c r="Q53" s="22" t="s">
        <v>1262</v>
      </c>
      <c r="R53" s="22" t="s">
        <v>362</v>
      </c>
      <c r="S53" s="22">
        <v>40223</v>
      </c>
      <c r="T53" s="22" t="s">
        <v>1131</v>
      </c>
      <c r="V53" s="210"/>
      <c r="W53" s="36" t="s">
        <v>1132</v>
      </c>
      <c r="Y53" s="23"/>
      <c r="AC53" s="23"/>
      <c r="AD53" s="23"/>
      <c r="AE53" s="23"/>
      <c r="AG53" s="23"/>
      <c r="AH53" s="23"/>
      <c r="AL53" s="23"/>
      <c r="AM53" s="23"/>
      <c r="AQ53" s="210"/>
      <c r="AR53" s="23">
        <v>70</v>
      </c>
      <c r="AS53" s="22" t="s">
        <v>1099</v>
      </c>
    </row>
    <row r="54" spans="2:46" s="22" customFormat="1">
      <c r="B54" s="22" t="s">
        <v>1307</v>
      </c>
      <c r="C54" s="22" t="s">
        <v>1308</v>
      </c>
      <c r="E54" s="210"/>
      <c r="F54" s="23">
        <v>1</v>
      </c>
      <c r="G54" s="23"/>
      <c r="H54" s="23"/>
      <c r="I54" s="23"/>
      <c r="J54" s="23"/>
      <c r="K54" s="23"/>
      <c r="L54" s="23"/>
      <c r="M54" s="210"/>
      <c r="N54" s="22" t="s">
        <v>1118</v>
      </c>
      <c r="O54" s="36" t="s">
        <v>1045</v>
      </c>
      <c r="P54" s="22" t="s">
        <v>1134</v>
      </c>
      <c r="Q54" s="22" t="s">
        <v>370</v>
      </c>
      <c r="R54" s="22" t="s">
        <v>371</v>
      </c>
      <c r="S54" s="22">
        <v>71303</v>
      </c>
      <c r="T54" s="22" t="s">
        <v>1135</v>
      </c>
      <c r="V54" s="210"/>
      <c r="W54" s="36" t="s">
        <v>1136</v>
      </c>
      <c r="Y54" s="23"/>
      <c r="AC54" s="23"/>
      <c r="AD54" s="23"/>
      <c r="AE54" s="23"/>
      <c r="AG54" s="23"/>
      <c r="AH54" s="23"/>
      <c r="AL54" s="23"/>
      <c r="AM54" s="23"/>
      <c r="AQ54" s="210"/>
      <c r="AR54" s="23">
        <v>42</v>
      </c>
      <c r="AS54" s="22" t="s">
        <v>1099</v>
      </c>
    </row>
    <row r="55" spans="2:46" s="22" customFormat="1">
      <c r="B55" s="36" t="s">
        <v>424</v>
      </c>
      <c r="C55" s="22" t="s">
        <v>1309</v>
      </c>
      <c r="E55" s="210"/>
      <c r="F55" s="23"/>
      <c r="G55" s="23">
        <v>1</v>
      </c>
      <c r="H55" s="23"/>
      <c r="I55" s="23"/>
      <c r="J55" s="23"/>
      <c r="K55" s="23"/>
      <c r="L55" s="23"/>
      <c r="M55" s="210"/>
      <c r="N55" s="22" t="s">
        <v>1118</v>
      </c>
      <c r="O55" s="36" t="s">
        <v>1046</v>
      </c>
      <c r="P55" s="22" t="s">
        <v>1265</v>
      </c>
      <c r="Q55" s="22" t="s">
        <v>492</v>
      </c>
      <c r="R55" s="22" t="s">
        <v>1256</v>
      </c>
      <c r="S55" s="22">
        <v>21046</v>
      </c>
      <c r="T55" s="22" t="s">
        <v>1137</v>
      </c>
      <c r="V55" s="210"/>
      <c r="W55" s="36" t="s">
        <v>1138</v>
      </c>
      <c r="X55" s="36" t="s">
        <v>1139</v>
      </c>
      <c r="Y55" s="23">
        <v>1</v>
      </c>
      <c r="AC55" s="23"/>
      <c r="AD55" s="23"/>
      <c r="AE55" s="23"/>
      <c r="AG55" s="23"/>
      <c r="AH55" s="23"/>
      <c r="AL55" s="23"/>
      <c r="AM55" s="23"/>
      <c r="AQ55" s="210"/>
      <c r="AR55" s="23">
        <v>11</v>
      </c>
      <c r="AS55" s="22" t="s">
        <v>1099</v>
      </c>
    </row>
    <row r="56" spans="2:46" s="22" customFormat="1">
      <c r="B56" s="22" t="s">
        <v>466</v>
      </c>
      <c r="C56" s="22" t="s">
        <v>1310</v>
      </c>
      <c r="E56" s="210"/>
      <c r="F56" s="23">
        <v>1</v>
      </c>
      <c r="G56" s="23"/>
      <c r="H56" s="23"/>
      <c r="I56" s="23"/>
      <c r="J56" s="23"/>
      <c r="K56" s="23"/>
      <c r="L56" s="23"/>
      <c r="M56" s="210"/>
      <c r="N56" s="22" t="s">
        <v>1144</v>
      </c>
      <c r="O56" s="36" t="s">
        <v>1047</v>
      </c>
      <c r="P56" s="22" t="s">
        <v>1140</v>
      </c>
      <c r="Q56" s="22" t="s">
        <v>1241</v>
      </c>
      <c r="R56" s="22" t="s">
        <v>380</v>
      </c>
      <c r="S56" s="22">
        <v>48170</v>
      </c>
      <c r="T56" s="22" t="s">
        <v>1141</v>
      </c>
      <c r="V56" s="210"/>
      <c r="W56" s="36" t="s">
        <v>1142</v>
      </c>
      <c r="X56" s="36" t="s">
        <v>1143</v>
      </c>
      <c r="Y56" s="23">
        <v>1</v>
      </c>
      <c r="AC56" s="23"/>
      <c r="AD56" s="23"/>
      <c r="AE56" s="23"/>
      <c r="AG56" s="23"/>
      <c r="AH56" s="23"/>
      <c r="AL56" s="23"/>
      <c r="AM56" s="23"/>
      <c r="AQ56" s="210"/>
      <c r="AR56" s="23">
        <v>13</v>
      </c>
      <c r="AS56" s="22" t="s">
        <v>1099</v>
      </c>
    </row>
    <row r="57" spans="2:46" s="22" customFormat="1">
      <c r="B57" s="22" t="s">
        <v>1311</v>
      </c>
      <c r="C57" s="22" t="s">
        <v>1312</v>
      </c>
      <c r="E57" s="210"/>
      <c r="F57" s="23">
        <v>1</v>
      </c>
      <c r="G57" s="23"/>
      <c r="H57" s="23"/>
      <c r="I57" s="23"/>
      <c r="J57" s="23"/>
      <c r="K57" s="23"/>
      <c r="L57" s="23"/>
      <c r="M57" s="210"/>
      <c r="N57" s="22" t="s">
        <v>1118</v>
      </c>
      <c r="O57" s="36" t="s">
        <v>1048</v>
      </c>
      <c r="P57" s="22" t="s">
        <v>1273</v>
      </c>
      <c r="Q57" s="22" t="s">
        <v>1242</v>
      </c>
      <c r="R57" s="22" t="s">
        <v>389</v>
      </c>
      <c r="S57" s="22">
        <v>55904</v>
      </c>
      <c r="T57" s="22" t="s">
        <v>1145</v>
      </c>
      <c r="V57" s="210"/>
      <c r="W57" s="36" t="s">
        <v>1146</v>
      </c>
      <c r="X57" s="22" t="s">
        <v>1147</v>
      </c>
      <c r="Y57" s="23">
        <v>1</v>
      </c>
      <c r="AC57" s="23"/>
      <c r="AD57" s="23"/>
      <c r="AE57" s="23"/>
      <c r="AG57" s="23"/>
      <c r="AH57" s="23"/>
      <c r="AL57" s="23"/>
      <c r="AM57" s="23"/>
      <c r="AQ57" s="210"/>
      <c r="AR57" s="23">
        <v>7</v>
      </c>
      <c r="AS57" s="22" t="s">
        <v>1099</v>
      </c>
      <c r="AT57" s="22" t="s">
        <v>1148</v>
      </c>
    </row>
    <row r="58" spans="2:46" s="22" customFormat="1">
      <c r="B58" s="22" t="s">
        <v>514</v>
      </c>
      <c r="C58" s="22" t="s">
        <v>1313</v>
      </c>
      <c r="E58" s="210"/>
      <c r="F58" s="23"/>
      <c r="G58" s="23"/>
      <c r="H58" s="23"/>
      <c r="I58" s="23"/>
      <c r="J58" s="23">
        <v>1</v>
      </c>
      <c r="K58" s="23"/>
      <c r="L58" s="23"/>
      <c r="M58" s="210"/>
      <c r="N58" s="22" t="s">
        <v>1118</v>
      </c>
      <c r="O58" s="36" t="s">
        <v>1049</v>
      </c>
      <c r="P58" s="22" t="s">
        <v>1274</v>
      </c>
      <c r="Q58" s="22" t="s">
        <v>1243</v>
      </c>
      <c r="R58" s="22" t="s">
        <v>129</v>
      </c>
      <c r="S58" s="22">
        <v>65101</v>
      </c>
      <c r="T58" s="22" t="s">
        <v>1149</v>
      </c>
      <c r="V58" s="210"/>
      <c r="W58" s="36" t="s">
        <v>1150</v>
      </c>
      <c r="X58" s="36" t="s">
        <v>1151</v>
      </c>
      <c r="Y58" s="23">
        <v>1</v>
      </c>
      <c r="AC58" s="23"/>
      <c r="AD58" s="23"/>
      <c r="AE58" s="23"/>
      <c r="AG58" s="23"/>
      <c r="AH58" s="23"/>
      <c r="AL58" s="23"/>
      <c r="AM58" s="23"/>
      <c r="AQ58" s="210"/>
      <c r="AR58" s="23">
        <v>61</v>
      </c>
      <c r="AS58" s="22" t="s">
        <v>1099</v>
      </c>
    </row>
    <row r="59" spans="2:46" s="22" customFormat="1">
      <c r="B59" s="22" t="s">
        <v>1314</v>
      </c>
      <c r="C59" s="22" t="s">
        <v>1315</v>
      </c>
      <c r="E59" s="210"/>
      <c r="F59" s="23">
        <v>1</v>
      </c>
      <c r="G59" s="23"/>
      <c r="H59" s="23"/>
      <c r="I59" s="23"/>
      <c r="J59" s="23"/>
      <c r="K59" s="23"/>
      <c r="L59" s="23"/>
      <c r="M59" s="210"/>
      <c r="N59" s="22" t="s">
        <v>1144</v>
      </c>
      <c r="O59" s="36" t="s">
        <v>1050</v>
      </c>
      <c r="P59" s="22" t="s">
        <v>1275</v>
      </c>
      <c r="Q59" s="22" t="s">
        <v>1263</v>
      </c>
      <c r="R59" s="22" t="s">
        <v>399</v>
      </c>
      <c r="S59" s="22">
        <v>39205</v>
      </c>
      <c r="T59" s="22" t="s">
        <v>1152</v>
      </c>
      <c r="V59" s="210"/>
      <c r="W59" s="36" t="s">
        <v>1153</v>
      </c>
      <c r="X59" s="22" t="s">
        <v>1154</v>
      </c>
      <c r="Y59" s="23">
        <v>1</v>
      </c>
      <c r="AC59" s="23"/>
      <c r="AD59" s="23"/>
      <c r="AE59" s="23"/>
      <c r="AG59" s="23"/>
      <c r="AH59" s="23"/>
      <c r="AL59" s="23"/>
      <c r="AM59" s="23"/>
      <c r="AQ59" s="210"/>
      <c r="AR59" s="23">
        <v>67</v>
      </c>
      <c r="AS59" s="22" t="s">
        <v>1099</v>
      </c>
      <c r="AT59" s="22" t="s">
        <v>1155</v>
      </c>
    </row>
    <row r="60" spans="2:46" s="22" customFormat="1">
      <c r="B60" s="22" t="s">
        <v>145</v>
      </c>
      <c r="C60" s="22" t="s">
        <v>1316</v>
      </c>
      <c r="E60" s="210"/>
      <c r="F60" s="23">
        <v>1</v>
      </c>
      <c r="G60" s="23"/>
      <c r="H60" s="23"/>
      <c r="I60" s="23"/>
      <c r="J60" s="23"/>
      <c r="K60" s="23"/>
      <c r="L60" s="23"/>
      <c r="M60" s="210"/>
      <c r="N60" s="22" t="s">
        <v>1118</v>
      </c>
      <c r="O60" s="36" t="s">
        <v>1051</v>
      </c>
      <c r="P60" s="22" t="s">
        <v>1276</v>
      </c>
      <c r="Q60" s="22" t="s">
        <v>61</v>
      </c>
      <c r="R60" s="22" t="s">
        <v>62</v>
      </c>
      <c r="S60" s="22">
        <v>59101</v>
      </c>
      <c r="T60" s="22" t="s">
        <v>1156</v>
      </c>
      <c r="V60" s="210"/>
      <c r="W60" s="36" t="s">
        <v>1157</v>
      </c>
      <c r="X60" s="36" t="s">
        <v>1158</v>
      </c>
      <c r="Y60" s="23">
        <v>1</v>
      </c>
      <c r="AC60" s="23"/>
      <c r="AD60" s="23"/>
      <c r="AE60" s="23"/>
      <c r="AG60" s="23"/>
      <c r="AH60" s="23"/>
      <c r="AL60" s="23"/>
      <c r="AM60" s="23"/>
      <c r="AQ60" s="210"/>
      <c r="AR60" s="23">
        <v>5</v>
      </c>
      <c r="AS60" s="22" t="s">
        <v>1099</v>
      </c>
    </row>
    <row r="61" spans="2:46" s="22" customFormat="1">
      <c r="B61" s="22" t="s">
        <v>1305</v>
      </c>
      <c r="C61" s="22" t="s">
        <v>1317</v>
      </c>
      <c r="E61" s="210"/>
      <c r="F61" s="23">
        <v>1</v>
      </c>
      <c r="G61" s="23"/>
      <c r="H61" s="23"/>
      <c r="I61" s="23"/>
      <c r="J61" s="23"/>
      <c r="K61" s="23"/>
      <c r="L61" s="23"/>
      <c r="M61" s="210"/>
      <c r="N61" s="22" t="s">
        <v>1118</v>
      </c>
      <c r="O61" s="36" t="s">
        <v>1052</v>
      </c>
      <c r="P61" s="22" t="s">
        <v>1159</v>
      </c>
      <c r="Q61" s="22" t="s">
        <v>1244</v>
      </c>
      <c r="R61" s="22" t="s">
        <v>446</v>
      </c>
      <c r="S61" s="22">
        <v>27511</v>
      </c>
      <c r="T61" s="22" t="s">
        <v>1160</v>
      </c>
      <c r="V61" s="210"/>
      <c r="W61" s="36" t="s">
        <v>1161</v>
      </c>
      <c r="X61" s="22" t="s">
        <v>1162</v>
      </c>
      <c r="Y61" s="23">
        <v>1</v>
      </c>
      <c r="AB61" s="22" t="s">
        <v>1163</v>
      </c>
      <c r="AC61" s="23">
        <v>1</v>
      </c>
      <c r="AD61" s="23">
        <v>1</v>
      </c>
      <c r="AE61" s="23">
        <v>4436</v>
      </c>
      <c r="AF61" s="22" t="s">
        <v>1164</v>
      </c>
      <c r="AG61" s="23">
        <v>1</v>
      </c>
      <c r="AH61" s="23">
        <v>314</v>
      </c>
      <c r="AK61" s="22" t="s">
        <v>1165</v>
      </c>
      <c r="AL61" s="23">
        <v>1</v>
      </c>
      <c r="AM61" s="23">
        <v>925</v>
      </c>
      <c r="AQ61" s="210"/>
      <c r="AR61" s="23">
        <v>80</v>
      </c>
      <c r="AS61" s="22" t="s">
        <v>1099</v>
      </c>
    </row>
    <row r="62" spans="2:46" s="22" customFormat="1">
      <c r="B62" s="22" t="s">
        <v>284</v>
      </c>
      <c r="C62" s="22" t="s">
        <v>1318</v>
      </c>
      <c r="E62" s="210"/>
      <c r="F62" s="23">
        <v>1</v>
      </c>
      <c r="G62" s="23"/>
      <c r="H62" s="23"/>
      <c r="I62" s="23"/>
      <c r="J62" s="23"/>
      <c r="K62" s="23"/>
      <c r="L62" s="23"/>
      <c r="M62" s="210"/>
      <c r="N62" s="22" t="s">
        <v>1169</v>
      </c>
      <c r="O62" s="36" t="s">
        <v>1053</v>
      </c>
      <c r="P62" s="22" t="s">
        <v>1166</v>
      </c>
      <c r="Q62" s="22" t="s">
        <v>1245</v>
      </c>
      <c r="R62" s="22" t="s">
        <v>618</v>
      </c>
      <c r="S62" s="22">
        <v>1532</v>
      </c>
      <c r="T62" s="22" t="s">
        <v>1167</v>
      </c>
      <c r="V62" s="210"/>
      <c r="W62" s="36" t="s">
        <v>1168</v>
      </c>
      <c r="X62" s="22" t="s">
        <v>1170</v>
      </c>
      <c r="Y62" s="23">
        <v>1</v>
      </c>
      <c r="AC62" s="23"/>
      <c r="AD62" s="23"/>
      <c r="AE62" s="23"/>
      <c r="AG62" s="23"/>
      <c r="AH62" s="23"/>
      <c r="AL62" s="23"/>
      <c r="AM62" s="23"/>
      <c r="AQ62" s="210"/>
      <c r="AR62" s="23">
        <v>3</v>
      </c>
      <c r="AS62" s="22" t="s">
        <v>1099</v>
      </c>
    </row>
    <row r="63" spans="2:46" s="22" customFormat="1">
      <c r="B63" s="22" t="s">
        <v>1307</v>
      </c>
      <c r="C63" s="22" t="s">
        <v>1319</v>
      </c>
      <c r="E63" s="210"/>
      <c r="F63" s="23">
        <v>1</v>
      </c>
      <c r="G63" s="23"/>
      <c r="H63" s="23"/>
      <c r="I63" s="23"/>
      <c r="J63" s="23"/>
      <c r="K63" s="23"/>
      <c r="L63" s="23"/>
      <c r="M63" s="210"/>
      <c r="N63" s="22" t="s">
        <v>1118</v>
      </c>
      <c r="O63" s="36" t="s">
        <v>1054</v>
      </c>
      <c r="P63" s="22" t="s">
        <v>1171</v>
      </c>
      <c r="Q63" s="22" t="s">
        <v>429</v>
      </c>
      <c r="R63" s="22" t="s">
        <v>430</v>
      </c>
      <c r="S63" s="22">
        <v>87199</v>
      </c>
      <c r="T63" s="22" t="s">
        <v>1172</v>
      </c>
      <c r="V63" s="210"/>
      <c r="W63" s="36" t="s">
        <v>1173</v>
      </c>
      <c r="Y63" s="23"/>
      <c r="AC63" s="23"/>
      <c r="AD63" s="23"/>
      <c r="AE63" s="23"/>
      <c r="AG63" s="23"/>
      <c r="AH63" s="23"/>
      <c r="AL63" s="23"/>
      <c r="AM63" s="23"/>
      <c r="AQ63" s="210"/>
      <c r="AR63" s="23">
        <v>13</v>
      </c>
      <c r="AS63" s="22" t="s">
        <v>1099</v>
      </c>
    </row>
    <row r="64" spans="2:46" s="22" customFormat="1">
      <c r="B64" s="22" t="s">
        <v>47</v>
      </c>
      <c r="C64" s="22" t="s">
        <v>1301</v>
      </c>
      <c r="E64" s="210"/>
      <c r="F64" s="23">
        <v>1</v>
      </c>
      <c r="G64" s="23"/>
      <c r="H64" s="23"/>
      <c r="I64" s="23"/>
      <c r="J64" s="23"/>
      <c r="K64" s="23"/>
      <c r="L64" s="23"/>
      <c r="M64" s="210"/>
      <c r="N64" s="22" t="s">
        <v>1118</v>
      </c>
      <c r="O64" s="36" t="s">
        <v>1055</v>
      </c>
      <c r="P64" s="22" t="s">
        <v>1277</v>
      </c>
      <c r="Q64" s="22" t="s">
        <v>1246</v>
      </c>
      <c r="R64" s="22" t="s">
        <v>510</v>
      </c>
      <c r="S64" s="22">
        <v>98682</v>
      </c>
      <c r="T64" s="22" t="s">
        <v>1174</v>
      </c>
      <c r="V64" s="210"/>
      <c r="W64" s="36" t="s">
        <v>1175</v>
      </c>
      <c r="Y64" s="23"/>
      <c r="AC64" s="23"/>
      <c r="AD64" s="23"/>
      <c r="AE64" s="23"/>
      <c r="AG64" s="23"/>
      <c r="AH64" s="23"/>
      <c r="AL64" s="23"/>
      <c r="AM64" s="23"/>
      <c r="AQ64" s="210"/>
      <c r="AR64" s="23">
        <v>14</v>
      </c>
      <c r="AS64" s="22" t="s">
        <v>1099</v>
      </c>
    </row>
    <row r="65" spans="2:46" s="22" customFormat="1">
      <c r="B65" s="22" t="s">
        <v>1320</v>
      </c>
      <c r="C65" s="22" t="s">
        <v>1321</v>
      </c>
      <c r="E65" s="210"/>
      <c r="F65" s="23">
        <v>1</v>
      </c>
      <c r="G65" s="23"/>
      <c r="H65" s="23"/>
      <c r="I65" s="23"/>
      <c r="J65" s="23"/>
      <c r="K65" s="23"/>
      <c r="L65" s="23"/>
      <c r="M65" s="210"/>
      <c r="N65" s="22" t="s">
        <v>1118</v>
      </c>
      <c r="O65" s="36" t="s">
        <v>1056</v>
      </c>
      <c r="P65" s="22" t="s">
        <v>1278</v>
      </c>
      <c r="Q65" s="22" t="s">
        <v>1247</v>
      </c>
      <c r="R65" s="22" t="s">
        <v>1257</v>
      </c>
      <c r="S65" s="22">
        <v>89509</v>
      </c>
      <c r="T65" s="22" t="s">
        <v>1176</v>
      </c>
      <c r="V65" s="210"/>
      <c r="W65" s="36" t="s">
        <v>1177</v>
      </c>
      <c r="X65" s="22" t="s">
        <v>1178</v>
      </c>
      <c r="Y65" s="23">
        <v>1</v>
      </c>
      <c r="AC65" s="23"/>
      <c r="AD65" s="23"/>
      <c r="AE65" s="23"/>
      <c r="AG65" s="23"/>
      <c r="AH65" s="23"/>
      <c r="AL65" s="23"/>
      <c r="AM65" s="23"/>
      <c r="AQ65" s="210"/>
      <c r="AR65" s="23">
        <v>3</v>
      </c>
      <c r="AS65" s="22" t="s">
        <v>1099</v>
      </c>
    </row>
    <row r="66" spans="2:46" s="22" customFormat="1">
      <c r="B66" s="22" t="s">
        <v>284</v>
      </c>
      <c r="C66" s="22" t="s">
        <v>1332</v>
      </c>
      <c r="E66" s="210"/>
      <c r="F66" s="23">
        <v>1</v>
      </c>
      <c r="G66" s="23"/>
      <c r="H66" s="23"/>
      <c r="I66" s="23"/>
      <c r="J66" s="23"/>
      <c r="K66" s="23"/>
      <c r="L66" s="23"/>
      <c r="M66" s="210"/>
      <c r="N66" s="22" t="s">
        <v>1144</v>
      </c>
      <c r="O66" s="36" t="s">
        <v>1057</v>
      </c>
      <c r="P66" s="22" t="s">
        <v>1279</v>
      </c>
      <c r="Q66" s="22" t="s">
        <v>1248</v>
      </c>
      <c r="R66" s="22" t="s">
        <v>437</v>
      </c>
      <c r="S66" s="22">
        <v>13039</v>
      </c>
      <c r="T66" s="22" t="s">
        <v>1179</v>
      </c>
      <c r="V66" s="210"/>
      <c r="W66" s="36" t="s">
        <v>1180</v>
      </c>
      <c r="X66" s="22" t="s">
        <v>1181</v>
      </c>
      <c r="Y66" s="23">
        <v>1</v>
      </c>
      <c r="AC66" s="23"/>
      <c r="AD66" s="23"/>
      <c r="AE66" s="23"/>
      <c r="AG66" s="23"/>
      <c r="AH66" s="23"/>
      <c r="AL66" s="23"/>
      <c r="AM66" s="23"/>
      <c r="AQ66" s="210"/>
      <c r="AR66" s="23">
        <v>8</v>
      </c>
      <c r="AS66" s="22" t="s">
        <v>1099</v>
      </c>
    </row>
    <row r="67" spans="2:46" s="22" customFormat="1">
      <c r="B67" s="22" t="s">
        <v>1333</v>
      </c>
      <c r="C67" s="22" t="s">
        <v>1334</v>
      </c>
      <c r="E67" s="210"/>
      <c r="F67" s="23">
        <v>1</v>
      </c>
      <c r="G67" s="23"/>
      <c r="H67" s="23"/>
      <c r="I67" s="23"/>
      <c r="J67" s="23"/>
      <c r="K67" s="23"/>
      <c r="L67" s="23"/>
      <c r="M67" s="210"/>
      <c r="N67" s="22" t="s">
        <v>1092</v>
      </c>
      <c r="O67" s="36" t="s">
        <v>1058</v>
      </c>
      <c r="P67" s="22" t="s">
        <v>1182</v>
      </c>
      <c r="Q67" s="22" t="s">
        <v>518</v>
      </c>
      <c r="R67" s="22" t="s">
        <v>519</v>
      </c>
      <c r="S67" s="22">
        <v>43240</v>
      </c>
      <c r="T67" s="22" t="s">
        <v>1183</v>
      </c>
      <c r="V67" s="210"/>
      <c r="W67" s="36" t="s">
        <v>1184</v>
      </c>
      <c r="X67" s="36" t="s">
        <v>1185</v>
      </c>
      <c r="Y67" s="23">
        <v>1</v>
      </c>
      <c r="AC67" s="23"/>
      <c r="AD67" s="23"/>
      <c r="AE67" s="23"/>
      <c r="AG67" s="23"/>
      <c r="AH67" s="23"/>
      <c r="AL67" s="23"/>
      <c r="AM67" s="23"/>
      <c r="AQ67" s="210"/>
      <c r="AR67" s="23">
        <v>15</v>
      </c>
      <c r="AS67" s="22" t="s">
        <v>1099</v>
      </c>
    </row>
    <row r="68" spans="2:46" s="22" customFormat="1">
      <c r="B68" s="22" t="s">
        <v>1305</v>
      </c>
      <c r="C68" s="22" t="s">
        <v>348</v>
      </c>
      <c r="E68" s="210"/>
      <c r="F68" s="23">
        <v>1</v>
      </c>
      <c r="G68" s="23"/>
      <c r="H68" s="23"/>
      <c r="I68" s="23"/>
      <c r="J68" s="23"/>
      <c r="K68" s="23"/>
      <c r="L68" s="23"/>
      <c r="M68" s="210"/>
      <c r="N68" s="22" t="s">
        <v>1133</v>
      </c>
      <c r="O68" s="36" t="s">
        <v>1059</v>
      </c>
      <c r="P68" s="22" t="s">
        <v>1280</v>
      </c>
      <c r="Q68" s="22" t="s">
        <v>526</v>
      </c>
      <c r="R68" s="22" t="s">
        <v>527</v>
      </c>
      <c r="S68" s="22">
        <v>73112</v>
      </c>
      <c r="T68" s="22" t="s">
        <v>1186</v>
      </c>
      <c r="V68" s="210"/>
      <c r="W68" s="36" t="s">
        <v>1187</v>
      </c>
      <c r="X68" s="22" t="s">
        <v>1188</v>
      </c>
      <c r="Y68" s="23">
        <v>1</v>
      </c>
      <c r="AC68" s="23"/>
      <c r="AD68" s="23"/>
      <c r="AE68" s="23"/>
      <c r="AG68" s="23"/>
      <c r="AH68" s="23"/>
      <c r="AL68" s="23"/>
      <c r="AM68" s="23"/>
      <c r="AQ68" s="210"/>
      <c r="AR68" s="23">
        <v>43</v>
      </c>
      <c r="AS68" s="22" t="s">
        <v>1099</v>
      </c>
    </row>
    <row r="69" spans="2:46" s="22" customFormat="1">
      <c r="B69" s="36" t="s">
        <v>1322</v>
      </c>
      <c r="C69" s="22" t="s">
        <v>1323</v>
      </c>
      <c r="E69" s="210"/>
      <c r="F69" s="23">
        <v>1</v>
      </c>
      <c r="G69" s="23"/>
      <c r="H69" s="23"/>
      <c r="I69" s="23"/>
      <c r="J69" s="23"/>
      <c r="K69" s="23"/>
      <c r="L69" s="23"/>
      <c r="M69" s="210"/>
      <c r="N69" s="22" t="s">
        <v>1144</v>
      </c>
      <c r="O69" s="36" t="s">
        <v>1060</v>
      </c>
      <c r="P69" s="22" t="s">
        <v>1189</v>
      </c>
      <c r="Q69" s="22" t="s">
        <v>1249</v>
      </c>
      <c r="R69" s="22" t="s">
        <v>543</v>
      </c>
      <c r="S69" s="22">
        <v>17109</v>
      </c>
      <c r="T69" s="22" t="s">
        <v>1190</v>
      </c>
      <c r="V69" s="210"/>
      <c r="W69" s="36" t="s">
        <v>1191</v>
      </c>
      <c r="X69" s="22" t="s">
        <v>1192</v>
      </c>
      <c r="Y69" s="23">
        <v>1</v>
      </c>
      <c r="AC69" s="23"/>
      <c r="AD69" s="23"/>
      <c r="AE69" s="23"/>
      <c r="AG69" s="23"/>
      <c r="AH69" s="23"/>
      <c r="AL69" s="23"/>
      <c r="AM69" s="23"/>
      <c r="AQ69" s="210"/>
      <c r="AR69" s="23">
        <v>6</v>
      </c>
      <c r="AS69" s="22" t="s">
        <v>1099</v>
      </c>
    </row>
    <row r="70" spans="2:46" s="22" customFormat="1">
      <c r="E70" s="210"/>
      <c r="F70" s="23"/>
      <c r="G70" s="23"/>
      <c r="H70" s="23">
        <v>1</v>
      </c>
      <c r="I70" s="23"/>
      <c r="J70" s="23"/>
      <c r="K70" s="23"/>
      <c r="L70" s="23"/>
      <c r="M70" s="210"/>
      <c r="O70" s="36" t="s">
        <v>1061</v>
      </c>
      <c r="P70" s="22" t="s">
        <v>1281</v>
      </c>
      <c r="Q70" s="22" t="s">
        <v>1250</v>
      </c>
      <c r="R70" s="22" t="s">
        <v>566</v>
      </c>
      <c r="S70" s="22">
        <v>919</v>
      </c>
      <c r="T70" s="22" t="s">
        <v>1193</v>
      </c>
      <c r="V70" s="210"/>
      <c r="W70" s="36" t="s">
        <v>1194</v>
      </c>
      <c r="Y70" s="23"/>
      <c r="AC70" s="23"/>
      <c r="AD70" s="23"/>
      <c r="AE70" s="23"/>
      <c r="AG70" s="23"/>
      <c r="AH70" s="23"/>
      <c r="AL70" s="23"/>
      <c r="AM70" s="23"/>
      <c r="AQ70" s="210"/>
      <c r="AR70" s="23">
        <v>1</v>
      </c>
      <c r="AS70" s="22" t="s">
        <v>1099</v>
      </c>
    </row>
    <row r="71" spans="2:46" s="22" customFormat="1">
      <c r="B71" s="22" t="s">
        <v>1198</v>
      </c>
      <c r="C71" s="22" t="s">
        <v>1324</v>
      </c>
      <c r="E71" s="210"/>
      <c r="F71" s="23">
        <v>1</v>
      </c>
      <c r="G71" s="23"/>
      <c r="H71" s="23"/>
      <c r="I71" s="23"/>
      <c r="J71" s="23"/>
      <c r="K71" s="23"/>
      <c r="L71" s="23"/>
      <c r="M71" s="210"/>
      <c r="N71" s="22" t="s">
        <v>1144</v>
      </c>
      <c r="O71" s="36" t="s">
        <v>1062</v>
      </c>
      <c r="P71" s="22" t="s">
        <v>1195</v>
      </c>
      <c r="Q71" s="22" t="s">
        <v>492</v>
      </c>
      <c r="R71" s="22" t="s">
        <v>586</v>
      </c>
      <c r="S71" s="22">
        <v>29210</v>
      </c>
      <c r="T71" s="22" t="s">
        <v>1196</v>
      </c>
      <c r="V71" s="210"/>
      <c r="W71" s="36" t="s">
        <v>1197</v>
      </c>
      <c r="Y71" s="23"/>
      <c r="AC71" s="23"/>
      <c r="AD71" s="23"/>
      <c r="AE71" s="23"/>
      <c r="AG71" s="23"/>
      <c r="AH71" s="23"/>
      <c r="AL71" s="23"/>
      <c r="AM71" s="23"/>
      <c r="AQ71" s="210"/>
      <c r="AR71" s="23">
        <v>42</v>
      </c>
      <c r="AS71" s="22" t="s">
        <v>1099</v>
      </c>
    </row>
    <row r="72" spans="2:46" s="22" customFormat="1">
      <c r="B72" s="22" t="s">
        <v>47</v>
      </c>
      <c r="C72" s="22" t="s">
        <v>642</v>
      </c>
      <c r="E72" s="210"/>
      <c r="F72" s="23">
        <v>1</v>
      </c>
      <c r="G72" s="23"/>
      <c r="H72" s="23"/>
      <c r="I72" s="23"/>
      <c r="J72" s="23"/>
      <c r="K72" s="23"/>
      <c r="L72" s="23"/>
      <c r="M72" s="210"/>
      <c r="N72" s="22" t="s">
        <v>1144</v>
      </c>
      <c r="O72" s="36" t="s">
        <v>1063</v>
      </c>
      <c r="P72" s="22" t="s">
        <v>1282</v>
      </c>
      <c r="Q72" s="22" t="s">
        <v>1264</v>
      </c>
      <c r="R72" s="22" t="s">
        <v>632</v>
      </c>
      <c r="S72" s="22">
        <v>37068</v>
      </c>
      <c r="T72" s="22" t="s">
        <v>1199</v>
      </c>
      <c r="V72" s="210"/>
      <c r="W72" s="36" t="s">
        <v>1200</v>
      </c>
      <c r="Y72" s="23"/>
      <c r="AB72" s="22" t="s">
        <v>1201</v>
      </c>
      <c r="AC72" s="23"/>
      <c r="AD72" s="23">
        <v>1</v>
      </c>
      <c r="AE72" s="23">
        <v>7007</v>
      </c>
      <c r="AF72" s="22" t="s">
        <v>1202</v>
      </c>
      <c r="AG72" s="23">
        <v>1</v>
      </c>
      <c r="AH72" s="23">
        <v>4900</v>
      </c>
      <c r="AK72" s="22" t="s">
        <v>1203</v>
      </c>
      <c r="AL72" s="23">
        <v>1</v>
      </c>
      <c r="AM72" s="23">
        <v>500</v>
      </c>
      <c r="AQ72" s="210"/>
      <c r="AR72" s="23">
        <v>66</v>
      </c>
      <c r="AS72" s="22" t="s">
        <v>1099</v>
      </c>
    </row>
    <row r="73" spans="2:46" s="22" customFormat="1">
      <c r="B73" s="22" t="s">
        <v>255</v>
      </c>
      <c r="C73" s="22" t="s">
        <v>1325</v>
      </c>
      <c r="E73" s="210"/>
      <c r="F73" s="23">
        <v>1</v>
      </c>
      <c r="G73" s="23"/>
      <c r="H73" s="23"/>
      <c r="I73" s="23"/>
      <c r="J73" s="23"/>
      <c r="K73" s="23"/>
      <c r="L73" s="23"/>
      <c r="M73" s="210"/>
      <c r="N73" s="22" t="s">
        <v>1118</v>
      </c>
      <c r="O73" s="36" t="s">
        <v>1064</v>
      </c>
      <c r="P73" s="22" t="s">
        <v>1283</v>
      </c>
      <c r="Q73" s="22" t="s">
        <v>1022</v>
      </c>
      <c r="R73" s="22" t="s">
        <v>56</v>
      </c>
      <c r="S73" s="22">
        <v>75231</v>
      </c>
      <c r="T73" s="22" t="s">
        <v>1204</v>
      </c>
      <c r="U73" s="36" t="s">
        <v>1261</v>
      </c>
      <c r="V73" s="210"/>
      <c r="W73" s="36" t="s">
        <v>1205</v>
      </c>
      <c r="X73" s="36" t="s">
        <v>1206</v>
      </c>
      <c r="Y73" s="23">
        <v>1</v>
      </c>
      <c r="AC73" s="23"/>
      <c r="AD73" s="23"/>
      <c r="AE73" s="23"/>
      <c r="AG73" s="23"/>
      <c r="AH73" s="23"/>
      <c r="AL73" s="23"/>
      <c r="AM73" s="23"/>
      <c r="AQ73" s="210"/>
      <c r="AR73" s="23">
        <v>104</v>
      </c>
      <c r="AS73" s="22" t="s">
        <v>1099</v>
      </c>
    </row>
    <row r="74" spans="2:46" s="22" customFormat="1">
      <c r="B74" s="22" t="s">
        <v>1326</v>
      </c>
      <c r="C74" s="22" t="s">
        <v>1327</v>
      </c>
      <c r="E74" s="210"/>
      <c r="F74" s="23">
        <v>1</v>
      </c>
      <c r="G74" s="23"/>
      <c r="H74" s="23"/>
      <c r="I74" s="23"/>
      <c r="J74" s="23"/>
      <c r="K74" s="23"/>
      <c r="L74" s="23"/>
      <c r="M74" s="210"/>
      <c r="N74" s="22" t="s">
        <v>1118</v>
      </c>
      <c r="O74" s="36" t="s">
        <v>1065</v>
      </c>
      <c r="P74" s="22" t="s">
        <v>1284</v>
      </c>
      <c r="Q74" s="22" t="s">
        <v>1251</v>
      </c>
      <c r="R74" s="22" t="s">
        <v>56</v>
      </c>
      <c r="S74" s="22">
        <v>76099</v>
      </c>
      <c r="T74" s="22" t="s">
        <v>1207</v>
      </c>
      <c r="V74" s="210"/>
      <c r="W74" s="36" t="s">
        <v>1208</v>
      </c>
      <c r="X74" s="22" t="s">
        <v>1209</v>
      </c>
      <c r="Y74" s="23">
        <v>1</v>
      </c>
      <c r="AB74" s="22" t="s">
        <v>1210</v>
      </c>
      <c r="AC74" s="23"/>
      <c r="AD74" s="23">
        <v>1</v>
      </c>
      <c r="AE74" s="23">
        <v>2041</v>
      </c>
      <c r="AF74" s="22" t="s">
        <v>1211</v>
      </c>
      <c r="AG74" s="23">
        <v>1</v>
      </c>
      <c r="AH74" s="23">
        <v>4900</v>
      </c>
      <c r="AL74" s="23"/>
      <c r="AM74" s="23"/>
      <c r="AQ74" s="210"/>
      <c r="AR74" s="23">
        <v>15</v>
      </c>
      <c r="AS74" s="22" t="s">
        <v>1099</v>
      </c>
    </row>
    <row r="75" spans="2:46" s="22" customFormat="1">
      <c r="B75" s="22" t="s">
        <v>1328</v>
      </c>
      <c r="C75" s="22" t="s">
        <v>1329</v>
      </c>
      <c r="E75" s="210"/>
      <c r="F75" s="23">
        <v>1</v>
      </c>
      <c r="G75" s="23"/>
      <c r="H75" s="23"/>
      <c r="I75" s="23"/>
      <c r="J75" s="23"/>
      <c r="K75" s="23"/>
      <c r="L75" s="23"/>
      <c r="M75" s="210"/>
      <c r="N75" s="22" t="s">
        <v>1118</v>
      </c>
      <c r="O75" s="36" t="s">
        <v>1066</v>
      </c>
      <c r="P75" s="22" t="s">
        <v>1285</v>
      </c>
      <c r="Q75" s="22" t="s">
        <v>1252</v>
      </c>
      <c r="R75" s="22" t="s">
        <v>1258</v>
      </c>
      <c r="S75" s="22">
        <v>84020</v>
      </c>
      <c r="T75" s="22" t="s">
        <v>1212</v>
      </c>
      <c r="V75" s="210"/>
      <c r="W75" s="36" t="s">
        <v>1213</v>
      </c>
      <c r="X75" s="36" t="s">
        <v>1214</v>
      </c>
      <c r="Y75" s="23">
        <v>1</v>
      </c>
      <c r="AC75" s="23"/>
      <c r="AD75" s="23"/>
      <c r="AE75" s="23"/>
      <c r="AG75" s="23"/>
      <c r="AH75" s="23"/>
      <c r="AL75" s="23"/>
      <c r="AM75" s="23"/>
      <c r="AQ75" s="210"/>
      <c r="AR75" s="23">
        <v>11</v>
      </c>
      <c r="AS75" s="22" t="s">
        <v>1099</v>
      </c>
    </row>
    <row r="76" spans="2:46" s="22" customFormat="1">
      <c r="B76" s="22" t="s">
        <v>1218</v>
      </c>
      <c r="E76" s="210"/>
      <c r="F76" s="23"/>
      <c r="G76" s="23"/>
      <c r="H76" s="23"/>
      <c r="I76" s="23"/>
      <c r="J76" s="23">
        <v>1</v>
      </c>
      <c r="K76" s="23"/>
      <c r="L76" s="23"/>
      <c r="M76" s="210"/>
      <c r="N76" s="22" t="s">
        <v>1118</v>
      </c>
      <c r="O76" s="36" t="s">
        <v>1067</v>
      </c>
      <c r="P76" s="22" t="s">
        <v>1215</v>
      </c>
      <c r="Q76" s="22" t="s">
        <v>1253</v>
      </c>
      <c r="R76" s="22" t="s">
        <v>559</v>
      </c>
      <c r="S76" s="22">
        <v>23294</v>
      </c>
      <c r="T76" s="22" t="s">
        <v>1216</v>
      </c>
      <c r="V76" s="210"/>
      <c r="W76" s="36" t="s">
        <v>1217</v>
      </c>
      <c r="Y76" s="23"/>
      <c r="AC76" s="23"/>
      <c r="AD76" s="23"/>
      <c r="AE76" s="23"/>
      <c r="AG76" s="23"/>
      <c r="AH76" s="23"/>
      <c r="AL76" s="23"/>
      <c r="AM76" s="23"/>
      <c r="AQ76" s="210"/>
      <c r="AR76" s="23">
        <v>39</v>
      </c>
      <c r="AS76" s="22" t="s">
        <v>1099</v>
      </c>
    </row>
    <row r="77" spans="2:46" s="22" customFormat="1">
      <c r="B77" s="22" t="s">
        <v>1330</v>
      </c>
      <c r="C77" s="22" t="s">
        <v>1331</v>
      </c>
      <c r="E77" s="210"/>
      <c r="F77" s="23">
        <v>1</v>
      </c>
      <c r="G77" s="23"/>
      <c r="H77" s="23"/>
      <c r="I77" s="23"/>
      <c r="J77" s="23"/>
      <c r="K77" s="23"/>
      <c r="L77" s="23"/>
      <c r="M77" s="210"/>
      <c r="N77" s="22" t="s">
        <v>1118</v>
      </c>
      <c r="O77" s="36" t="s">
        <v>1068</v>
      </c>
      <c r="P77" s="22" t="s">
        <v>1219</v>
      </c>
      <c r="Q77" s="22" t="s">
        <v>1254</v>
      </c>
      <c r="R77" s="22" t="s">
        <v>559</v>
      </c>
      <c r="S77" s="22">
        <v>23060</v>
      </c>
      <c r="T77" s="22" t="s">
        <v>1220</v>
      </c>
      <c r="V77" s="210"/>
      <c r="W77" s="36" t="s">
        <v>1221</v>
      </c>
      <c r="X77" s="36" t="s">
        <v>1222</v>
      </c>
      <c r="Y77" s="23">
        <v>1</v>
      </c>
      <c r="AC77" s="23"/>
      <c r="AD77" s="23"/>
      <c r="AE77" s="23"/>
      <c r="AG77" s="23"/>
      <c r="AH77" s="23"/>
      <c r="AL77" s="23"/>
      <c r="AM77" s="23"/>
      <c r="AQ77" s="210"/>
      <c r="AR77" s="23"/>
      <c r="AS77" s="22" t="s">
        <v>1099</v>
      </c>
    </row>
    <row r="78" spans="2:46" s="22" customFormat="1">
      <c r="B78" s="22" t="s">
        <v>1336</v>
      </c>
      <c r="C78" s="22" t="s">
        <v>1335</v>
      </c>
      <c r="E78" s="210"/>
      <c r="F78" s="23">
        <v>1</v>
      </c>
      <c r="G78" s="23"/>
      <c r="H78" s="23"/>
      <c r="I78" s="23"/>
      <c r="J78" s="23"/>
      <c r="K78" s="23"/>
      <c r="L78" s="23"/>
      <c r="M78" s="210"/>
      <c r="N78" s="22" t="s">
        <v>1133</v>
      </c>
      <c r="O78" s="36" t="s">
        <v>1069</v>
      </c>
      <c r="P78" s="22" t="s">
        <v>1223</v>
      </c>
      <c r="Q78" s="22" t="s">
        <v>1255</v>
      </c>
      <c r="R78" s="22" t="s">
        <v>261</v>
      </c>
      <c r="S78" s="22">
        <v>25560</v>
      </c>
      <c r="T78" s="22" t="s">
        <v>1224</v>
      </c>
      <c r="V78" s="210"/>
      <c r="W78" s="36" t="s">
        <v>1225</v>
      </c>
      <c r="X78" s="22" t="s">
        <v>1226</v>
      </c>
      <c r="Y78" s="23">
        <v>1</v>
      </c>
      <c r="AC78" s="23"/>
      <c r="AD78" s="23"/>
      <c r="AE78" s="23"/>
      <c r="AG78" s="23"/>
      <c r="AH78" s="23"/>
      <c r="AL78" s="23"/>
      <c r="AM78" s="23"/>
      <c r="AQ78" s="210"/>
      <c r="AR78" s="23">
        <v>10</v>
      </c>
      <c r="AS78" s="22" t="s">
        <v>1099</v>
      </c>
    </row>
    <row r="79" spans="2:46" s="22" customFormat="1">
      <c r="B79" s="22" t="s">
        <v>1337</v>
      </c>
      <c r="C79" s="22" t="s">
        <v>1338</v>
      </c>
      <c r="E79" s="210"/>
      <c r="F79" s="23"/>
      <c r="G79" s="23"/>
      <c r="H79" s="23"/>
      <c r="I79" s="23"/>
      <c r="J79" s="23">
        <v>1</v>
      </c>
      <c r="K79" s="23"/>
      <c r="L79" s="23"/>
      <c r="M79" s="210"/>
      <c r="N79" s="22" t="s">
        <v>1229</v>
      </c>
      <c r="O79" s="36" t="s">
        <v>1070</v>
      </c>
      <c r="P79" s="22" t="s">
        <v>1286</v>
      </c>
      <c r="Q79" s="22" t="s">
        <v>654</v>
      </c>
      <c r="R79" s="22" t="s">
        <v>655</v>
      </c>
      <c r="S79" s="22">
        <v>82601</v>
      </c>
      <c r="T79" s="22" t="s">
        <v>1227</v>
      </c>
      <c r="V79" s="210"/>
      <c r="W79" s="36" t="s">
        <v>1228</v>
      </c>
      <c r="X79" s="22" t="s">
        <v>1230</v>
      </c>
      <c r="Y79" s="23">
        <v>1</v>
      </c>
      <c r="AC79" s="23"/>
      <c r="AD79" s="23"/>
      <c r="AE79" s="23"/>
      <c r="AG79" s="23"/>
      <c r="AH79" s="23"/>
      <c r="AL79" s="23"/>
      <c r="AM79" s="23"/>
      <c r="AQ79" s="210"/>
      <c r="AR79" s="23">
        <v>3</v>
      </c>
      <c r="AS79" s="22" t="s">
        <v>1099</v>
      </c>
      <c r="AT79" s="22" t="s">
        <v>1231</v>
      </c>
    </row>
    <row r="80" spans="2:46" s="4" customFormat="1">
      <c r="F80" s="6"/>
      <c r="G80" s="6"/>
      <c r="H80" s="6"/>
      <c r="I80" s="6"/>
      <c r="J80" s="6"/>
      <c r="K80" s="6"/>
      <c r="L80" s="6"/>
      <c r="T80"/>
      <c r="Y80" s="6"/>
      <c r="AC80" s="6"/>
      <c r="AD80" s="6"/>
      <c r="AE80" s="6"/>
      <c r="AG80" s="6"/>
      <c r="AH80" s="6"/>
      <c r="AL80" s="6"/>
      <c r="AM80" s="6"/>
      <c r="AR80" s="6"/>
    </row>
    <row r="82" spans="1:45" s="68" customFormat="1" ht="19">
      <c r="A82" s="87"/>
      <c r="B82" s="87" t="s">
        <v>684</v>
      </c>
      <c r="C82" s="87"/>
      <c r="D82" s="87"/>
      <c r="E82" s="87"/>
      <c r="F82" s="70">
        <f t="shared" ref="F82:L82" si="0">SUM(F39:F79)</f>
        <v>33</v>
      </c>
      <c r="G82" s="70">
        <f t="shared" si="0"/>
        <v>1</v>
      </c>
      <c r="H82" s="70">
        <f t="shared" si="0"/>
        <v>1</v>
      </c>
      <c r="I82" s="70">
        <f t="shared" si="0"/>
        <v>0</v>
      </c>
      <c r="J82" s="70">
        <f t="shared" si="0"/>
        <v>6</v>
      </c>
      <c r="K82" s="70">
        <f t="shared" si="0"/>
        <v>0</v>
      </c>
      <c r="L82" s="70">
        <f t="shared" si="0"/>
        <v>0</v>
      </c>
      <c r="M82" s="87"/>
      <c r="N82" s="192"/>
      <c r="O82" s="192"/>
      <c r="P82" s="192"/>
      <c r="Q82" s="192"/>
      <c r="R82" s="192"/>
      <c r="S82" s="192"/>
      <c r="T82" s="192"/>
      <c r="U82" s="192"/>
      <c r="V82" s="87"/>
      <c r="W82" s="192"/>
      <c r="X82" s="192"/>
      <c r="Y82" s="70">
        <f>SUM(Y39:Y79)</f>
        <v>29</v>
      </c>
      <c r="Z82" s="192"/>
      <c r="AA82" s="70">
        <f>SUM(AA39:AA79)</f>
        <v>0</v>
      </c>
      <c r="AB82" s="192"/>
      <c r="AC82" s="70">
        <f>SUM(AC39:AC79)</f>
        <v>1</v>
      </c>
      <c r="AD82" s="70">
        <f>SUM(AD39:AD79)</f>
        <v>6</v>
      </c>
      <c r="AE82" s="70">
        <f>SUM(AE39:AE79)</f>
        <v>22867</v>
      </c>
      <c r="AF82" s="192"/>
      <c r="AG82" s="70">
        <f>SUM(AG39:AG79)</f>
        <v>6</v>
      </c>
      <c r="AH82" s="70">
        <f>SUM(AH39:AH79)</f>
        <v>17903</v>
      </c>
      <c r="AI82" s="192"/>
      <c r="AJ82" s="70">
        <f>SUM(AJ39:AJ79)</f>
        <v>0</v>
      </c>
      <c r="AK82" s="192"/>
      <c r="AL82" s="70">
        <f>SUM(AL39:AL79)</f>
        <v>2</v>
      </c>
      <c r="AM82" s="70">
        <f>SUM(AM39:AM79)</f>
        <v>1425</v>
      </c>
      <c r="AN82" s="192"/>
      <c r="AO82" s="70">
        <f>SUM(AO39:AO79)</f>
        <v>1</v>
      </c>
      <c r="AP82" s="70">
        <f>SUM(AP39:AP79)</f>
        <v>500</v>
      </c>
      <c r="AQ82" s="87"/>
      <c r="AR82" s="70">
        <f>SUM(AR39:AR79)</f>
        <v>1142</v>
      </c>
      <c r="AS82" s="70" t="s">
        <v>1342</v>
      </c>
    </row>
    <row r="86" spans="1:45">
      <c r="N86" s="43" t="s">
        <v>936</v>
      </c>
      <c r="P86" s="99" t="s">
        <v>1340</v>
      </c>
    </row>
    <row r="87" spans="1:45">
      <c r="N87" s="73" t="s">
        <v>981</v>
      </c>
      <c r="O87" s="73"/>
      <c r="P87" s="201">
        <v>1921</v>
      </c>
    </row>
    <row r="88" spans="1:45">
      <c r="N88" s="73" t="s">
        <v>982</v>
      </c>
      <c r="O88" s="73"/>
      <c r="P88" s="201">
        <v>4374</v>
      </c>
    </row>
    <row r="89" spans="1:45">
      <c r="N89" s="73" t="s">
        <v>983</v>
      </c>
      <c r="O89" s="73"/>
      <c r="P89" s="201">
        <v>4454</v>
      </c>
    </row>
    <row r="90" spans="1:45">
      <c r="N90" s="73" t="s">
        <v>984</v>
      </c>
      <c r="O90" s="73"/>
      <c r="P90" s="201">
        <v>5215</v>
      </c>
    </row>
    <row r="91" spans="1:45">
      <c r="N91" s="73" t="s">
        <v>985</v>
      </c>
      <c r="O91" s="73"/>
      <c r="P91" s="201">
        <v>5569</v>
      </c>
    </row>
    <row r="92" spans="1:45">
      <c r="N92" s="73" t="s">
        <v>986</v>
      </c>
      <c r="O92" s="73"/>
      <c r="P92" s="9"/>
    </row>
    <row r="93" spans="1:45">
      <c r="P93" s="9"/>
    </row>
    <row r="94" spans="1:45">
      <c r="P94" s="9"/>
    </row>
    <row r="95" spans="1:45">
      <c r="P95" s="9"/>
    </row>
    <row r="96" spans="1:45">
      <c r="N96" s="96" t="s">
        <v>987</v>
      </c>
      <c r="O96" s="99" t="s">
        <v>2</v>
      </c>
      <c r="P96" s="99" t="s">
        <v>988</v>
      </c>
      <c r="R96" s="9"/>
      <c r="S96" s="9"/>
      <c r="T96" s="9"/>
    </row>
    <row r="97" spans="14:21">
      <c r="N97" s="7" t="s">
        <v>989</v>
      </c>
      <c r="O97" s="13">
        <v>38666</v>
      </c>
      <c r="P97" s="13">
        <v>39755</v>
      </c>
    </row>
    <row r="98" spans="14:21">
      <c r="N98" s="7" t="s">
        <v>990</v>
      </c>
      <c r="O98" s="13">
        <v>3396</v>
      </c>
      <c r="P98" s="13">
        <v>3891</v>
      </c>
    </row>
    <row r="99" spans="14:21">
      <c r="N99" s="7" t="s">
        <v>991</v>
      </c>
      <c r="O99" s="13">
        <v>2318</v>
      </c>
      <c r="P99" s="13">
        <v>3390</v>
      </c>
    </row>
    <row r="100" spans="14:21">
      <c r="N100" s="7" t="s">
        <v>992</v>
      </c>
      <c r="O100" s="9">
        <v>761</v>
      </c>
      <c r="P100" s="9">
        <v>896</v>
      </c>
    </row>
    <row r="101" spans="14:21">
      <c r="N101" s="7" t="s">
        <v>993</v>
      </c>
      <c r="O101" s="9">
        <v>398</v>
      </c>
      <c r="P101" s="9">
        <v>431</v>
      </c>
    </row>
    <row r="102" spans="14:21">
      <c r="N102" s="7" t="s">
        <v>994</v>
      </c>
      <c r="O102" s="9">
        <v>351</v>
      </c>
      <c r="P102" s="9">
        <v>464</v>
      </c>
    </row>
    <row r="103" spans="14:21">
      <c r="N103" s="7" t="s">
        <v>995</v>
      </c>
      <c r="O103" s="9">
        <v>225</v>
      </c>
      <c r="P103" s="9">
        <v>275</v>
      </c>
    </row>
    <row r="104" spans="14:21">
      <c r="N104" s="7" t="s">
        <v>996</v>
      </c>
      <c r="O104" s="9">
        <v>140</v>
      </c>
      <c r="P104" s="9">
        <v>174</v>
      </c>
    </row>
    <row r="105" spans="14:21">
      <c r="N105" s="7" t="s">
        <v>997</v>
      </c>
      <c r="O105" s="9">
        <v>224</v>
      </c>
      <c r="P105" s="9">
        <v>375</v>
      </c>
    </row>
    <row r="106" spans="14:21">
      <c r="N106" s="7" t="s">
        <v>998</v>
      </c>
      <c r="O106" s="13">
        <v>1051</v>
      </c>
      <c r="P106" s="13">
        <v>1487</v>
      </c>
    </row>
    <row r="108" spans="14:21">
      <c r="N108" s="97"/>
      <c r="O108" s="97"/>
    </row>
    <row r="109" spans="14:21">
      <c r="N109" s="7" t="s">
        <v>1341</v>
      </c>
    </row>
    <row r="111" spans="14:21">
      <c r="N111" s="96"/>
      <c r="O111" s="96"/>
      <c r="P111" s="96"/>
      <c r="Q111" s="96"/>
      <c r="R111" s="96"/>
      <c r="S111" s="96"/>
      <c r="T111" s="96"/>
      <c r="U111" s="96"/>
    </row>
    <row r="112" spans="14:21">
      <c r="N112" s="96"/>
      <c r="O112" s="96"/>
      <c r="P112" s="96"/>
      <c r="Q112" s="96"/>
      <c r="R112" s="96"/>
      <c r="S112" s="96"/>
      <c r="T112" s="96"/>
      <c r="U112" s="96"/>
    </row>
  </sheetData>
  <hyperlinks>
    <hyperlink ref="P28" r:id="rId1" display="https://goo.gl/maps/dMQ2TE7Ugk92" xr:uid="{AD7CC80E-9E46-C749-AF58-C32D0345C357}"/>
    <hyperlink ref="T28" r:id="rId2" display="tel:8043530151" xr:uid="{71CDC211-F4C1-6D4B-A300-2615580B61F6}"/>
    <hyperlink ref="P29" r:id="rId3" display="https://goo.gl/maps/EEdmf8pGPaRu78m37" xr:uid="{B2C93669-516F-B04D-A0B2-7D04AF192CC9}"/>
    <hyperlink ref="T29" r:id="rId4" display="tel:800-634-2462" xr:uid="{BFB5B061-532F-0246-8DC5-EF279B0B9A9D}"/>
    <hyperlink ref="O39" r:id="rId5" display="https://www.sbc.net/conventions/alaska-baptist-convention/" xr:uid="{D5C4A123-6BD6-F141-B236-3687DAABAF87}"/>
    <hyperlink ref="O40" r:id="rId6" display="https://www.sbc.net/conventions/alabama-baptist-state-board-of-missions/" xr:uid="{59AE636C-0DFD-CA40-B412-02F9215947A6}"/>
    <hyperlink ref="O41" r:id="rId7" display="https://www.sbc.net/conventions/arkansas-baptist-state-convention/" xr:uid="{0B3A5DD8-3A2C-174D-B299-D76EF13EC552}"/>
    <hyperlink ref="O42" r:id="rId8" display="https://www.sbc.net/conventions/arizona-southern-baptist-convention/" xr:uid="{08408CED-2EB6-954A-AD9C-2D594FD119AB}"/>
    <hyperlink ref="O43" r:id="rId9" display="https://www.sbc.net/conventions/california-southern-baptist-convention/" xr:uid="{3BC80E3F-80F8-3E41-9C3C-45938400D4E2}"/>
    <hyperlink ref="O44" r:id="rId10" display="https://www.sbc.net/conventions/colorado-baptist-general-convention/" xr:uid="{236FD54D-25E8-6C4D-AF1D-2BD37AE464B7}"/>
    <hyperlink ref="O45" r:id="rId11" display="https://www.sbc.net/conventions/dakota-baptist-convention/" xr:uid="{08D8EFCB-B763-A64E-9A2D-00430FC12FEF}"/>
    <hyperlink ref="O46" r:id="rId12" display="https://www.sbc.net/conventions/florida-baptist-convention/" xr:uid="{DD4FD357-0790-1346-92CC-9CF384939076}"/>
    <hyperlink ref="O47" r:id="rId13" display="https://www.sbc.net/conventions/georgia-baptist-mission-board/" xr:uid="{ED720248-65A2-E945-8703-D55AD21C31C7}"/>
    <hyperlink ref="O48" r:id="rId14" display="https://www.sbc.net/conventions/hawaii-pacific-baptist-convention/" xr:uid="{903585BF-5E06-1740-BDB1-E60D671FC478}"/>
    <hyperlink ref="O49" r:id="rId15" display="https://www.sbc.net/conventions/baptist-convention-of-iowa/" xr:uid="{C9BB7916-7791-5D42-B903-8D49C584E38E}"/>
    <hyperlink ref="O50" r:id="rId16" display="https://www.sbc.net/conventions/illinois-baptist-state-association/" xr:uid="{621FDE9D-3B3E-2E4C-9721-B4ECE92E631E}"/>
    <hyperlink ref="O51" r:id="rId17" display="https://www.sbc.net/conventions/state-convention-of-baptists-in-indiana/" xr:uid="{60E27F3F-F7B3-D847-BF1B-AF5B1F13C9D8}"/>
    <hyperlink ref="O52" r:id="rId18" display="https://www.sbc.net/conventions/kansas-nebraska-convention-of-southern-baptists/" xr:uid="{FDA18E8F-0966-CD45-A596-A9EC9A84213E}"/>
    <hyperlink ref="O53" r:id="rId19" display="https://www.sbc.net/conventions/kentucky-baptist-convention/" xr:uid="{D26E035D-6998-5541-A8C2-40612CB1EB13}"/>
    <hyperlink ref="O54" r:id="rId20" display="https://www.sbc.net/conventions/louisiana-baptist-convention/" xr:uid="{9112EA07-5E1B-F241-892C-5616F2FEF2A7}"/>
    <hyperlink ref="O55" r:id="rId21" display="https://www.sbc.net/conventions/baptist-convention-of-maryland-delaware/" xr:uid="{401444EF-AE00-E44A-9972-E8917DF18172}"/>
    <hyperlink ref="O56" r:id="rId22" display="https://www.sbc.net/conventions/baptist-state-convention-of-michigan/" xr:uid="{D5345DC7-8B3B-CB48-A010-D92B96042880}"/>
    <hyperlink ref="O57" r:id="rId23" display="https://www.sbc.net/conventions/minnesota-wisconsin-baptist-convention/" xr:uid="{D34D85D0-C5F2-3146-AD17-FB4170E2132F}"/>
    <hyperlink ref="O58" r:id="rId24" display="https://www.sbc.net/conventions/missouri-baptist-convention/" xr:uid="{183C6BF8-21D3-C948-8A15-E1B859507873}"/>
    <hyperlink ref="O59" r:id="rId25" display="https://www.sbc.net/conventions/mississippi-baptist-convention-board/" xr:uid="{F47F13C7-B161-5E46-8A06-230C442EBAF0}"/>
    <hyperlink ref="O60" r:id="rId26" display="https://www.sbc.net/conventions/montana-southern-baptist-convention/" xr:uid="{BEACAE0B-BBB7-D441-8458-D098B9A8847E}"/>
    <hyperlink ref="O61" r:id="rId27" display="https://www.sbc.net/conventions/baptist-state-convention-of-north-carolina/" xr:uid="{C7210A00-FDE7-B844-A720-9A3A72E843AA}"/>
    <hyperlink ref="O62" r:id="rId28" display="https://www.sbc.net/conventions/baptist-churches-of-new-england/" xr:uid="{09854D3E-9152-FF48-8F3D-A26A8E9A1EC4}"/>
    <hyperlink ref="O63" r:id="rId29" display="https://www.sbc.net/conventions/baptist-convention-of-new-mexico/" xr:uid="{16FEDD0D-DD81-ED4A-93D8-5B8C09653D7B}"/>
    <hyperlink ref="O64" r:id="rId30" display="https://www.sbc.net/conventions/northwest-baptist-convention/" xr:uid="{DD489959-68BF-D240-9578-94C44AC9A4B4}"/>
    <hyperlink ref="O65" r:id="rId31" display="https://www.sbc.net/conventions/nevada-baptist-convention/" xr:uid="{97A227E1-3A49-BE4B-85CD-9774E0DA4BD6}"/>
    <hyperlink ref="O66" r:id="rId32" display="https://www.sbc.net/conventions/baptist-convention-of-new-york/" xr:uid="{74F0878D-B25D-6241-B7F8-6A892E8170C4}"/>
    <hyperlink ref="O67" r:id="rId33" display="https://www.sbc.net/conventions/state-convention-of-baptists-in-ohio/" xr:uid="{6901685D-03D9-2646-92F7-9A28C4B4BBA4}"/>
    <hyperlink ref="O68" r:id="rId34" display="https://www.sbc.net/conventions/baptist-general-convention-of-oklahoma/" xr:uid="{E25C241C-EDA8-8B43-8906-E132B07E6DEA}"/>
    <hyperlink ref="O69" r:id="rId35" display="https://www.sbc.net/conventions/baptist-resource-network-of-pennsylvania-south-jersey/" xr:uid="{D2167E67-3AC4-DB47-8F73-3B6BF411CFFF}"/>
    <hyperlink ref="O70" r:id="rId36" display="https://www.sbc.net/conventions/conv-of-southern-baptist-churches-in-puerto-rico/" xr:uid="{C6393FE4-EE97-7B44-A671-A8A5CB08737E}"/>
    <hyperlink ref="O71" r:id="rId37" display="https://www.sbc.net/conventions/south-carolina-baptist-convention/" xr:uid="{3EA3659C-3D95-CF4E-91BC-2B33B36096E9}"/>
    <hyperlink ref="O72" r:id="rId38" display="https://www.sbc.net/conventions/tennessee-baptist-mission-board/" xr:uid="{93497820-6F0B-224C-A71C-4017825FADA3}"/>
    <hyperlink ref="O73" r:id="rId39" display="https://www.sbc.net/conventions/baptist-general-convention-of-texas/" xr:uid="{3A30E7C9-93ED-8B49-B3E8-5B54D937A83C}"/>
    <hyperlink ref="O74" r:id="rId40" display="https://www.sbc.net/conventions/southern-baptists-of-texas-convention/" xr:uid="{E296E85D-3B13-3749-BEF2-05B01ED44986}"/>
    <hyperlink ref="O75" r:id="rId41" display="https://www.sbc.net/conventions/utah-idaho-southern-baptist-convention/" xr:uid="{039EA61A-2589-0A42-85C1-568300A3B3EA}"/>
    <hyperlink ref="O76" r:id="rId42" display="https://www.sbc.net/conventions/baptist-general-association-of-virginia/" xr:uid="{99BED868-A0CB-0B40-BB40-3B4D7464F669}"/>
    <hyperlink ref="O77" r:id="rId43" display="https://www.sbc.net/conventions/southern-baptist-conservatives-of-virginia/" xr:uid="{657F5A3E-E2CA-C54C-B9D9-0E483AF8C248}"/>
    <hyperlink ref="O78" r:id="rId44" display="https://www.sbc.net/conventions/west-virginia-convention-of-southern-baptists/" xr:uid="{EC2787C9-E3D5-AA4E-80C6-2B77DF779835}"/>
    <hyperlink ref="O79" r:id="rId45" display="https://www.sbc.net/conventions/wyoming-southern-baptist-misson-network/" xr:uid="{F3863B4F-43E3-3C46-86A9-88DFA57B326F}"/>
    <hyperlink ref="T39" r:id="rId46" display="tel:+19073449627" xr:uid="{1AB1B820-B722-1649-A79D-003CCDD9744D}"/>
    <hyperlink ref="W40" r:id="rId47" display="http://www.alsbom.org/" xr:uid="{128752A0-ABC7-3548-AF5A-701F731D3FF9}"/>
    <hyperlink ref="W41" r:id="rId48" display="http://www.absc.org/" xr:uid="{E132C30F-DFDA-A247-8F80-04D13974DFAF}"/>
    <hyperlink ref="X41" r:id="rId49" display="mailto:stucker@absc.org" xr:uid="{70F8052B-5B60-474B-A617-206A5D6BED8D}"/>
    <hyperlink ref="W42" r:id="rId50" display="http://www.azsbc.org/" xr:uid="{CD23C858-03E9-AE42-984F-E5B1E927695C}"/>
    <hyperlink ref="X48" r:id="rId51" display="mailto:chris@hpbaptist.net" xr:uid="{A1C486C6-5B1F-CF4F-A9A5-FF0E5560C35E}"/>
    <hyperlink ref="W49" r:id="rId52" display="http://www.bciowa.org/" xr:uid="{875D104C-41EE-E844-915C-556B96DB8D73}"/>
    <hyperlink ref="X52" r:id="rId53" display="mailto:dmanner@kncsb.org" xr:uid="{E0729E6D-9590-294E-9537-8680E231667F}"/>
    <hyperlink ref="B53" r:id="rId54" display="https://www.kybaptist.org/staff/todd-gray/" xr:uid="{6131BD6E-8522-644C-A46D-D6A648C494CF}"/>
    <hyperlink ref="W55" r:id="rId55" display="http://www.bcmd.org/" xr:uid="{5A304611-4F37-C945-8AB0-014BFC3E396D}"/>
    <hyperlink ref="B55" r:id="rId56" display="https://bcmd.org/about-us/your-team/michael-crawford/" xr:uid="{47DF6AC1-8CA3-934F-B4C4-DC9F25D835F4}"/>
    <hyperlink ref="X55" r:id="rId57" display="mailto:mcrawford@bcmd.org" xr:uid="{E8E00B25-317A-D240-BAD3-FD68DD371194}"/>
    <hyperlink ref="X56" r:id="rId58" display="mailto:tim@bscm.org" xr:uid="{604148AD-E4DC-B94B-9372-B9B707A9336E}"/>
    <hyperlink ref="W58" r:id="rId59" display="http://www.mobaptist.org/" xr:uid="{A7096F56-C4B3-CA45-AC25-1543EF01C5C3}"/>
    <hyperlink ref="X58" r:id="rId60" display="mailto:jyeats@mobaptist.org" xr:uid="{FFAF3EBE-3E14-CB44-8F51-DDE14E6975B4}"/>
    <hyperlink ref="X60" r:id="rId61" display="mailto:bduke@mtsbc.org" xr:uid="{AC076A1D-F2F7-2F4B-B2A9-C3FE3D495C94}"/>
    <hyperlink ref="X67" r:id="rId62" display="mailto:jwestbrook@scbo.org" xr:uid="{BBBD2CCF-4A71-7844-9CDC-BED128E7BE44}"/>
    <hyperlink ref="B69" r:id="rId63" display="https://www.brnunited.org/team/barry-whitworth/" xr:uid="{AF1ECD8A-148D-C940-80F6-13E77075F7B5}"/>
    <hyperlink ref="W70" r:id="rId64" display="http://cibspuertorico.org/" xr:uid="{FEFD66B1-65CD-8E41-BFF7-74B79F601584}"/>
    <hyperlink ref="W72" r:id="rId65" display="http://www.tnbaptist.org/" xr:uid="{F985E33E-5F63-A74F-835F-A6777AFE3424}"/>
    <hyperlink ref="W73" r:id="rId66" display="http://www.texasbaptists.org/" xr:uid="{A38A3FF5-F521-FD40-B252-FA2E82DC890F}"/>
    <hyperlink ref="U73" r:id="rId67" display="tel:(214) 828-5301" xr:uid="{B9CEE332-9255-3940-A71B-7125A51EACEF}"/>
    <hyperlink ref="X73" r:id="rId68" display="mailto:david.hardage@txb.org" xr:uid="{B65F3357-10F3-EE4D-A401-1791AC6A7525}"/>
    <hyperlink ref="X75" r:id="rId69" display="mailto:rlee@uisbc.org" xr:uid="{013BBE2D-5835-BC4B-86A7-5E94CDB7557A}"/>
    <hyperlink ref="W77" r:id="rId70" display="http://www.sbcv.org/" xr:uid="{11324263-8969-8A47-8FF7-7DD2FCE2BC4C}"/>
    <hyperlink ref="X77" r:id="rId71" display="mailto:bautry@sbcv.org" xr:uid="{D246A8B9-81EE-F94B-A15D-A4F4263858C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1664-A0DF-7C47-A34E-FCB204D2EC4D}">
  <dimension ref="A1:DJ109"/>
  <sheetViews>
    <sheetView workbookViewId="0">
      <selection activeCell="D26" sqref="D26"/>
    </sheetView>
  </sheetViews>
  <sheetFormatPr baseColWidth="10" defaultRowHeight="16"/>
  <cols>
    <col min="1" max="1" width="5.83203125" customWidth="1"/>
    <col min="2" max="2" width="29.33203125" customWidth="1"/>
    <col min="3" max="3" width="47.6640625" bestFit="1" customWidth="1"/>
    <col min="4" max="4" width="16.33203125" customWidth="1"/>
    <col min="5" max="5" width="6.1640625" bestFit="1" customWidth="1"/>
    <col min="6" max="6" width="9.5" bestFit="1" customWidth="1"/>
    <col min="9" max="9" width="5.83203125" customWidth="1"/>
    <col min="11" max="11" width="9.33203125" customWidth="1"/>
    <col min="12" max="12" width="9.33203125" bestFit="1" customWidth="1"/>
    <col min="13" max="14" width="5.83203125" bestFit="1" customWidth="1"/>
    <col min="15" max="15" width="7.83203125" bestFit="1" customWidth="1"/>
    <col min="16" max="16" width="7.6640625" customWidth="1"/>
    <col min="17" max="17" width="7.83203125" bestFit="1" customWidth="1"/>
    <col min="18" max="18" width="9.1640625" bestFit="1" customWidth="1"/>
    <col min="19" max="19" width="5.83203125" customWidth="1"/>
    <col min="21" max="21" width="5.6640625" bestFit="1" customWidth="1"/>
    <col min="22" max="22" width="6.1640625" bestFit="1" customWidth="1"/>
    <col min="23" max="23" width="5.6640625" bestFit="1" customWidth="1"/>
    <col min="24" max="24" width="9" bestFit="1" customWidth="1"/>
    <col min="25" max="25" width="5.83203125" bestFit="1" customWidth="1"/>
    <col min="26" max="26" width="7.6640625" bestFit="1" customWidth="1"/>
    <col min="27" max="27" width="5.83203125" customWidth="1"/>
    <col min="29" max="29" width="5.6640625" bestFit="1" customWidth="1"/>
    <col min="30" max="30" width="6.1640625" bestFit="1" customWidth="1"/>
    <col min="31" max="31" width="5.6640625" bestFit="1" customWidth="1"/>
    <col min="32" max="32" width="9" bestFit="1" customWidth="1"/>
    <col min="33" max="33" width="5.83203125" bestFit="1" customWidth="1"/>
    <col min="34" max="34" width="7.6640625" bestFit="1" customWidth="1"/>
    <col min="35" max="35" width="5.83203125" customWidth="1"/>
    <col min="37" max="37" width="7.6640625" bestFit="1" customWidth="1"/>
    <col min="38" max="38" width="8.5" bestFit="1" customWidth="1"/>
    <col min="39" max="39" width="9.1640625" bestFit="1" customWidth="1"/>
    <col min="40" max="40" width="12" bestFit="1" customWidth="1"/>
    <col min="41" max="42" width="13.33203125" bestFit="1" customWidth="1"/>
    <col min="43" max="43" width="9" bestFit="1" customWidth="1"/>
    <col min="44" max="44" width="9.1640625" bestFit="1" customWidth="1"/>
    <col min="45" max="45" width="5.83203125" bestFit="1" customWidth="1"/>
    <col min="46" max="46" width="13.5" bestFit="1" customWidth="1"/>
    <col min="47" max="47" width="11.5" bestFit="1" customWidth="1"/>
    <col min="48" max="48" width="9.33203125" bestFit="1" customWidth="1"/>
    <col min="49" max="49" width="9.6640625" bestFit="1" customWidth="1"/>
    <col min="50" max="50" width="12.33203125" bestFit="1" customWidth="1"/>
    <col min="51" max="51" width="4.83203125" bestFit="1" customWidth="1"/>
    <col min="52" max="52" width="9.5" bestFit="1" customWidth="1"/>
    <col min="53" max="53" width="5.83203125" customWidth="1"/>
    <col min="55" max="55" width="5" bestFit="1" customWidth="1"/>
    <col min="56" max="56" width="4.83203125" bestFit="1" customWidth="1"/>
    <col min="57" max="57" width="4.1640625" bestFit="1" customWidth="1"/>
    <col min="58" max="58" width="9" bestFit="1" customWidth="1"/>
    <col min="59" max="59" width="5.83203125" customWidth="1"/>
    <col min="60" max="61" width="8.5" bestFit="1" customWidth="1"/>
    <col min="62" max="62" width="5.83203125" customWidth="1"/>
    <col min="64" max="65" width="9.5" bestFit="1" customWidth="1"/>
    <col min="66" max="66" width="8.6640625" bestFit="1" customWidth="1"/>
    <col min="67" max="67" width="7.6640625" bestFit="1" customWidth="1"/>
    <col min="68" max="68" width="5.83203125" customWidth="1"/>
    <col min="70" max="70" width="7.33203125" bestFit="1" customWidth="1"/>
    <col min="71" max="72" width="7.1640625" bestFit="1" customWidth="1"/>
    <col min="73" max="73" width="13.83203125" customWidth="1"/>
    <col min="74" max="74" width="9" bestFit="1" customWidth="1"/>
    <col min="75" max="75" width="9.33203125" bestFit="1" customWidth="1"/>
    <col min="76" max="76" width="5.6640625" bestFit="1" customWidth="1"/>
    <col min="77" max="78" width="9.5" bestFit="1" customWidth="1"/>
    <col min="79" max="79" width="6.33203125" bestFit="1" customWidth="1"/>
    <col min="80" max="80" width="9.1640625" bestFit="1" customWidth="1"/>
    <col min="81" max="81" width="11.1640625" bestFit="1" customWidth="1"/>
    <col min="82" max="82" width="5.83203125" customWidth="1"/>
  </cols>
  <sheetData>
    <row r="1" spans="1:114" s="101" customFormat="1">
      <c r="B1" s="102"/>
      <c r="C1" s="102"/>
    </row>
    <row r="2" spans="1:114" s="101" customFormat="1" ht="21">
      <c r="B2" s="69" t="s">
        <v>1952</v>
      </c>
      <c r="C2" s="69"/>
      <c r="D2" s="156"/>
      <c r="G2" s="139"/>
    </row>
    <row r="3" spans="1:114" s="101" customFormat="1">
      <c r="B3" s="102" t="s">
        <v>1381</v>
      </c>
      <c r="C3" s="156"/>
    </row>
    <row r="4" spans="1:114" s="101" customFormat="1">
      <c r="B4" s="140" t="s">
        <v>1533</v>
      </c>
      <c r="C4" s="102"/>
      <c r="G4" s="42" t="s">
        <v>124</v>
      </c>
      <c r="H4" s="42" t="s">
        <v>124</v>
      </c>
    </row>
    <row r="5" spans="1:114" s="42" customFormat="1">
      <c r="B5" s="41"/>
      <c r="C5" s="41"/>
      <c r="D5" s="42" t="s">
        <v>191</v>
      </c>
      <c r="G5" s="42" t="s">
        <v>1560</v>
      </c>
      <c r="H5" s="42" t="s">
        <v>2</v>
      </c>
      <c r="T5" s="41" t="s">
        <v>192</v>
      </c>
      <c r="AB5" s="41" t="s">
        <v>193</v>
      </c>
      <c r="AJ5" s="41" t="s">
        <v>1384</v>
      </c>
      <c r="AK5" s="41"/>
      <c r="AL5" s="41"/>
      <c r="AM5" s="41"/>
      <c r="AN5" s="41"/>
      <c r="BB5" s="41" t="s">
        <v>1385</v>
      </c>
      <c r="BI5" s="42" t="s">
        <v>124</v>
      </c>
      <c r="BK5" s="41" t="s">
        <v>1386</v>
      </c>
      <c r="BQ5" s="42" t="s">
        <v>1388</v>
      </c>
      <c r="CC5" s="42" t="s">
        <v>1535</v>
      </c>
    </row>
    <row r="6" spans="1:114" s="42" customFormat="1">
      <c r="B6" s="41"/>
      <c r="C6" s="41"/>
      <c r="D6" s="42" t="s">
        <v>1389</v>
      </c>
      <c r="E6" s="42" t="s">
        <v>191</v>
      </c>
      <c r="F6" s="42" t="s">
        <v>124</v>
      </c>
      <c r="G6" s="42" t="s">
        <v>1561</v>
      </c>
      <c r="H6" s="42" t="s">
        <v>1562</v>
      </c>
      <c r="J6" s="43" t="s">
        <v>194</v>
      </c>
      <c r="K6" s="39"/>
      <c r="L6" s="39"/>
      <c r="M6" s="39"/>
      <c r="N6" s="39"/>
      <c r="O6" s="39"/>
      <c r="P6" s="39"/>
      <c r="Q6" s="39"/>
      <c r="R6" s="39"/>
      <c r="T6" s="44" t="s">
        <v>20</v>
      </c>
      <c r="U6" s="44"/>
      <c r="V6" s="44"/>
      <c r="W6" s="44"/>
      <c r="X6" s="44"/>
      <c r="Y6" s="44"/>
      <c r="Z6" s="44"/>
      <c r="AB6" s="42" t="s">
        <v>20</v>
      </c>
      <c r="AJ6" s="42" t="s">
        <v>195</v>
      </c>
      <c r="AK6" s="42" t="s">
        <v>196</v>
      </c>
      <c r="AL6" s="42" t="s">
        <v>197</v>
      </c>
      <c r="AM6" s="42" t="s">
        <v>198</v>
      </c>
      <c r="AN6" s="42" t="s">
        <v>199</v>
      </c>
      <c r="AO6" s="42" t="s">
        <v>14</v>
      </c>
      <c r="AP6" s="42" t="s">
        <v>200</v>
      </c>
      <c r="AS6" s="42" t="s">
        <v>201</v>
      </c>
      <c r="AT6" s="42" t="s">
        <v>202</v>
      </c>
      <c r="AU6" s="42" t="s">
        <v>203</v>
      </c>
      <c r="AV6" s="42" t="s">
        <v>204</v>
      </c>
      <c r="AX6" s="42" t="s">
        <v>205</v>
      </c>
      <c r="AZ6" s="42" t="s">
        <v>206</v>
      </c>
      <c r="BB6" s="41" t="s">
        <v>207</v>
      </c>
      <c r="BH6" s="42" t="s">
        <v>124</v>
      </c>
      <c r="BI6" s="42" t="s">
        <v>1391</v>
      </c>
      <c r="BK6" s="46" t="s">
        <v>209</v>
      </c>
      <c r="BL6" s="46" t="s">
        <v>210</v>
      </c>
      <c r="BM6" s="46" t="s">
        <v>211</v>
      </c>
      <c r="BN6" s="46" t="s">
        <v>212</v>
      </c>
      <c r="BO6" s="46" t="s">
        <v>213</v>
      </c>
      <c r="BQ6" s="42" t="s">
        <v>38</v>
      </c>
      <c r="BR6" s="42" t="s">
        <v>40</v>
      </c>
      <c r="BS6" s="42" t="s">
        <v>21</v>
      </c>
      <c r="BT6" s="42" t="s">
        <v>21</v>
      </c>
      <c r="BU6" s="42" t="s">
        <v>21</v>
      </c>
      <c r="BV6" s="42" t="s">
        <v>22</v>
      </c>
      <c r="BW6" s="42" t="s">
        <v>22</v>
      </c>
      <c r="BY6" s="42" t="s">
        <v>23</v>
      </c>
      <c r="BZ6" s="42" t="s">
        <v>23</v>
      </c>
      <c r="CA6" s="42" t="s">
        <v>24</v>
      </c>
      <c r="CB6" s="42" t="s">
        <v>24</v>
      </c>
      <c r="CC6" s="42" t="s">
        <v>1387</v>
      </c>
    </row>
    <row r="7" spans="1:114" s="53" customFormat="1" ht="17" thickBot="1">
      <c r="B7" s="53" t="s">
        <v>34</v>
      </c>
      <c r="C7" s="53" t="s">
        <v>1563</v>
      </c>
      <c r="D7" s="53" t="s">
        <v>1393</v>
      </c>
      <c r="E7" s="53" t="s">
        <v>216</v>
      </c>
      <c r="F7" s="53" t="s">
        <v>216</v>
      </c>
      <c r="G7" s="53" t="s">
        <v>1564</v>
      </c>
      <c r="H7" s="53" t="s">
        <v>1564</v>
      </c>
      <c r="J7" s="49" t="s">
        <v>217</v>
      </c>
      <c r="K7" s="48" t="s">
        <v>218</v>
      </c>
      <c r="L7" s="48" t="s">
        <v>1539</v>
      </c>
      <c r="M7" s="48" t="s">
        <v>220</v>
      </c>
      <c r="N7" s="48" t="s">
        <v>101</v>
      </c>
      <c r="O7" s="48" t="s">
        <v>102</v>
      </c>
      <c r="P7" s="48" t="s">
        <v>221</v>
      </c>
      <c r="Q7" s="48" t="s">
        <v>222</v>
      </c>
      <c r="R7" s="48" t="s">
        <v>1394</v>
      </c>
      <c r="T7" s="51" t="s">
        <v>26</v>
      </c>
      <c r="U7" s="51" t="s">
        <v>27</v>
      </c>
      <c r="V7" s="51" t="s">
        <v>28</v>
      </c>
      <c r="W7" s="51" t="s">
        <v>29</v>
      </c>
      <c r="X7" s="51" t="s">
        <v>14</v>
      </c>
      <c r="Y7" s="51" t="s">
        <v>24</v>
      </c>
      <c r="Z7" s="51" t="s">
        <v>30</v>
      </c>
      <c r="AB7" s="53" t="s">
        <v>26</v>
      </c>
      <c r="AC7" s="53" t="s">
        <v>27</v>
      </c>
      <c r="AD7" s="53" t="s">
        <v>28</v>
      </c>
      <c r="AE7" s="53" t="s">
        <v>29</v>
      </c>
      <c r="AF7" s="53" t="s">
        <v>14</v>
      </c>
      <c r="AG7" s="53" t="s">
        <v>24</v>
      </c>
      <c r="AH7" s="53" t="s">
        <v>30</v>
      </c>
      <c r="AJ7" s="53" t="s">
        <v>225</v>
      </c>
      <c r="AK7" s="53" t="s">
        <v>226</v>
      </c>
      <c r="AL7" s="53" t="s">
        <v>226</v>
      </c>
      <c r="AM7" s="53" t="s">
        <v>215</v>
      </c>
      <c r="AN7" s="53" t="s">
        <v>227</v>
      </c>
      <c r="AO7" s="53" t="s">
        <v>228</v>
      </c>
      <c r="AP7" s="53" t="s">
        <v>229</v>
      </c>
      <c r="AQ7" s="53" t="s">
        <v>230</v>
      </c>
      <c r="AR7" s="53" t="s">
        <v>231</v>
      </c>
      <c r="AS7" s="53" t="s">
        <v>232</v>
      </c>
      <c r="AT7" s="53" t="s">
        <v>233</v>
      </c>
      <c r="AU7" s="53" t="s">
        <v>234</v>
      </c>
      <c r="AV7" s="53" t="s">
        <v>235</v>
      </c>
      <c r="AW7" s="53" t="s">
        <v>236</v>
      </c>
      <c r="AX7" s="53" t="s">
        <v>237</v>
      </c>
      <c r="AY7" s="53" t="s">
        <v>238</v>
      </c>
      <c r="AZ7" s="53" t="s">
        <v>239</v>
      </c>
      <c r="BB7" s="53" t="s">
        <v>240</v>
      </c>
      <c r="BC7" s="53" t="s">
        <v>241</v>
      </c>
      <c r="BD7" s="53" t="s">
        <v>242</v>
      </c>
      <c r="BE7" s="53" t="s">
        <v>243</v>
      </c>
      <c r="BF7" s="53" t="s">
        <v>14</v>
      </c>
      <c r="BH7" s="53" t="s">
        <v>2</v>
      </c>
      <c r="BI7" s="53" t="s">
        <v>2</v>
      </c>
      <c r="BK7" s="53" t="s">
        <v>244</v>
      </c>
      <c r="BL7" s="53" t="s">
        <v>244</v>
      </c>
      <c r="BM7" s="53" t="s">
        <v>244</v>
      </c>
      <c r="BN7" s="53" t="s">
        <v>34</v>
      </c>
      <c r="BO7" s="53" t="s">
        <v>196</v>
      </c>
      <c r="BQ7" s="53" t="s">
        <v>39</v>
      </c>
      <c r="BR7" s="53" t="s">
        <v>39</v>
      </c>
      <c r="BS7" s="53" t="s">
        <v>1396</v>
      </c>
      <c r="BT7" s="53" t="s">
        <v>39</v>
      </c>
      <c r="BU7" s="53" t="s">
        <v>42</v>
      </c>
      <c r="BV7" s="53" t="s">
        <v>39</v>
      </c>
      <c r="BW7" s="53" t="s">
        <v>43</v>
      </c>
      <c r="BX7" s="53" t="s">
        <v>1397</v>
      </c>
      <c r="BY7" s="53" t="s">
        <v>39</v>
      </c>
      <c r="BZ7" s="53" t="s">
        <v>42</v>
      </c>
      <c r="CA7" s="53" t="s">
        <v>45</v>
      </c>
      <c r="CB7" s="53" t="s">
        <v>42</v>
      </c>
      <c r="CC7" s="53" t="s">
        <v>1543</v>
      </c>
    </row>
    <row r="8" spans="1:114" s="109" customFormat="1">
      <c r="A8" s="157"/>
      <c r="B8" s="108" t="s">
        <v>1565</v>
      </c>
      <c r="C8" s="55" t="s">
        <v>1566</v>
      </c>
      <c r="D8" s="108">
        <v>7</v>
      </c>
      <c r="E8" s="108">
        <v>25</v>
      </c>
      <c r="F8" s="108">
        <v>115</v>
      </c>
      <c r="G8" s="108">
        <v>70</v>
      </c>
      <c r="H8" s="108"/>
      <c r="I8" s="210"/>
      <c r="J8" s="108">
        <v>67</v>
      </c>
      <c r="K8" s="108">
        <v>3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210"/>
      <c r="T8" s="108">
        <v>18</v>
      </c>
      <c r="U8" s="108">
        <v>2</v>
      </c>
      <c r="V8" s="108">
        <v>14</v>
      </c>
      <c r="W8" s="108">
        <v>1</v>
      </c>
      <c r="X8" s="108">
        <v>26</v>
      </c>
      <c r="Y8" s="108">
        <v>9</v>
      </c>
      <c r="Z8" s="108">
        <f>SUM('[3]CT-39 Sept 2018'!R116)</f>
        <v>0</v>
      </c>
      <c r="AA8" s="210"/>
      <c r="AB8" s="108">
        <v>0</v>
      </c>
      <c r="AC8" s="108">
        <v>0</v>
      </c>
      <c r="AD8" s="108">
        <v>0</v>
      </c>
      <c r="AE8" s="108">
        <v>0</v>
      </c>
      <c r="AF8" s="108">
        <v>0</v>
      </c>
      <c r="AG8" s="108">
        <v>0</v>
      </c>
      <c r="AH8" s="108">
        <v>0</v>
      </c>
      <c r="AI8" s="210"/>
      <c r="AJ8" s="108">
        <v>72</v>
      </c>
      <c r="AK8" s="108">
        <v>0</v>
      </c>
      <c r="AL8" s="108">
        <f>SUM('[3]CT-39 Sept 2018'!W116)</f>
        <v>0</v>
      </c>
      <c r="AM8" s="108">
        <v>0</v>
      </c>
      <c r="AN8" s="108">
        <v>0</v>
      </c>
      <c r="AO8" s="108">
        <v>10</v>
      </c>
      <c r="AP8" s="108">
        <v>9</v>
      </c>
      <c r="AQ8" s="108">
        <v>1</v>
      </c>
      <c r="AR8" s="108">
        <v>8</v>
      </c>
      <c r="AS8" s="108">
        <v>5</v>
      </c>
      <c r="AT8" s="108">
        <v>1</v>
      </c>
      <c r="AU8" s="108">
        <v>3</v>
      </c>
      <c r="AV8" s="108">
        <v>7</v>
      </c>
      <c r="AW8" s="108">
        <v>0</v>
      </c>
      <c r="AX8" s="108">
        <v>2</v>
      </c>
      <c r="AY8" s="108">
        <v>1</v>
      </c>
      <c r="AZ8" s="108">
        <v>1</v>
      </c>
      <c r="BA8" s="210"/>
      <c r="BB8" s="108">
        <f>SUM('[3]CT-39 Sept 2018'!AU116)</f>
        <v>0</v>
      </c>
      <c r="BC8" s="108">
        <v>0</v>
      </c>
      <c r="BD8" s="108">
        <f>SUM('[3]CT-39 Sept 2018'!AW116)</f>
        <v>0</v>
      </c>
      <c r="BE8" s="108">
        <f>SUM('[3]CT-39 Sept 2018'!AX116)</f>
        <v>0</v>
      </c>
      <c r="BF8" s="108">
        <v>70</v>
      </c>
      <c r="BG8" s="210"/>
      <c r="BH8" s="108">
        <v>70</v>
      </c>
      <c r="BI8" s="108">
        <v>1</v>
      </c>
      <c r="BJ8" s="210"/>
      <c r="BK8" s="108">
        <v>1</v>
      </c>
      <c r="BL8" s="108">
        <f>SUM('[3]CT-39 Sept 2018'!BG116)</f>
        <v>0</v>
      </c>
      <c r="BM8" s="108">
        <f>SUM('[3]CT-39 Sept 2018'!BH116)</f>
        <v>0</v>
      </c>
      <c r="BN8" s="108">
        <f>SUM('[3]CT-39 Sept 2018'!BI116)</f>
        <v>0</v>
      </c>
      <c r="BO8" s="108">
        <f>SUM('[3]CT-39 Sept 2018'!BJ116)</f>
        <v>0</v>
      </c>
      <c r="BP8" s="210"/>
      <c r="BQ8" s="108">
        <v>25</v>
      </c>
      <c r="BR8" s="108">
        <v>0</v>
      </c>
      <c r="BS8" s="108">
        <f>SUM('[3]CT-39 Sept 2018'!BR116)</f>
        <v>0</v>
      </c>
      <c r="BT8" s="108">
        <v>1</v>
      </c>
      <c r="BU8" s="108">
        <v>852</v>
      </c>
      <c r="BV8" s="108">
        <v>5</v>
      </c>
      <c r="BW8" s="108">
        <v>6155</v>
      </c>
      <c r="BX8" s="108">
        <v>1</v>
      </c>
      <c r="BY8" s="6">
        <v>2</v>
      </c>
      <c r="BZ8" s="108">
        <v>4689</v>
      </c>
      <c r="CA8" s="6">
        <v>1</v>
      </c>
      <c r="CB8" s="108">
        <f>SUM('[3]CT-39 Sept 2018'!CE116)</f>
        <v>0</v>
      </c>
      <c r="CC8" s="108">
        <f>SUM('[3]CT-39 Sept 2018'!BN116)</f>
        <v>0</v>
      </c>
      <c r="CD8" s="210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</row>
    <row r="9" spans="1:114" s="104" customFormat="1">
      <c r="A9" s="103"/>
      <c r="B9" s="104" t="s">
        <v>1567</v>
      </c>
      <c r="C9" s="55" t="s">
        <v>1568</v>
      </c>
      <c r="D9" s="104">
        <v>2</v>
      </c>
      <c r="E9" s="104">
        <v>30</v>
      </c>
      <c r="F9" s="104">
        <v>100</v>
      </c>
      <c r="G9" s="104">
        <v>35</v>
      </c>
      <c r="I9" s="210"/>
      <c r="J9" s="104">
        <v>30</v>
      </c>
      <c r="K9" s="104">
        <v>2</v>
      </c>
      <c r="L9" s="104">
        <v>3</v>
      </c>
      <c r="M9" s="104">
        <f>SUM('[3]DE-13 July 2018'!H25)</f>
        <v>0</v>
      </c>
      <c r="N9" s="104">
        <v>0</v>
      </c>
      <c r="O9" s="104">
        <v>0</v>
      </c>
      <c r="P9" s="104">
        <v>0</v>
      </c>
      <c r="Q9" s="104">
        <v>0</v>
      </c>
      <c r="R9" s="104">
        <v>0</v>
      </c>
      <c r="S9" s="210"/>
      <c r="T9" s="104">
        <v>9</v>
      </c>
      <c r="U9" s="104">
        <v>3</v>
      </c>
      <c r="V9" s="104">
        <v>1</v>
      </c>
      <c r="W9" s="104">
        <v>1</v>
      </c>
      <c r="X9" s="104">
        <v>19</v>
      </c>
      <c r="Y9" s="104">
        <v>3</v>
      </c>
      <c r="Z9" s="104">
        <f>SUM('[3]DE-13 July 2018'!R25)</f>
        <v>0</v>
      </c>
      <c r="AA9" s="210"/>
      <c r="AB9" s="104">
        <v>0</v>
      </c>
      <c r="AC9" s="104">
        <v>0</v>
      </c>
      <c r="AD9" s="104">
        <v>0</v>
      </c>
      <c r="AE9" s="104">
        <v>0</v>
      </c>
      <c r="AF9" s="104">
        <v>0</v>
      </c>
      <c r="AG9" s="104">
        <v>0</v>
      </c>
      <c r="AH9" s="104">
        <v>0</v>
      </c>
      <c r="AI9" s="210"/>
      <c r="AJ9" s="104">
        <v>36</v>
      </c>
      <c r="AK9" s="104">
        <v>2</v>
      </c>
      <c r="AL9" s="104">
        <v>1</v>
      </c>
      <c r="AM9" s="104">
        <v>2</v>
      </c>
      <c r="AN9" s="104">
        <v>0</v>
      </c>
      <c r="AO9" s="104">
        <v>7</v>
      </c>
      <c r="AP9" s="104">
        <v>20</v>
      </c>
      <c r="AQ9" s="104">
        <v>2</v>
      </c>
      <c r="AR9" s="104">
        <v>10</v>
      </c>
      <c r="AS9" s="104">
        <v>8</v>
      </c>
      <c r="AT9" s="104">
        <v>1</v>
      </c>
      <c r="AU9" s="104">
        <v>3</v>
      </c>
      <c r="AV9" s="104">
        <v>5</v>
      </c>
      <c r="AW9" s="104">
        <v>1</v>
      </c>
      <c r="AX9" s="104">
        <v>5</v>
      </c>
      <c r="AY9" s="104">
        <f>SUM('[3]DE-13 July 2018'!AJ25)</f>
        <v>0</v>
      </c>
      <c r="AZ9" s="104">
        <v>2</v>
      </c>
      <c r="BA9" s="210"/>
      <c r="BB9" s="104">
        <f>SUM('[3]DE-13 July 2018'!AU25)</f>
        <v>0</v>
      </c>
      <c r="BC9" s="104">
        <v>1</v>
      </c>
      <c r="BD9" s="104">
        <f>SUM('[3]DE-13 July 2018'!AW25)</f>
        <v>0</v>
      </c>
      <c r="BE9" s="104">
        <f>SUM('[3]DE-13 July 2018'!AX25)</f>
        <v>0</v>
      </c>
      <c r="BF9" s="104">
        <v>34</v>
      </c>
      <c r="BG9" s="210"/>
      <c r="BH9" s="104">
        <v>35</v>
      </c>
      <c r="BI9" s="104">
        <v>3</v>
      </c>
      <c r="BJ9" s="210"/>
      <c r="BK9" s="104">
        <v>3</v>
      </c>
      <c r="BL9" s="104">
        <f>SUM('[3]DE-13 July 2018'!BG25)</f>
        <v>0</v>
      </c>
      <c r="BM9" s="104">
        <f>SUM('[3]DE-13 July 2018'!BH25)</f>
        <v>0</v>
      </c>
      <c r="BN9" s="104">
        <f>SUM('[3]DE-13 July 2018'!BI25)</f>
        <v>0</v>
      </c>
      <c r="BO9" s="104">
        <f>SUM('[3]DE-13 July 2018'!BJ25)</f>
        <v>0</v>
      </c>
      <c r="BP9" s="210"/>
      <c r="BQ9" s="104">
        <v>61</v>
      </c>
      <c r="BR9" s="104">
        <v>2</v>
      </c>
      <c r="BS9" s="104">
        <f>SUM('[3]DE-13 July 2018'!BR25)</f>
        <v>0</v>
      </c>
      <c r="BT9" s="104">
        <f>SUM('[3]DE-13 July 2018'!BS25)</f>
        <v>0</v>
      </c>
      <c r="BU9" s="104">
        <f>SUM('[3]DE-13 July 2018'!BT25)</f>
        <v>0</v>
      </c>
      <c r="BV9" s="104">
        <v>2</v>
      </c>
      <c r="BW9" s="104">
        <v>290</v>
      </c>
      <c r="BX9" s="104">
        <f>SUM('[3]DE-13 July 2018'!BY25)</f>
        <v>0</v>
      </c>
      <c r="BY9" s="66">
        <f>SUM('[3]DE-13 July 2018'!CA25)</f>
        <v>0</v>
      </c>
      <c r="BZ9" s="66">
        <f>SUM('[3]DE-13 July 2018'!CB25)</f>
        <v>0</v>
      </c>
      <c r="CA9" s="66">
        <f>SUM('[3]DE-13 July 2018'!CD25)</f>
        <v>0</v>
      </c>
      <c r="CB9" s="66">
        <f>SUM('[3]DE-13 July 2018'!CE25)</f>
        <v>0</v>
      </c>
      <c r="CC9" s="66">
        <f>SUM('[3]DE-13 July 2018'!BN25)</f>
        <v>0</v>
      </c>
      <c r="CD9" s="210"/>
    </row>
    <row r="10" spans="1:114" s="66" customFormat="1">
      <c r="A10" s="103"/>
      <c r="B10" s="104" t="s">
        <v>1412</v>
      </c>
      <c r="C10" s="22" t="s">
        <v>1569</v>
      </c>
      <c r="D10" s="104">
        <v>16</v>
      </c>
      <c r="E10" s="104">
        <v>200</v>
      </c>
      <c r="F10" s="104">
        <v>445</v>
      </c>
      <c r="G10" s="104">
        <v>112</v>
      </c>
      <c r="H10" s="104"/>
      <c r="I10" s="210"/>
      <c r="J10" s="104">
        <v>95</v>
      </c>
      <c r="K10" s="104">
        <v>9</v>
      </c>
      <c r="L10" s="104">
        <v>4</v>
      </c>
      <c r="M10" s="104">
        <v>3</v>
      </c>
      <c r="N10" s="104">
        <v>1</v>
      </c>
      <c r="O10" s="104">
        <v>0</v>
      </c>
      <c r="P10" s="104">
        <v>0</v>
      </c>
      <c r="Q10" s="104">
        <v>0</v>
      </c>
      <c r="R10" s="104">
        <v>0</v>
      </c>
      <c r="S10" s="210"/>
      <c r="T10" s="104">
        <v>47</v>
      </c>
      <c r="U10" s="104">
        <v>2</v>
      </c>
      <c r="V10" s="104">
        <v>7</v>
      </c>
      <c r="W10" s="104">
        <v>4</v>
      </c>
      <c r="X10" s="104">
        <v>53</v>
      </c>
      <c r="Y10" s="104">
        <v>1</v>
      </c>
      <c r="Z10" s="104">
        <f>SUM('[3]IA-152 November 2018'!R162)</f>
        <v>0</v>
      </c>
      <c r="AA10" s="210"/>
      <c r="AB10" s="104">
        <v>0</v>
      </c>
      <c r="AC10" s="104">
        <v>1</v>
      </c>
      <c r="AD10" s="104">
        <v>0</v>
      </c>
      <c r="AE10" s="104">
        <v>0</v>
      </c>
      <c r="AF10" s="104">
        <v>0</v>
      </c>
      <c r="AG10" s="104">
        <v>0</v>
      </c>
      <c r="AH10" s="104">
        <v>0</v>
      </c>
      <c r="AI10" s="210"/>
      <c r="AJ10" s="104">
        <v>116</v>
      </c>
      <c r="AK10" s="104">
        <v>0</v>
      </c>
      <c r="AL10" s="104">
        <v>6</v>
      </c>
      <c r="AM10" s="104">
        <v>5</v>
      </c>
      <c r="AN10" s="104">
        <v>5</v>
      </c>
      <c r="AO10" s="104">
        <v>64</v>
      </c>
      <c r="AP10" s="104">
        <v>60</v>
      </c>
      <c r="AQ10" s="104">
        <v>11</v>
      </c>
      <c r="AR10" s="104">
        <v>33</v>
      </c>
      <c r="AS10" s="104">
        <v>33</v>
      </c>
      <c r="AT10" s="104">
        <v>28</v>
      </c>
      <c r="AU10" s="104">
        <v>27</v>
      </c>
      <c r="AV10" s="104">
        <v>27</v>
      </c>
      <c r="AW10" s="104">
        <v>5</v>
      </c>
      <c r="AX10" s="104">
        <v>15</v>
      </c>
      <c r="AY10" s="104">
        <v>6</v>
      </c>
      <c r="AZ10" s="104">
        <v>21</v>
      </c>
      <c r="BA10" s="210"/>
      <c r="BB10" s="104">
        <f>SUM('[3]IA-152 November 2018'!AU162)</f>
        <v>0</v>
      </c>
      <c r="BC10" s="104">
        <v>2</v>
      </c>
      <c r="BD10" s="104">
        <f>SUM('[3]IA-152 November 2018'!AW162)</f>
        <v>0</v>
      </c>
      <c r="BE10" s="104">
        <f>SUM('[3]IA-152 November 2018'!AX162)</f>
        <v>0</v>
      </c>
      <c r="BF10" s="104">
        <v>110</v>
      </c>
      <c r="BG10" s="210"/>
      <c r="BH10" s="104">
        <v>112</v>
      </c>
      <c r="BI10" s="104">
        <v>2</v>
      </c>
      <c r="BJ10" s="210"/>
      <c r="BK10" s="104">
        <v>2</v>
      </c>
      <c r="BL10" s="104">
        <v>0</v>
      </c>
      <c r="BM10" s="104">
        <f>SUM('[3]IA-152 November 2018'!BH162)</f>
        <v>0</v>
      </c>
      <c r="BN10" s="104">
        <f>SUM('[3]IA-152 November 2018'!BI162)</f>
        <v>0</v>
      </c>
      <c r="BO10" s="104">
        <f>SUM('[3]IA-152 November 2018'!BJ162)</f>
        <v>0</v>
      </c>
      <c r="BP10" s="210"/>
      <c r="BQ10" s="104">
        <v>252</v>
      </c>
      <c r="BR10" s="104">
        <v>43</v>
      </c>
      <c r="BS10" s="104">
        <v>0</v>
      </c>
      <c r="BT10" s="104">
        <v>13</v>
      </c>
      <c r="BU10" s="104">
        <v>3124</v>
      </c>
      <c r="BV10" s="104">
        <v>26</v>
      </c>
      <c r="BW10" s="104">
        <v>14849</v>
      </c>
      <c r="BX10" s="104">
        <f>SUM('[3]IA-152 November 2018'!BY162)</f>
        <v>0</v>
      </c>
      <c r="BY10" s="9">
        <v>10</v>
      </c>
      <c r="BZ10" s="9">
        <v>3767</v>
      </c>
      <c r="CA10" s="9">
        <v>1</v>
      </c>
      <c r="CB10" s="9">
        <v>145</v>
      </c>
      <c r="CC10" s="9">
        <f>SUM('[3]IA-152 November 2018'!BN162)</f>
        <v>0</v>
      </c>
      <c r="CD10" s="210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</row>
    <row r="11" spans="1:114" s="66" customFormat="1">
      <c r="A11" s="103"/>
      <c r="B11" s="104" t="s">
        <v>1570</v>
      </c>
      <c r="C11" s="22" t="s">
        <v>1571</v>
      </c>
      <c r="D11" s="104">
        <v>1</v>
      </c>
      <c r="E11" s="104">
        <v>129</v>
      </c>
      <c r="F11" s="104">
        <v>446</v>
      </c>
      <c r="G11" s="104">
        <v>94</v>
      </c>
      <c r="H11" s="104"/>
      <c r="I11" s="210"/>
      <c r="J11" s="104">
        <v>76</v>
      </c>
      <c r="K11" s="104">
        <v>13</v>
      </c>
      <c r="L11" s="104">
        <v>4</v>
      </c>
      <c r="M11" s="104">
        <v>2</v>
      </c>
      <c r="N11" s="104">
        <v>0</v>
      </c>
      <c r="O11" s="104">
        <v>0</v>
      </c>
      <c r="P11" s="104">
        <v>0</v>
      </c>
      <c r="Q11" s="104">
        <v>0</v>
      </c>
      <c r="R11" s="104">
        <v>0</v>
      </c>
      <c r="S11" s="210"/>
      <c r="T11" s="104">
        <v>62</v>
      </c>
      <c r="U11" s="104">
        <v>0</v>
      </c>
      <c r="V11" s="104">
        <v>0</v>
      </c>
      <c r="W11" s="104">
        <v>2</v>
      </c>
      <c r="X11" s="104">
        <v>32</v>
      </c>
      <c r="Y11" s="104">
        <v>0</v>
      </c>
      <c r="Z11" s="104">
        <f>SUM('[3]KS-90 Nov 2018'!R99)</f>
        <v>0</v>
      </c>
      <c r="AA11" s="210"/>
      <c r="AB11" s="104">
        <v>0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210"/>
      <c r="AJ11" s="104">
        <v>97</v>
      </c>
      <c r="AK11" s="104">
        <v>18</v>
      </c>
      <c r="AL11" s="104">
        <v>2</v>
      </c>
      <c r="AM11" s="104">
        <v>1</v>
      </c>
      <c r="AN11" s="104">
        <v>4</v>
      </c>
      <c r="AO11" s="104">
        <v>52</v>
      </c>
      <c r="AP11" s="104">
        <v>117</v>
      </c>
      <c r="AQ11" s="104">
        <v>12</v>
      </c>
      <c r="AR11" s="104">
        <v>51</v>
      </c>
      <c r="AS11" s="104">
        <v>39</v>
      </c>
      <c r="AT11" s="104">
        <v>8</v>
      </c>
      <c r="AU11" s="104">
        <v>26</v>
      </c>
      <c r="AV11" s="104">
        <v>46</v>
      </c>
      <c r="AW11" s="104">
        <v>1</v>
      </c>
      <c r="AX11" s="104">
        <v>12</v>
      </c>
      <c r="AY11" s="104">
        <v>8</v>
      </c>
      <c r="AZ11" s="104">
        <v>25</v>
      </c>
      <c r="BA11" s="210"/>
      <c r="BB11" s="104">
        <f>SUM('[3]KS-90 Nov 2018'!AU99)</f>
        <v>0</v>
      </c>
      <c r="BC11" s="104">
        <v>2</v>
      </c>
      <c r="BD11" s="104">
        <v>2</v>
      </c>
      <c r="BE11" s="104">
        <v>1</v>
      </c>
      <c r="BF11" s="104">
        <v>89</v>
      </c>
      <c r="BG11" s="210"/>
      <c r="BH11" s="104">
        <v>94</v>
      </c>
      <c r="BI11" s="104">
        <v>5</v>
      </c>
      <c r="BJ11" s="210"/>
      <c r="BK11" s="104">
        <v>4</v>
      </c>
      <c r="BL11" s="104">
        <f>SUM('[3]KS-90 Nov 2018'!BG99)</f>
        <v>0</v>
      </c>
      <c r="BM11" s="105">
        <v>1</v>
      </c>
      <c r="BN11" s="104">
        <f>SUM('[3]KS-90 Nov 2018'!BI99)</f>
        <v>0</v>
      </c>
      <c r="BO11" s="104">
        <f>SUM('[3]KS-90 Nov 2018'!BJ99)</f>
        <v>0</v>
      </c>
      <c r="BP11" s="210"/>
      <c r="BQ11" s="104">
        <v>281</v>
      </c>
      <c r="BR11" s="104">
        <v>0</v>
      </c>
      <c r="BS11" s="104">
        <v>0</v>
      </c>
      <c r="BT11" s="104">
        <v>11</v>
      </c>
      <c r="BU11" s="104">
        <v>3097</v>
      </c>
      <c r="BV11" s="104">
        <v>13</v>
      </c>
      <c r="BW11" s="104">
        <v>7928</v>
      </c>
      <c r="BX11" s="104">
        <v>3</v>
      </c>
      <c r="BY11" s="66">
        <v>3</v>
      </c>
      <c r="BZ11" s="66">
        <v>1098</v>
      </c>
      <c r="CA11" s="66">
        <f>SUM('[3]KS-90 Nov 2018'!CD99)</f>
        <v>0</v>
      </c>
      <c r="CB11" s="66">
        <f>SUM('[3]KS-90 Nov 2018'!CE99)</f>
        <v>0</v>
      </c>
      <c r="CC11" s="66">
        <f>SUM('[3]KS-90 Nov 2018'!BN99)</f>
        <v>0</v>
      </c>
      <c r="CD11" s="210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</row>
    <row r="12" spans="1:114" s="66" customFormat="1">
      <c r="A12" s="103"/>
      <c r="B12" s="104" t="s">
        <v>1572</v>
      </c>
      <c r="C12" s="22" t="s">
        <v>1566</v>
      </c>
      <c r="D12" s="104">
        <v>5</v>
      </c>
      <c r="E12" s="104">
        <v>12</v>
      </c>
      <c r="F12" s="104">
        <v>47</v>
      </c>
      <c r="G12" s="104">
        <v>26</v>
      </c>
      <c r="H12" s="104"/>
      <c r="I12" s="210"/>
      <c r="J12" s="104">
        <v>25</v>
      </c>
      <c r="K12" s="104">
        <v>0</v>
      </c>
      <c r="L12" s="104">
        <v>1</v>
      </c>
      <c r="M12" s="104">
        <v>0</v>
      </c>
      <c r="N12" s="104">
        <v>0</v>
      </c>
      <c r="O12" s="104">
        <v>0</v>
      </c>
      <c r="P12" s="104">
        <v>0</v>
      </c>
      <c r="Q12" s="104">
        <v>0</v>
      </c>
      <c r="R12" s="104">
        <v>0</v>
      </c>
      <c r="S12" s="210"/>
      <c r="T12" s="104">
        <v>11</v>
      </c>
      <c r="U12" s="104">
        <v>1</v>
      </c>
      <c r="V12" s="104">
        <v>0</v>
      </c>
      <c r="W12" s="104">
        <v>0</v>
      </c>
      <c r="X12" s="104">
        <v>14</v>
      </c>
      <c r="Y12" s="104">
        <v>0</v>
      </c>
      <c r="Z12" s="104">
        <f>SUM('[3]Maine-0 Feb 2020'!R8)</f>
        <v>0</v>
      </c>
      <c r="AA12" s="210"/>
      <c r="AB12" s="104">
        <v>0</v>
      </c>
      <c r="AC12" s="104">
        <v>0</v>
      </c>
      <c r="AD12" s="104">
        <v>0</v>
      </c>
      <c r="AE12" s="104">
        <v>0</v>
      </c>
      <c r="AF12" s="104">
        <v>0</v>
      </c>
      <c r="AG12" s="104">
        <v>0</v>
      </c>
      <c r="AH12" s="104">
        <v>0</v>
      </c>
      <c r="AI12" s="210"/>
      <c r="AJ12" s="104">
        <v>3</v>
      </c>
      <c r="AK12" s="104">
        <f>SUM('[3]Maine-0 Feb 2020'!V8)</f>
        <v>0</v>
      </c>
      <c r="AL12" s="104">
        <v>1</v>
      </c>
      <c r="AM12" s="104">
        <f>SUM('[3]Maine-0 Feb 2020'!X8)</f>
        <v>0</v>
      </c>
      <c r="AN12" s="104">
        <v>6</v>
      </c>
      <c r="AO12" s="104">
        <v>3</v>
      </c>
      <c r="AP12" s="104">
        <v>0</v>
      </c>
      <c r="AQ12" s="104">
        <v>2</v>
      </c>
      <c r="AR12" s="104">
        <v>2</v>
      </c>
      <c r="AS12" s="104">
        <v>0</v>
      </c>
      <c r="AT12" s="104">
        <v>1</v>
      </c>
      <c r="AU12" s="104">
        <v>5</v>
      </c>
      <c r="AV12" s="104">
        <v>0</v>
      </c>
      <c r="AW12" s="104">
        <v>0</v>
      </c>
      <c r="AX12" s="104">
        <f>SUM('[3]Maine-0 Feb 2020'!AI8)</f>
        <v>0</v>
      </c>
      <c r="AY12" s="104">
        <v>1</v>
      </c>
      <c r="AZ12" s="104">
        <v>0</v>
      </c>
      <c r="BA12" s="210"/>
      <c r="BB12" s="104">
        <f>SUM('[3]Maine-0 Feb 2020'!AU8)</f>
        <v>0</v>
      </c>
      <c r="BC12" s="104">
        <f>SUM('[3]Maine-0 Feb 2020'!AV8)</f>
        <v>0</v>
      </c>
      <c r="BD12" s="104">
        <v>0</v>
      </c>
      <c r="BE12" s="104">
        <v>0</v>
      </c>
      <c r="BF12" s="104">
        <v>0</v>
      </c>
      <c r="BG12" s="210"/>
      <c r="BH12" s="104">
        <v>26</v>
      </c>
      <c r="BI12" s="104">
        <v>1</v>
      </c>
      <c r="BJ12" s="210"/>
      <c r="BK12" s="104">
        <v>1</v>
      </c>
      <c r="BL12" s="104">
        <v>0</v>
      </c>
      <c r="BM12" s="104">
        <v>0</v>
      </c>
      <c r="BN12" s="104">
        <v>0</v>
      </c>
      <c r="BO12" s="104">
        <v>0</v>
      </c>
      <c r="BP12" s="210"/>
      <c r="BQ12" s="104">
        <v>26</v>
      </c>
      <c r="BR12" s="104">
        <v>2</v>
      </c>
      <c r="BS12" s="104">
        <v>0</v>
      </c>
      <c r="BT12" s="104">
        <v>0</v>
      </c>
      <c r="BU12" s="104">
        <v>0</v>
      </c>
      <c r="BV12" s="104">
        <v>20</v>
      </c>
      <c r="BW12" s="104">
        <v>9447</v>
      </c>
      <c r="BX12" s="104">
        <v>0</v>
      </c>
      <c r="BY12" s="66">
        <v>0</v>
      </c>
      <c r="BZ12" s="104">
        <v>0</v>
      </c>
      <c r="CA12" s="66">
        <v>0</v>
      </c>
      <c r="CB12" s="104">
        <v>0</v>
      </c>
      <c r="CC12" s="104">
        <v>0</v>
      </c>
      <c r="CD12" s="210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</row>
    <row r="13" spans="1:114" s="104" customFormat="1">
      <c r="A13" s="103"/>
      <c r="B13" s="104" t="s">
        <v>1573</v>
      </c>
      <c r="C13" s="22" t="s">
        <v>1566</v>
      </c>
      <c r="D13" s="104">
        <v>8</v>
      </c>
      <c r="E13" s="104">
        <v>37</v>
      </c>
      <c r="F13" s="104">
        <v>131</v>
      </c>
      <c r="G13" s="104">
        <v>49</v>
      </c>
      <c r="I13" s="210"/>
      <c r="J13" s="104">
        <v>42</v>
      </c>
      <c r="K13" s="104">
        <v>7</v>
      </c>
      <c r="L13" s="104">
        <v>1</v>
      </c>
      <c r="M13" s="104">
        <f>SUM('[3]Mass-7 July 2018'!H77)</f>
        <v>0</v>
      </c>
      <c r="N13" s="104">
        <v>0</v>
      </c>
      <c r="O13" s="104">
        <v>0</v>
      </c>
      <c r="P13" s="104">
        <v>0</v>
      </c>
      <c r="Q13" s="104">
        <v>0</v>
      </c>
      <c r="R13" s="104">
        <v>0</v>
      </c>
      <c r="S13" s="210"/>
      <c r="T13" s="104">
        <v>15</v>
      </c>
      <c r="U13" s="104">
        <v>0</v>
      </c>
      <c r="V13" s="104">
        <v>7</v>
      </c>
      <c r="W13" s="104">
        <v>3</v>
      </c>
      <c r="X13" s="104">
        <v>20</v>
      </c>
      <c r="Y13" s="104">
        <v>4</v>
      </c>
      <c r="Z13" s="104">
        <f>SUM('[3]Mass-7 July 2018'!R77)</f>
        <v>0</v>
      </c>
      <c r="AA13" s="210"/>
      <c r="AB13" s="104">
        <v>0</v>
      </c>
      <c r="AC13" s="104">
        <v>0</v>
      </c>
      <c r="AD13" s="104">
        <v>0</v>
      </c>
      <c r="AE13" s="104">
        <v>0</v>
      </c>
      <c r="AF13" s="104">
        <v>0</v>
      </c>
      <c r="AG13" s="104">
        <v>0</v>
      </c>
      <c r="AH13" s="104">
        <v>0</v>
      </c>
      <c r="AI13" s="210"/>
      <c r="AJ13" s="104">
        <v>7</v>
      </c>
      <c r="AK13" s="104">
        <f>SUM('[3]Mass-7 July 2018'!V77)</f>
        <v>0</v>
      </c>
      <c r="AL13" s="104">
        <f>SUM('[3]Mass-7 July 2018'!W77)</f>
        <v>0</v>
      </c>
      <c r="AM13" s="104">
        <v>1</v>
      </c>
      <c r="AN13" s="104">
        <v>4</v>
      </c>
      <c r="AO13" s="104">
        <v>35</v>
      </c>
      <c r="AP13" s="104">
        <v>19</v>
      </c>
      <c r="AQ13" s="104">
        <v>4</v>
      </c>
      <c r="AR13" s="104">
        <v>10</v>
      </c>
      <c r="AS13" s="104">
        <v>7</v>
      </c>
      <c r="AT13" s="104">
        <v>1</v>
      </c>
      <c r="AU13" s="104">
        <f>SUM('[3]Mass-7 July 2018'!AF77)</f>
        <v>0</v>
      </c>
      <c r="AV13" s="104">
        <v>7</v>
      </c>
      <c r="AW13" s="104">
        <v>2</v>
      </c>
      <c r="AX13" s="104">
        <v>3</v>
      </c>
      <c r="AY13" s="104">
        <v>2</v>
      </c>
      <c r="AZ13" s="104">
        <v>1</v>
      </c>
      <c r="BA13" s="210"/>
      <c r="BB13" s="104">
        <f>SUM('[3]Mass-7 July 2018'!AU77)</f>
        <v>0</v>
      </c>
      <c r="BC13" s="104">
        <v>1</v>
      </c>
      <c r="BD13" s="104">
        <f>SUM('[3]Mass-7 July 2018'!AW77)</f>
        <v>0</v>
      </c>
      <c r="BE13" s="104">
        <f>SUM('[3]Mass-7 July 2018'!AX77)</f>
        <v>0</v>
      </c>
      <c r="BF13" s="104">
        <v>49</v>
      </c>
      <c r="BG13" s="210"/>
      <c r="BH13" s="104">
        <v>49</v>
      </c>
      <c r="BI13" s="104">
        <f>SUM('[3]Mass-7 July 2018'!BD77)</f>
        <v>0</v>
      </c>
      <c r="BJ13" s="210"/>
      <c r="BK13" s="104">
        <f>SUM('[3]Mass-7 July 2018'!BF77)</f>
        <v>0</v>
      </c>
      <c r="BL13" s="104">
        <f>SUM('[3]Mass-7 July 2018'!BG77)</f>
        <v>0</v>
      </c>
      <c r="BM13" s="104">
        <f>SUM('[3]Mass-7 July 2018'!BH77)</f>
        <v>0</v>
      </c>
      <c r="BN13" s="104">
        <f>SUM('[3]Mass-7 July 2018'!BI77)</f>
        <v>0</v>
      </c>
      <c r="BO13" s="104">
        <f>SUM('[3]Mass-7 July 2018'!BJ77)</f>
        <v>0</v>
      </c>
      <c r="BP13" s="210"/>
      <c r="BQ13" s="104">
        <v>64</v>
      </c>
      <c r="BR13" s="104">
        <v>5</v>
      </c>
      <c r="BS13" s="104">
        <f>SUM('[3]Mass-7 July 2018'!BR77)</f>
        <v>0</v>
      </c>
      <c r="BT13" s="104">
        <v>1</v>
      </c>
      <c r="BU13" s="104">
        <v>722</v>
      </c>
      <c r="BV13" s="104">
        <v>6</v>
      </c>
      <c r="BW13" s="104">
        <v>2533</v>
      </c>
      <c r="BX13" s="104">
        <v>1</v>
      </c>
      <c r="BY13" s="9">
        <v>4</v>
      </c>
      <c r="BZ13" s="9">
        <v>946</v>
      </c>
      <c r="CA13" s="9">
        <v>1</v>
      </c>
      <c r="CB13" s="9">
        <v>500</v>
      </c>
      <c r="CC13" s="9">
        <f>SUM('[3]Mass-7 July 2018'!BN77)</f>
        <v>0</v>
      </c>
      <c r="CD13" s="210"/>
    </row>
    <row r="14" spans="1:114" s="104" customFormat="1">
      <c r="A14" s="103"/>
      <c r="B14" s="104" t="s">
        <v>1422</v>
      </c>
      <c r="C14" s="22" t="s">
        <v>1574</v>
      </c>
      <c r="D14" s="104">
        <v>97</v>
      </c>
      <c r="E14" s="104">
        <v>773</v>
      </c>
      <c r="F14" s="104">
        <v>3672</v>
      </c>
      <c r="G14" s="104">
        <v>1794</v>
      </c>
      <c r="H14" s="132"/>
      <c r="I14" s="210"/>
      <c r="J14" s="104">
        <v>1698</v>
      </c>
      <c r="K14" s="104">
        <v>64</v>
      </c>
      <c r="L14" s="104">
        <v>24</v>
      </c>
      <c r="M14" s="104">
        <v>8</v>
      </c>
      <c r="N14" s="104">
        <v>2</v>
      </c>
      <c r="O14" s="104">
        <v>0</v>
      </c>
      <c r="P14" s="104">
        <v>0</v>
      </c>
      <c r="Q14" s="104">
        <v>0</v>
      </c>
      <c r="R14" s="104">
        <v>0</v>
      </c>
      <c r="S14" s="210"/>
      <c r="T14" s="104">
        <v>354</v>
      </c>
      <c r="U14" s="104">
        <v>10</v>
      </c>
      <c r="V14" s="104">
        <v>12</v>
      </c>
      <c r="W14" s="104">
        <v>3</v>
      </c>
      <c r="X14" s="104">
        <v>1408</v>
      </c>
      <c r="Y14" s="104">
        <v>0</v>
      </c>
      <c r="Z14" s="104">
        <v>1</v>
      </c>
      <c r="AA14" s="210"/>
      <c r="AB14" s="104">
        <v>0</v>
      </c>
      <c r="AC14" s="104">
        <v>4</v>
      </c>
      <c r="AD14" s="104">
        <v>0</v>
      </c>
      <c r="AE14" s="104">
        <v>2</v>
      </c>
      <c r="AF14" s="104">
        <v>0</v>
      </c>
      <c r="AG14" s="104">
        <v>0</v>
      </c>
      <c r="AH14" s="104">
        <v>0</v>
      </c>
      <c r="AI14" s="210"/>
      <c r="AJ14" s="104">
        <v>1818</v>
      </c>
      <c r="AK14" s="104">
        <v>23</v>
      </c>
      <c r="AL14" s="104">
        <v>11</v>
      </c>
      <c r="AM14" s="104">
        <v>29</v>
      </c>
      <c r="AN14" s="104">
        <v>42</v>
      </c>
      <c r="AO14" s="104">
        <v>226</v>
      </c>
      <c r="AP14" s="104">
        <v>492</v>
      </c>
      <c r="AQ14" s="104">
        <v>99</v>
      </c>
      <c r="AR14" s="104">
        <v>305</v>
      </c>
      <c r="AS14" s="104">
        <v>254</v>
      </c>
      <c r="AT14" s="104">
        <v>42</v>
      </c>
      <c r="AU14" s="104">
        <v>119</v>
      </c>
      <c r="AV14" s="104">
        <v>307</v>
      </c>
      <c r="AW14" s="104">
        <v>44</v>
      </c>
      <c r="AX14" s="104">
        <v>87</v>
      </c>
      <c r="AY14" s="104">
        <v>91</v>
      </c>
      <c r="AZ14" s="104">
        <v>62</v>
      </c>
      <c r="BA14" s="210"/>
      <c r="BB14" s="104">
        <v>1</v>
      </c>
      <c r="BC14" s="104">
        <v>8</v>
      </c>
      <c r="BD14" s="104">
        <f>SUM('[3]MO-2311 Dece 2019'!AW2313)</f>
        <v>0</v>
      </c>
      <c r="BE14" s="104">
        <f>SUM('[3]MO-2311 Dece 2019'!AX2313)</f>
        <v>0</v>
      </c>
      <c r="BF14" s="104">
        <v>1785</v>
      </c>
      <c r="BG14" s="210"/>
      <c r="BH14" s="104">
        <v>1794</v>
      </c>
      <c r="BI14" s="104">
        <v>17</v>
      </c>
      <c r="BJ14" s="210"/>
      <c r="BK14" s="104">
        <v>16</v>
      </c>
      <c r="BL14" s="104">
        <v>1</v>
      </c>
      <c r="BM14" s="104">
        <f>SUM('[3]MO-2311 Dece 2019'!BH2313)</f>
        <v>0</v>
      </c>
      <c r="BN14" s="105">
        <v>1</v>
      </c>
      <c r="BO14" s="104">
        <f>SUM('[3]MO-2311 Dece 2019'!BJ2313)</f>
        <v>0</v>
      </c>
      <c r="BP14" s="210"/>
      <c r="BQ14" s="104">
        <v>2096</v>
      </c>
      <c r="BR14" s="104">
        <v>28</v>
      </c>
      <c r="BS14" s="104">
        <f>SUM('[3]MO-2311 Dece 2019'!BS2313)</f>
        <v>0</v>
      </c>
      <c r="BT14" s="104">
        <v>40</v>
      </c>
      <c r="BU14" s="104">
        <v>25279</v>
      </c>
      <c r="BV14" s="104">
        <v>68</v>
      </c>
      <c r="BW14" s="104">
        <v>50423</v>
      </c>
      <c r="BX14" s="104">
        <v>4</v>
      </c>
      <c r="BY14" s="104">
        <v>20</v>
      </c>
      <c r="BZ14" s="104">
        <v>12489</v>
      </c>
      <c r="CA14" s="104">
        <v>1</v>
      </c>
      <c r="CB14" s="104">
        <v>197</v>
      </c>
      <c r="CC14" s="104">
        <v>12</v>
      </c>
      <c r="CD14" s="210"/>
    </row>
    <row r="15" spans="1:114" s="104" customFormat="1">
      <c r="A15" s="103"/>
      <c r="B15" s="104" t="s">
        <v>1575</v>
      </c>
      <c r="C15" s="22" t="s">
        <v>1571</v>
      </c>
      <c r="D15" s="104">
        <v>3</v>
      </c>
      <c r="E15" s="104">
        <v>57</v>
      </c>
      <c r="F15" s="104">
        <v>191</v>
      </c>
      <c r="G15" s="104">
        <v>73</v>
      </c>
      <c r="I15" s="210"/>
      <c r="J15" s="104">
        <v>61</v>
      </c>
      <c r="K15" s="104">
        <v>4</v>
      </c>
      <c r="L15" s="104">
        <v>2</v>
      </c>
      <c r="M15" s="104">
        <v>1</v>
      </c>
      <c r="N15" s="104">
        <v>0</v>
      </c>
      <c r="O15" s="104">
        <v>0</v>
      </c>
      <c r="P15" s="104">
        <v>0</v>
      </c>
      <c r="Q15" s="104">
        <v>0</v>
      </c>
      <c r="R15" s="104">
        <v>0</v>
      </c>
      <c r="S15" s="210"/>
      <c r="T15" s="104">
        <v>14</v>
      </c>
      <c r="U15" s="104">
        <v>1</v>
      </c>
      <c r="V15" s="104">
        <v>1</v>
      </c>
      <c r="W15" s="104">
        <v>2</v>
      </c>
      <c r="X15" s="104">
        <v>49</v>
      </c>
      <c r="Y15" s="104">
        <v>2</v>
      </c>
      <c r="Z15" s="104">
        <f>SUM('[3]NE-47 November 2018'!R61)</f>
        <v>0</v>
      </c>
      <c r="AA15" s="210"/>
      <c r="AB15" s="104">
        <v>0</v>
      </c>
      <c r="AC15" s="104">
        <v>1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210"/>
      <c r="AJ15" s="104">
        <v>22</v>
      </c>
      <c r="AK15" s="104">
        <v>4</v>
      </c>
      <c r="AL15" s="104">
        <v>1</v>
      </c>
      <c r="AM15" s="104">
        <v>2</v>
      </c>
      <c r="AN15" s="104">
        <v>4</v>
      </c>
      <c r="AO15" s="104">
        <v>13</v>
      </c>
      <c r="AP15" s="104">
        <v>24</v>
      </c>
      <c r="AQ15" s="104">
        <v>6</v>
      </c>
      <c r="AR15" s="104">
        <v>22</v>
      </c>
      <c r="AS15" s="104">
        <v>16</v>
      </c>
      <c r="AT15" s="104">
        <v>2</v>
      </c>
      <c r="AU15" s="104">
        <v>8</v>
      </c>
      <c r="AV15" s="104">
        <v>17</v>
      </c>
      <c r="AW15" s="104">
        <v>5</v>
      </c>
      <c r="AX15" s="104">
        <v>8</v>
      </c>
      <c r="AY15" s="104">
        <v>4</v>
      </c>
      <c r="AZ15" s="104">
        <v>5</v>
      </c>
      <c r="BA15" s="210"/>
      <c r="BB15" s="104">
        <f>SUM('[3]NE-47 November 2018'!AU61)</f>
        <v>0</v>
      </c>
      <c r="BC15" s="104">
        <v>1</v>
      </c>
      <c r="BD15" s="104">
        <f>SUM('[3]NE-47 November 2018'!AW61)</f>
        <v>0</v>
      </c>
      <c r="BE15" s="104">
        <f>SUM('[3]NE-47 November 2018'!AX61)</f>
        <v>0</v>
      </c>
      <c r="BF15" s="104">
        <v>72</v>
      </c>
      <c r="BG15" s="210"/>
      <c r="BH15" s="104">
        <v>73</v>
      </c>
      <c r="BI15" s="104">
        <v>1</v>
      </c>
      <c r="BJ15" s="210"/>
      <c r="BK15" s="104">
        <v>1</v>
      </c>
      <c r="BL15" s="104">
        <f>SUM('[3]NE-47 November 2018'!BG61)</f>
        <v>0</v>
      </c>
      <c r="BM15" s="104">
        <f>SUM('[3]NE-47 November 2018'!BH61)</f>
        <v>0</v>
      </c>
      <c r="BN15" s="104">
        <f>SUM('[3]NE-47 November 2018'!BI61)</f>
        <v>0</v>
      </c>
      <c r="BO15" s="104">
        <f>SUM('[3]NE-47 November 2018'!BJ61)</f>
        <v>0</v>
      </c>
      <c r="BP15" s="210"/>
      <c r="BQ15" s="104">
        <v>137</v>
      </c>
      <c r="BR15" s="104">
        <v>1</v>
      </c>
      <c r="BS15" s="104">
        <v>0</v>
      </c>
      <c r="BT15" s="104">
        <v>2</v>
      </c>
      <c r="BU15" s="104">
        <v>12977</v>
      </c>
      <c r="BV15" s="104">
        <v>1</v>
      </c>
      <c r="BW15" s="104">
        <v>1833</v>
      </c>
      <c r="BX15" s="104">
        <v>1</v>
      </c>
      <c r="BY15" s="9">
        <v>0</v>
      </c>
      <c r="BZ15" s="9">
        <v>0</v>
      </c>
      <c r="CA15" s="9">
        <f>SUM('[3]NE-47 November 2018'!CD61)</f>
        <v>0</v>
      </c>
      <c r="CB15" s="9">
        <f>SUM('[3]NE-47 November 2018'!CE61)</f>
        <v>0</v>
      </c>
      <c r="CC15" s="9">
        <f>SUM('[3]NE-47 November 2018'!BN61)</f>
        <v>0</v>
      </c>
      <c r="CD15" s="210"/>
    </row>
    <row r="16" spans="1:114" s="65" customFormat="1">
      <c r="A16" s="103"/>
      <c r="B16" s="104" t="s">
        <v>1576</v>
      </c>
      <c r="C16" s="22" t="s">
        <v>1566</v>
      </c>
      <c r="D16" s="104">
        <v>5</v>
      </c>
      <c r="E16" s="104">
        <v>9</v>
      </c>
      <c r="F16" s="104">
        <v>44</v>
      </c>
      <c r="G16" s="104">
        <v>22</v>
      </c>
      <c r="H16" s="104"/>
      <c r="I16" s="210"/>
      <c r="J16" s="104">
        <v>22</v>
      </c>
      <c r="K16" s="104">
        <v>0</v>
      </c>
      <c r="L16" s="104">
        <f>SUM('[3]NH-0 July 2018'!G13)</f>
        <v>0</v>
      </c>
      <c r="M16" s="104">
        <f>SUM('[3]NH-0 July 2018'!H13)</f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210"/>
      <c r="T16" s="104">
        <v>13</v>
      </c>
      <c r="U16" s="104">
        <v>0</v>
      </c>
      <c r="V16" s="104">
        <v>2</v>
      </c>
      <c r="W16" s="104">
        <v>1</v>
      </c>
      <c r="X16" s="104">
        <v>8</v>
      </c>
      <c r="Y16" s="104">
        <v>0</v>
      </c>
      <c r="Z16" s="104">
        <f>SUM('[3]NH-0 July 2018'!R13)</f>
        <v>0</v>
      </c>
      <c r="AA16" s="210"/>
      <c r="AB16" s="104">
        <v>0</v>
      </c>
      <c r="AC16" s="104">
        <v>0</v>
      </c>
      <c r="AD16" s="104">
        <v>0</v>
      </c>
      <c r="AE16" s="104">
        <v>0</v>
      </c>
      <c r="AF16" s="104">
        <v>0</v>
      </c>
      <c r="AG16" s="104">
        <v>0</v>
      </c>
      <c r="AH16" s="104">
        <v>0</v>
      </c>
      <c r="AI16" s="210"/>
      <c r="AJ16" s="104">
        <v>30</v>
      </c>
      <c r="AK16" s="104">
        <v>0</v>
      </c>
      <c r="AL16" s="104">
        <f>SUM('[3]NH-0 July 2018'!W13)</f>
        <v>0</v>
      </c>
      <c r="AM16" s="104">
        <f>SUM('[3]NH-0 July 2018'!X13)</f>
        <v>0</v>
      </c>
      <c r="AN16" s="104">
        <f>SUM('[3]NH-0 July 2018'!Y13)</f>
        <v>0</v>
      </c>
      <c r="AO16" s="104">
        <v>11</v>
      </c>
      <c r="AP16" s="104">
        <v>6</v>
      </c>
      <c r="AQ16" s="104">
        <v>1</v>
      </c>
      <c r="AR16" s="104">
        <v>2</v>
      </c>
      <c r="AS16" s="104">
        <v>3</v>
      </c>
      <c r="AT16" s="104">
        <v>0</v>
      </c>
      <c r="AU16" s="104">
        <v>0</v>
      </c>
      <c r="AV16" s="104">
        <v>4</v>
      </c>
      <c r="AW16" s="104">
        <v>1</v>
      </c>
      <c r="AX16" s="104">
        <v>1</v>
      </c>
      <c r="AY16" s="104">
        <v>1</v>
      </c>
      <c r="AZ16" s="104">
        <f>SUM('[3]NH-0 July 2018'!AK13)</f>
        <v>0</v>
      </c>
      <c r="BA16" s="210"/>
      <c r="BB16" s="104">
        <f>SUM('[3]NH-0 July 2018'!AU13)</f>
        <v>0</v>
      </c>
      <c r="BC16" s="104">
        <f>SUM('[3]NH-0 July 2018'!AV13)</f>
        <v>0</v>
      </c>
      <c r="BD16" s="104">
        <f>SUM('[3]NH-0 July 2018'!AW13)</f>
        <v>0</v>
      </c>
      <c r="BE16" s="104">
        <f>SUM('[3]NH-0 July 2018'!AX13)</f>
        <v>0</v>
      </c>
      <c r="BF16" s="104">
        <v>22</v>
      </c>
      <c r="BG16" s="210"/>
      <c r="BH16" s="104">
        <v>22</v>
      </c>
      <c r="BI16" s="104">
        <f>SUM('[3]NH-0 July 2018'!BD13)</f>
        <v>0</v>
      </c>
      <c r="BJ16" s="210"/>
      <c r="BK16" s="104">
        <v>0</v>
      </c>
      <c r="BL16" s="104">
        <f>SUM('[3]NH-0 July 2018'!BG13)</f>
        <v>0</v>
      </c>
      <c r="BM16" s="104">
        <f>SUM('[3]NH-0 July 2018'!BH13)</f>
        <v>0</v>
      </c>
      <c r="BN16" s="104">
        <f>SUM('[3]NH-0 July 2018'!BI13)</f>
        <v>0</v>
      </c>
      <c r="BO16" s="104">
        <f>SUM('[3]NH-0 July 2018'!BJ13)</f>
        <v>0</v>
      </c>
      <c r="BP16" s="210"/>
      <c r="BQ16" s="104">
        <v>12</v>
      </c>
      <c r="BR16" s="104">
        <v>0</v>
      </c>
      <c r="BS16" s="104">
        <f>SUM('[3]NH-0 July 2018'!BR13)</f>
        <v>0</v>
      </c>
      <c r="BT16" s="104">
        <v>3</v>
      </c>
      <c r="BU16" s="104">
        <v>1092</v>
      </c>
      <c r="BV16" s="104">
        <v>3</v>
      </c>
      <c r="BW16" s="104">
        <v>2912</v>
      </c>
      <c r="BX16" s="104">
        <f>SUM('[3]NH-0 July 2018'!BY13)</f>
        <v>0</v>
      </c>
      <c r="BY16" s="9">
        <v>1</v>
      </c>
      <c r="BZ16" s="9">
        <v>420</v>
      </c>
      <c r="CA16" s="9">
        <f>SUM('[3]NH-0 July 2018'!CD13)</f>
        <v>0</v>
      </c>
      <c r="CB16" s="9">
        <f>SUM('[3]NH-0 July 2018'!CE13)</f>
        <v>0</v>
      </c>
      <c r="CC16" s="9">
        <f>SUM('[3]NH-0 July 2018'!BN13)</f>
        <v>0</v>
      </c>
      <c r="CD16" s="210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</row>
    <row r="17" spans="1:114" s="104" customFormat="1">
      <c r="A17" s="103"/>
      <c r="B17" s="104" t="s">
        <v>1577</v>
      </c>
      <c r="C17" s="22" t="s">
        <v>1578</v>
      </c>
      <c r="D17" s="104">
        <v>3</v>
      </c>
      <c r="E17" s="104">
        <v>10</v>
      </c>
      <c r="F17" s="104">
        <v>66</v>
      </c>
      <c r="G17" s="104">
        <v>34</v>
      </c>
      <c r="I17" s="210"/>
      <c r="J17" s="104">
        <v>35</v>
      </c>
      <c r="K17" s="104">
        <v>1</v>
      </c>
      <c r="L17" s="104">
        <v>0</v>
      </c>
      <c r="M17" s="104">
        <v>0</v>
      </c>
      <c r="N17" s="104">
        <v>0</v>
      </c>
      <c r="O17" s="104">
        <v>0</v>
      </c>
      <c r="P17" s="104">
        <v>0</v>
      </c>
      <c r="Q17" s="104">
        <v>0</v>
      </c>
      <c r="R17" s="104">
        <v>0</v>
      </c>
      <c r="S17" s="210"/>
      <c r="T17" s="104">
        <v>8</v>
      </c>
      <c r="U17" s="104">
        <v>1</v>
      </c>
      <c r="V17" s="104">
        <v>0</v>
      </c>
      <c r="W17" s="104">
        <v>0</v>
      </c>
      <c r="X17" s="104">
        <v>27</v>
      </c>
      <c r="Y17" s="104">
        <v>2</v>
      </c>
      <c r="Z17" s="104">
        <f>SUM('[3]ND-0 July 2018'!R7)</f>
        <v>0</v>
      </c>
      <c r="AA17" s="210"/>
      <c r="AB17" s="104">
        <v>0</v>
      </c>
      <c r="AC17" s="104">
        <v>0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210"/>
      <c r="AJ17" s="104">
        <v>70</v>
      </c>
      <c r="AK17" s="104">
        <v>0</v>
      </c>
      <c r="AL17" s="104">
        <v>0</v>
      </c>
      <c r="AM17" s="104">
        <v>2</v>
      </c>
      <c r="AN17" s="104">
        <v>0</v>
      </c>
      <c r="AO17" s="104">
        <v>11</v>
      </c>
      <c r="AP17" s="104">
        <v>3</v>
      </c>
      <c r="AQ17" s="104">
        <v>0</v>
      </c>
      <c r="AR17" s="104">
        <v>2</v>
      </c>
      <c r="AS17" s="104">
        <v>0</v>
      </c>
      <c r="AT17" s="104">
        <v>0</v>
      </c>
      <c r="AU17" s="104">
        <v>0</v>
      </c>
      <c r="AV17" s="104">
        <v>4</v>
      </c>
      <c r="AW17" s="104">
        <v>0</v>
      </c>
      <c r="AX17" s="104">
        <v>0</v>
      </c>
      <c r="AY17" s="104">
        <v>0</v>
      </c>
      <c r="AZ17" s="104">
        <v>5</v>
      </c>
      <c r="BA17" s="210"/>
      <c r="BB17" s="104">
        <f>SUM('[3]ND-0 July 2018'!AU7)</f>
        <v>0</v>
      </c>
      <c r="BC17" s="104">
        <v>0</v>
      </c>
      <c r="BD17" s="104">
        <f>SUM('[3]ND-0 July 2018'!AW7)</f>
        <v>0</v>
      </c>
      <c r="BE17" s="104">
        <f>SUM('[3]ND-0 July 2018'!AX7)</f>
        <v>0</v>
      </c>
      <c r="BF17" s="104">
        <v>34</v>
      </c>
      <c r="BG17" s="210"/>
      <c r="BH17" s="104">
        <v>34</v>
      </c>
      <c r="BI17" s="104">
        <v>0</v>
      </c>
      <c r="BJ17" s="210"/>
      <c r="BK17" s="104">
        <v>0</v>
      </c>
      <c r="BL17" s="104">
        <f>SUM('[3]ND-0 July 2018'!BG7)</f>
        <v>0</v>
      </c>
      <c r="BM17" s="104">
        <f>SUM('[3]ND-0 July 2018'!BH7)</f>
        <v>0</v>
      </c>
      <c r="BN17" s="104">
        <f>SUM('[3]ND-0 July 2018'!BI7)</f>
        <v>0</v>
      </c>
      <c r="BO17" s="104">
        <f>SUM('[3]ND-0 July 2018'!BJ7)</f>
        <v>0</v>
      </c>
      <c r="BP17" s="210"/>
      <c r="BQ17" s="104">
        <v>33</v>
      </c>
      <c r="BR17" s="104">
        <v>13</v>
      </c>
      <c r="BS17" s="104">
        <v>0</v>
      </c>
      <c r="BT17" s="104">
        <f>SUM('[3]ND-0 July 2018'!BS7)</f>
        <v>0</v>
      </c>
      <c r="BU17" s="104">
        <v>0</v>
      </c>
      <c r="BV17" s="104">
        <v>0</v>
      </c>
      <c r="BW17" s="104">
        <v>0</v>
      </c>
      <c r="BX17" s="104">
        <v>0</v>
      </c>
      <c r="BY17" s="66">
        <f>SUM('[3]ND-0 July 2018'!CA7)</f>
        <v>0</v>
      </c>
      <c r="BZ17" s="66">
        <f>SUM('[3]ND-0 July 2018'!CB7)</f>
        <v>0</v>
      </c>
      <c r="CA17" s="66">
        <f>SUM('[3]ND-0 July 2018'!CD7)</f>
        <v>0</v>
      </c>
      <c r="CB17" s="66">
        <f>SUM('[3]ND-0 July 2018'!CE7)</f>
        <v>0</v>
      </c>
      <c r="CC17" s="66">
        <f>SUM('[3]ND-0 July 2018'!BN7)</f>
        <v>0</v>
      </c>
      <c r="CD17" s="210"/>
    </row>
    <row r="18" spans="1:114" s="66" customFormat="1">
      <c r="A18" s="103"/>
      <c r="B18" s="66" t="s">
        <v>1579</v>
      </c>
      <c r="C18" s="22" t="s">
        <v>1566</v>
      </c>
      <c r="D18" s="104">
        <v>3</v>
      </c>
      <c r="E18" s="104">
        <v>10</v>
      </c>
      <c r="F18" s="104">
        <v>40</v>
      </c>
      <c r="G18" s="104">
        <v>14</v>
      </c>
      <c r="H18" s="104"/>
      <c r="I18" s="210"/>
      <c r="J18" s="104">
        <v>11</v>
      </c>
      <c r="K18" s="104">
        <v>3</v>
      </c>
      <c r="L18" s="104">
        <v>0</v>
      </c>
      <c r="M18" s="104">
        <v>0</v>
      </c>
      <c r="N18" s="104">
        <v>0</v>
      </c>
      <c r="O18" s="104">
        <v>0</v>
      </c>
      <c r="P18" s="104">
        <v>0</v>
      </c>
      <c r="Q18" s="104">
        <v>0</v>
      </c>
      <c r="R18" s="104">
        <v>0</v>
      </c>
      <c r="S18" s="210"/>
      <c r="T18" s="104">
        <v>5</v>
      </c>
      <c r="U18" s="104">
        <v>0</v>
      </c>
      <c r="V18" s="104">
        <v>4</v>
      </c>
      <c r="W18" s="104">
        <v>0</v>
      </c>
      <c r="X18" s="104">
        <v>5</v>
      </c>
      <c r="Y18" s="104">
        <v>0</v>
      </c>
      <c r="Z18" s="104">
        <v>0</v>
      </c>
      <c r="AA18" s="210"/>
      <c r="AB18" s="104">
        <v>0</v>
      </c>
      <c r="AC18" s="104">
        <v>0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210"/>
      <c r="AJ18" s="104">
        <v>14</v>
      </c>
      <c r="AK18" s="104">
        <v>0</v>
      </c>
      <c r="AL18" s="104">
        <v>0</v>
      </c>
      <c r="AM18" s="104">
        <v>0</v>
      </c>
      <c r="AN18" s="104">
        <v>0</v>
      </c>
      <c r="AO18" s="104">
        <v>14</v>
      </c>
      <c r="AP18" s="104">
        <v>4</v>
      </c>
      <c r="AQ18" s="104">
        <v>0</v>
      </c>
      <c r="AR18" s="104">
        <v>2</v>
      </c>
      <c r="AS18" s="104">
        <v>2</v>
      </c>
      <c r="AT18" s="104">
        <v>0</v>
      </c>
      <c r="AU18" s="104">
        <v>0</v>
      </c>
      <c r="AV18" s="104">
        <v>4</v>
      </c>
      <c r="AW18" s="104">
        <v>0</v>
      </c>
      <c r="AX18" s="104">
        <v>0</v>
      </c>
      <c r="AY18" s="104">
        <v>0</v>
      </c>
      <c r="AZ18" s="104">
        <v>0</v>
      </c>
      <c r="BA18" s="210"/>
      <c r="BB18" s="104">
        <v>0</v>
      </c>
      <c r="BC18" s="104">
        <v>0</v>
      </c>
      <c r="BD18" s="104">
        <v>0</v>
      </c>
      <c r="BE18" s="104">
        <v>0</v>
      </c>
      <c r="BF18" s="104">
        <v>14</v>
      </c>
      <c r="BG18" s="210"/>
      <c r="BH18" s="104">
        <v>14</v>
      </c>
      <c r="BI18" s="104">
        <v>0</v>
      </c>
      <c r="BJ18" s="210"/>
      <c r="BK18" s="104">
        <v>0</v>
      </c>
      <c r="BL18" s="104">
        <v>0</v>
      </c>
      <c r="BM18" s="104">
        <v>0</v>
      </c>
      <c r="BN18" s="104">
        <v>0</v>
      </c>
      <c r="BO18" s="104">
        <v>0</v>
      </c>
      <c r="BP18" s="210"/>
      <c r="BQ18" s="104">
        <v>5</v>
      </c>
      <c r="BR18" s="104">
        <v>0</v>
      </c>
      <c r="BS18" s="104">
        <v>0</v>
      </c>
      <c r="BT18" s="104">
        <v>0</v>
      </c>
      <c r="BU18" s="104">
        <v>0</v>
      </c>
      <c r="BV18" s="104">
        <v>0</v>
      </c>
      <c r="BW18" s="104">
        <v>0</v>
      </c>
      <c r="BX18" s="104">
        <v>0</v>
      </c>
      <c r="BY18" s="66">
        <v>0</v>
      </c>
      <c r="BZ18" s="104">
        <v>0</v>
      </c>
      <c r="CA18" s="66">
        <v>0</v>
      </c>
      <c r="CB18" s="104">
        <v>0</v>
      </c>
      <c r="CC18" s="104">
        <v>0</v>
      </c>
      <c r="CD18" s="210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I18" s="104"/>
      <c r="DJ18" s="104"/>
    </row>
    <row r="19" spans="1:114" s="66" customFormat="1">
      <c r="A19" s="103"/>
      <c r="B19" s="104" t="s">
        <v>1580</v>
      </c>
      <c r="C19" s="22" t="s">
        <v>1566</v>
      </c>
      <c r="D19" s="104">
        <v>13</v>
      </c>
      <c r="E19" s="104">
        <v>24</v>
      </c>
      <c r="F19" s="104">
        <v>94</v>
      </c>
      <c r="G19" s="104">
        <v>48</v>
      </c>
      <c r="H19" s="104"/>
      <c r="I19" s="210"/>
      <c r="J19" s="104">
        <v>44</v>
      </c>
      <c r="K19" s="104">
        <v>1</v>
      </c>
      <c r="L19" s="104">
        <v>3</v>
      </c>
      <c r="M19" s="104">
        <f>SUM('[3]VT-49 Feb 2020'!H55)</f>
        <v>0</v>
      </c>
      <c r="N19" s="104">
        <v>0</v>
      </c>
      <c r="O19" s="104">
        <v>0</v>
      </c>
      <c r="P19" s="104">
        <v>0</v>
      </c>
      <c r="Q19" s="104">
        <v>0</v>
      </c>
      <c r="R19" s="104">
        <v>0</v>
      </c>
      <c r="S19" s="210"/>
      <c r="T19" s="104">
        <v>18</v>
      </c>
      <c r="U19" s="104">
        <v>0</v>
      </c>
      <c r="V19" s="104">
        <v>0</v>
      </c>
      <c r="W19" s="104">
        <v>0</v>
      </c>
      <c r="X19" s="104">
        <v>28</v>
      </c>
      <c r="Y19" s="104">
        <v>2</v>
      </c>
      <c r="Z19" s="104">
        <v>0</v>
      </c>
      <c r="AA19" s="210"/>
      <c r="AB19" s="104">
        <v>0</v>
      </c>
      <c r="AC19" s="104">
        <v>0</v>
      </c>
      <c r="AD19" s="104">
        <v>0</v>
      </c>
      <c r="AE19" s="104">
        <v>0</v>
      </c>
      <c r="AF19" s="104">
        <v>0</v>
      </c>
      <c r="AG19" s="104">
        <v>0</v>
      </c>
      <c r="AH19" s="104">
        <v>0</v>
      </c>
      <c r="AI19" s="210"/>
      <c r="AJ19" s="104">
        <v>0</v>
      </c>
      <c r="AK19" s="104">
        <v>2</v>
      </c>
      <c r="AL19" s="104">
        <v>0</v>
      </c>
      <c r="AM19" s="104">
        <v>4</v>
      </c>
      <c r="AN19" s="104">
        <v>5</v>
      </c>
      <c r="AO19" s="104">
        <v>10</v>
      </c>
      <c r="AP19" s="104">
        <v>8</v>
      </c>
      <c r="AQ19" s="104">
        <v>3</v>
      </c>
      <c r="AR19" s="104">
        <v>3</v>
      </c>
      <c r="AS19" s="104">
        <v>2</v>
      </c>
      <c r="AT19" s="104">
        <v>1</v>
      </c>
      <c r="AU19" s="104">
        <v>3</v>
      </c>
      <c r="AV19" s="104">
        <v>4</v>
      </c>
      <c r="AW19" s="104">
        <v>1</v>
      </c>
      <c r="AX19" s="104">
        <v>4</v>
      </c>
      <c r="AY19" s="104">
        <v>0</v>
      </c>
      <c r="AZ19" s="104">
        <v>1</v>
      </c>
      <c r="BA19" s="210"/>
      <c r="BB19" s="104">
        <v>0</v>
      </c>
      <c r="BC19" s="104">
        <v>0</v>
      </c>
      <c r="BD19" s="104">
        <v>0</v>
      </c>
      <c r="BE19" s="104">
        <v>0</v>
      </c>
      <c r="BF19" s="104">
        <v>47</v>
      </c>
      <c r="BG19" s="210"/>
      <c r="BH19" s="104">
        <v>48</v>
      </c>
      <c r="BI19" s="104">
        <v>2</v>
      </c>
      <c r="BJ19" s="210"/>
      <c r="BK19" s="104">
        <v>2</v>
      </c>
      <c r="BL19" s="104">
        <v>0</v>
      </c>
      <c r="BM19" s="104">
        <v>0</v>
      </c>
      <c r="BN19" s="104">
        <v>0</v>
      </c>
      <c r="BO19" s="104">
        <v>0</v>
      </c>
      <c r="BP19" s="210"/>
      <c r="BQ19" s="104">
        <v>39</v>
      </c>
      <c r="BR19" s="104">
        <v>0</v>
      </c>
      <c r="BS19" s="104">
        <v>0</v>
      </c>
      <c r="BT19" s="104">
        <v>0</v>
      </c>
      <c r="BU19" s="104">
        <v>0</v>
      </c>
      <c r="BV19" s="104">
        <v>1</v>
      </c>
      <c r="BW19" s="104">
        <v>53</v>
      </c>
      <c r="BX19" s="104">
        <v>0</v>
      </c>
      <c r="BY19" s="66">
        <v>6</v>
      </c>
      <c r="BZ19" s="104">
        <v>12148</v>
      </c>
      <c r="CA19" s="66">
        <v>0</v>
      </c>
      <c r="CB19" s="104">
        <v>0</v>
      </c>
      <c r="CC19" s="104">
        <v>0</v>
      </c>
      <c r="CD19" s="210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I19" s="104"/>
      <c r="DJ19" s="104"/>
    </row>
    <row r="20" spans="1:114" s="121" customFormat="1">
      <c r="J20" s="149"/>
      <c r="K20" s="31"/>
      <c r="L20" s="31"/>
      <c r="M20" s="31"/>
      <c r="N20" s="31"/>
      <c r="O20" s="31"/>
      <c r="P20" s="31"/>
      <c r="Q20" s="31"/>
      <c r="R20" s="31"/>
      <c r="T20" s="150"/>
      <c r="U20" s="150"/>
      <c r="V20" s="150"/>
      <c r="W20" s="150"/>
      <c r="X20" s="150"/>
      <c r="Y20" s="150"/>
      <c r="Z20" s="150"/>
    </row>
    <row r="21" spans="1:114" s="121" customFormat="1">
      <c r="B21" s="158" t="s">
        <v>1581</v>
      </c>
      <c r="C21" s="158"/>
      <c r="J21" s="149"/>
      <c r="K21" s="31"/>
      <c r="L21" s="31"/>
      <c r="M21" s="31"/>
      <c r="N21" s="31"/>
      <c r="O21" s="31"/>
      <c r="P21" s="31"/>
      <c r="Q21" s="31"/>
      <c r="R21" s="31"/>
      <c r="T21" s="150"/>
      <c r="U21" s="150"/>
      <c r="V21" s="150"/>
      <c r="W21" s="150"/>
      <c r="X21" s="150"/>
      <c r="Y21" s="150"/>
      <c r="Z21" s="150"/>
    </row>
    <row r="22" spans="1:114" s="121" customFormat="1">
      <c r="B22" s="158"/>
      <c r="C22" s="158"/>
      <c r="J22" s="149"/>
      <c r="K22" s="31"/>
      <c r="L22" s="31"/>
      <c r="M22" s="31"/>
      <c r="N22" s="31"/>
      <c r="O22" s="31"/>
      <c r="P22" s="31"/>
      <c r="Q22" s="31"/>
      <c r="R22" s="31"/>
      <c r="T22" s="150"/>
      <c r="U22" s="150"/>
      <c r="V22" s="150"/>
      <c r="W22" s="150"/>
      <c r="X22" s="150"/>
      <c r="Y22" s="150"/>
      <c r="Z22" s="150"/>
    </row>
    <row r="23" spans="1:114" s="121" customFormat="1" ht="21">
      <c r="A23" s="159"/>
      <c r="B23" s="159"/>
      <c r="C23" s="159"/>
      <c r="D23" s="159">
        <f>SUM(D8:D22)</f>
        <v>163</v>
      </c>
      <c r="E23" s="159">
        <f>SUM(E8:E22)</f>
        <v>1316</v>
      </c>
      <c r="F23" s="159">
        <f>SUM(F8:F22)</f>
        <v>5391</v>
      </c>
      <c r="G23" s="159">
        <f>SUM(G8:G22)</f>
        <v>2371</v>
      </c>
      <c r="H23" s="124"/>
      <c r="I23" s="159"/>
      <c r="J23" s="159">
        <f t="shared" ref="J23:R23" si="0">SUM(J8:J22)</f>
        <v>2206</v>
      </c>
      <c r="K23" s="159">
        <f t="shared" si="0"/>
        <v>107</v>
      </c>
      <c r="L23" s="159">
        <f t="shared" si="0"/>
        <v>42</v>
      </c>
      <c r="M23" s="159">
        <f t="shared" si="0"/>
        <v>14</v>
      </c>
      <c r="N23" s="159">
        <f t="shared" si="0"/>
        <v>3</v>
      </c>
      <c r="O23" s="159">
        <f t="shared" si="0"/>
        <v>0</v>
      </c>
      <c r="P23" s="159">
        <f t="shared" si="0"/>
        <v>0</v>
      </c>
      <c r="Q23" s="159">
        <f t="shared" si="0"/>
        <v>0</v>
      </c>
      <c r="R23" s="159">
        <f t="shared" si="0"/>
        <v>0</v>
      </c>
      <c r="S23" s="159"/>
      <c r="T23" s="159">
        <f t="shared" ref="T23:Z23" si="1">SUM(T8:T22)</f>
        <v>574</v>
      </c>
      <c r="U23" s="159">
        <f t="shared" si="1"/>
        <v>20</v>
      </c>
      <c r="V23" s="159">
        <f t="shared" si="1"/>
        <v>48</v>
      </c>
      <c r="W23" s="159">
        <f t="shared" si="1"/>
        <v>17</v>
      </c>
      <c r="X23" s="159">
        <f t="shared" si="1"/>
        <v>1689</v>
      </c>
      <c r="Y23" s="159">
        <f t="shared" si="1"/>
        <v>23</v>
      </c>
      <c r="Z23" s="159">
        <f t="shared" si="1"/>
        <v>1</v>
      </c>
      <c r="AA23" s="159"/>
      <c r="AB23" s="159">
        <f t="shared" ref="AB23:AH23" si="2">SUM(AB8:AB22)</f>
        <v>0</v>
      </c>
      <c r="AC23" s="159">
        <f t="shared" si="2"/>
        <v>6</v>
      </c>
      <c r="AD23" s="159">
        <f t="shared" si="2"/>
        <v>0</v>
      </c>
      <c r="AE23" s="159">
        <f t="shared" si="2"/>
        <v>2</v>
      </c>
      <c r="AF23" s="159">
        <f t="shared" si="2"/>
        <v>0</v>
      </c>
      <c r="AG23" s="159">
        <f t="shared" si="2"/>
        <v>0</v>
      </c>
      <c r="AH23" s="159">
        <f t="shared" si="2"/>
        <v>0</v>
      </c>
      <c r="AI23" s="159"/>
      <c r="AJ23" s="159">
        <f t="shared" ref="AJ23:AZ23" si="3">SUM(AJ8:AJ22)</f>
        <v>2285</v>
      </c>
      <c r="AK23" s="159">
        <f t="shared" si="3"/>
        <v>49</v>
      </c>
      <c r="AL23" s="159">
        <f t="shared" si="3"/>
        <v>22</v>
      </c>
      <c r="AM23" s="159">
        <f t="shared" si="3"/>
        <v>46</v>
      </c>
      <c r="AN23" s="159">
        <f t="shared" si="3"/>
        <v>70</v>
      </c>
      <c r="AO23" s="159">
        <f t="shared" si="3"/>
        <v>456</v>
      </c>
      <c r="AP23" s="159">
        <f t="shared" si="3"/>
        <v>762</v>
      </c>
      <c r="AQ23" s="159">
        <f t="shared" si="3"/>
        <v>141</v>
      </c>
      <c r="AR23" s="159">
        <f t="shared" si="3"/>
        <v>450</v>
      </c>
      <c r="AS23" s="159">
        <f t="shared" si="3"/>
        <v>369</v>
      </c>
      <c r="AT23" s="159">
        <f t="shared" si="3"/>
        <v>85</v>
      </c>
      <c r="AU23" s="159">
        <f t="shared" si="3"/>
        <v>194</v>
      </c>
      <c r="AV23" s="159">
        <f t="shared" si="3"/>
        <v>432</v>
      </c>
      <c r="AW23" s="159">
        <f t="shared" si="3"/>
        <v>60</v>
      </c>
      <c r="AX23" s="159">
        <f t="shared" si="3"/>
        <v>137</v>
      </c>
      <c r="AY23" s="159">
        <f t="shared" si="3"/>
        <v>114</v>
      </c>
      <c r="AZ23" s="159">
        <f t="shared" si="3"/>
        <v>123</v>
      </c>
      <c r="BA23" s="159"/>
      <c r="BB23" s="159">
        <f>SUM(BB8:BB22)</f>
        <v>1</v>
      </c>
      <c r="BC23" s="159">
        <f>SUM(BC8:BC22)</f>
        <v>15</v>
      </c>
      <c r="BD23" s="159">
        <f>SUM(BD8:BD22)</f>
        <v>2</v>
      </c>
      <c r="BE23" s="159">
        <f>SUM(BE8:BE22)</f>
        <v>1</v>
      </c>
      <c r="BF23" s="159">
        <f>SUM(BF8:BF22)</f>
        <v>2326</v>
      </c>
      <c r="BG23" s="159"/>
      <c r="BH23" s="159">
        <f>SUM(BH8:BH22)</f>
        <v>2371</v>
      </c>
      <c r="BI23" s="159">
        <f>SUM(BI8:BI22)</f>
        <v>32</v>
      </c>
      <c r="BJ23" s="159"/>
      <c r="BK23" s="159">
        <f>SUM(BK8:BK22)</f>
        <v>30</v>
      </c>
      <c r="BL23" s="159">
        <f>SUM(BL8:BL22)</f>
        <v>1</v>
      </c>
      <c r="BM23" s="159">
        <f>SUM(BM8:BM22)</f>
        <v>1</v>
      </c>
      <c r="BN23" s="159">
        <f>SUM(BN8:BN22)</f>
        <v>1</v>
      </c>
      <c r="BO23" s="159">
        <f>SUM(BO8:BO22)</f>
        <v>0</v>
      </c>
      <c r="BP23" s="159"/>
      <c r="BQ23" s="159">
        <f t="shared" ref="BQ23:CC23" si="4">SUM(BQ8:BQ22)</f>
        <v>3031</v>
      </c>
      <c r="BR23" s="159">
        <f t="shared" si="4"/>
        <v>94</v>
      </c>
      <c r="BS23" s="159">
        <f t="shared" si="4"/>
        <v>0</v>
      </c>
      <c r="BT23" s="159">
        <f t="shared" si="4"/>
        <v>71</v>
      </c>
      <c r="BU23" s="159">
        <f t="shared" si="4"/>
        <v>47143</v>
      </c>
      <c r="BV23" s="159">
        <f t="shared" si="4"/>
        <v>145</v>
      </c>
      <c r="BW23" s="159">
        <f t="shared" si="4"/>
        <v>96423</v>
      </c>
      <c r="BX23" s="159">
        <f t="shared" si="4"/>
        <v>10</v>
      </c>
      <c r="BY23" s="159">
        <f t="shared" si="4"/>
        <v>46</v>
      </c>
      <c r="BZ23" s="159">
        <f t="shared" si="4"/>
        <v>35557</v>
      </c>
      <c r="CA23" s="159">
        <f t="shared" si="4"/>
        <v>4</v>
      </c>
      <c r="CB23" s="159">
        <f t="shared" si="4"/>
        <v>842</v>
      </c>
      <c r="CC23" s="159">
        <f t="shared" si="4"/>
        <v>12</v>
      </c>
      <c r="CD23" s="159"/>
    </row>
    <row r="24" spans="1:114" s="161" customFormat="1" ht="19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0"/>
      <c r="BT24" s="160"/>
      <c r="BU24" s="160"/>
      <c r="BV24" s="160"/>
      <c r="BW24" s="160"/>
      <c r="BX24" s="160"/>
      <c r="BY24" s="160"/>
      <c r="BZ24" s="160"/>
      <c r="CA24" s="160"/>
      <c r="CB24" s="160"/>
      <c r="CC24" s="160"/>
      <c r="CD24" s="160"/>
    </row>
    <row r="25" spans="1:114" s="161" customFormat="1" ht="19">
      <c r="A25" s="160"/>
      <c r="B25" s="158" t="s">
        <v>3857</v>
      </c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  <c r="BP25" s="160"/>
      <c r="BQ25" s="160"/>
      <c r="BR25" s="160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/>
      <c r="CD25" s="160"/>
    </row>
    <row r="26" spans="1:114" s="161" customFormat="1" ht="19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0"/>
      <c r="BT26" s="160"/>
      <c r="BU26" s="160"/>
      <c r="BV26" s="160"/>
      <c r="BW26" s="160"/>
      <c r="BX26" s="160"/>
      <c r="BY26" s="160"/>
      <c r="BZ26" s="160"/>
      <c r="CA26" s="160"/>
      <c r="CB26" s="160"/>
      <c r="CC26" s="160"/>
      <c r="CD26" s="160"/>
    </row>
    <row r="27" spans="1:114" s="161" customFormat="1" ht="19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160"/>
      <c r="BV27" s="160"/>
      <c r="BW27" s="160"/>
      <c r="BX27" s="160"/>
      <c r="BY27" s="160"/>
      <c r="BZ27" s="160"/>
      <c r="CA27" s="160"/>
      <c r="CB27" s="160"/>
      <c r="CC27" s="160"/>
      <c r="CD27" s="160"/>
    </row>
    <row r="28" spans="1:114" s="108" customFormat="1">
      <c r="A28" s="157"/>
      <c r="B28" s="109" t="s">
        <v>1398</v>
      </c>
      <c r="C28" s="22" t="s">
        <v>1582</v>
      </c>
      <c r="D28" s="108">
        <v>5</v>
      </c>
      <c r="E28" s="108">
        <v>202</v>
      </c>
      <c r="F28" s="108">
        <v>714</v>
      </c>
      <c r="G28" s="108">
        <v>28</v>
      </c>
      <c r="H28" s="108">
        <v>7500</v>
      </c>
      <c r="I28" s="210"/>
      <c r="J28" s="108">
        <v>4</v>
      </c>
      <c r="K28" s="108">
        <v>5</v>
      </c>
      <c r="L28" s="108">
        <v>2</v>
      </c>
      <c r="M28" s="108">
        <v>17</v>
      </c>
      <c r="S28" s="210"/>
      <c r="T28" s="108">
        <v>26</v>
      </c>
      <c r="U28" s="108">
        <v>2</v>
      </c>
      <c r="V28" s="108">
        <f>SUM('[3]AL-714 March 2017'!O722)</f>
        <v>0</v>
      </c>
      <c r="W28" s="108">
        <f>SUM('[3]AL-714 March 2017'!P722)</f>
        <v>0</v>
      </c>
      <c r="X28" s="108">
        <f>SUM('[3]AL-714 March 2017'!Q722)</f>
        <v>0</v>
      </c>
      <c r="Z28" s="108">
        <f>SUM('[3]AL-714 March 2017'!R722)</f>
        <v>0</v>
      </c>
      <c r="AA28" s="210"/>
      <c r="AI28" s="210"/>
      <c r="AJ28" s="109">
        <v>41</v>
      </c>
      <c r="AK28" s="109">
        <v>9</v>
      </c>
      <c r="AL28" s="109">
        <v>1</v>
      </c>
      <c r="AM28" s="109">
        <v>16</v>
      </c>
      <c r="AN28" s="109">
        <v>16</v>
      </c>
      <c r="AO28" s="109">
        <v>56</v>
      </c>
      <c r="AP28" s="109">
        <v>148</v>
      </c>
      <c r="AQ28" s="109">
        <v>25</v>
      </c>
      <c r="AR28" s="109">
        <v>140</v>
      </c>
      <c r="AS28" s="109">
        <v>64</v>
      </c>
      <c r="AT28" s="109">
        <v>26</v>
      </c>
      <c r="AU28" s="109">
        <v>94</v>
      </c>
      <c r="AV28" s="109">
        <v>91</v>
      </c>
      <c r="AW28" s="109">
        <v>19</v>
      </c>
      <c r="AX28" s="109">
        <v>35</v>
      </c>
      <c r="AY28" s="109">
        <v>16</v>
      </c>
      <c r="AZ28" s="109">
        <v>41</v>
      </c>
      <c r="BA28" s="210"/>
      <c r="BB28" s="108">
        <v>1</v>
      </c>
      <c r="BC28" s="108">
        <v>24</v>
      </c>
      <c r="BD28" s="108">
        <v>2</v>
      </c>
      <c r="BE28" s="108">
        <f>SUM('[3]AL-714 March 2017'!AX722)</f>
        <v>0</v>
      </c>
      <c r="BF28" s="108">
        <v>1</v>
      </c>
      <c r="BG28" s="210"/>
      <c r="BH28" s="108">
        <v>28</v>
      </c>
      <c r="BI28" s="108">
        <v>6</v>
      </c>
      <c r="BJ28" s="210"/>
      <c r="BK28" s="108">
        <v>5</v>
      </c>
      <c r="BL28" s="108">
        <v>1</v>
      </c>
      <c r="BM28" s="108">
        <f>SUM('[3]AL-714 March 2017'!BH722)</f>
        <v>0</v>
      </c>
      <c r="BN28" s="108">
        <f>SUM('[3]AL-714 March 2017'!BI722)</f>
        <v>0</v>
      </c>
      <c r="BO28" s="108">
        <f>SUM('[3]AL-714 March 2017'!BJ722)</f>
        <v>0</v>
      </c>
      <c r="BP28" s="210"/>
      <c r="BQ28" s="109">
        <v>515</v>
      </c>
      <c r="BR28" s="109"/>
      <c r="BS28" s="108">
        <f>SUM('[3]AL-714 March 2017'!BR722)</f>
        <v>0</v>
      </c>
      <c r="BT28" s="109">
        <v>31</v>
      </c>
      <c r="BU28" s="109">
        <v>10773</v>
      </c>
      <c r="BV28" s="109">
        <v>36</v>
      </c>
      <c r="BW28" s="109">
        <v>18138</v>
      </c>
      <c r="BX28" s="109">
        <v>4</v>
      </c>
      <c r="BY28" s="109">
        <f>SUM('[3]AL-714 March 2017'!CA722)</f>
        <v>0</v>
      </c>
      <c r="BZ28" s="109">
        <f>SUM('[3]AL-714 March 2017'!CB722)</f>
        <v>0</v>
      </c>
      <c r="CA28" s="108">
        <f>SUM('[3]AL-714 March 2017'!CD722)</f>
        <v>0</v>
      </c>
      <c r="CB28" s="108">
        <f>SUM('[3]AL-714 March 2017'!CE722)</f>
        <v>0</v>
      </c>
      <c r="CC28" s="108">
        <v>2</v>
      </c>
      <c r="CD28" s="210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</row>
    <row r="29" spans="1:114" s="66" customFormat="1">
      <c r="A29" s="103"/>
      <c r="B29" s="66" t="s">
        <v>1399</v>
      </c>
      <c r="C29" s="22" t="s">
        <v>1583</v>
      </c>
      <c r="D29" s="104">
        <v>0</v>
      </c>
      <c r="E29" s="104">
        <v>1</v>
      </c>
      <c r="F29" s="104">
        <v>120</v>
      </c>
      <c r="G29" s="104">
        <v>120</v>
      </c>
      <c r="H29" s="104">
        <v>120</v>
      </c>
      <c r="I29" s="210"/>
      <c r="J29" s="104">
        <f>SUM('[3]Alaska-120'!E129)</f>
        <v>0</v>
      </c>
      <c r="K29" s="104">
        <v>1</v>
      </c>
      <c r="L29" s="104">
        <f>SUM('[3]Alaska-120'!G129)</f>
        <v>0</v>
      </c>
      <c r="M29" s="104">
        <f>SUM('[3]Alaska-120'!H129)</f>
        <v>0</v>
      </c>
      <c r="N29" s="104"/>
      <c r="O29" s="104"/>
      <c r="P29" s="104"/>
      <c r="Q29" s="104"/>
      <c r="R29" s="104"/>
      <c r="S29" s="210"/>
      <c r="T29" s="104">
        <v>1</v>
      </c>
      <c r="U29" s="104">
        <f>SUM('[3]Alaska-120'!N129)</f>
        <v>0</v>
      </c>
      <c r="V29" s="104">
        <f>SUM('[3]Alaska-120'!O129)</f>
        <v>0</v>
      </c>
      <c r="W29" s="104">
        <v>5</v>
      </c>
      <c r="X29" s="104">
        <v>109</v>
      </c>
      <c r="Y29" s="104"/>
      <c r="Z29" s="104">
        <f>SUM('[3]Alaska-120'!R129)</f>
        <v>0</v>
      </c>
      <c r="AA29" s="210"/>
      <c r="AB29" s="104"/>
      <c r="AC29" s="104"/>
      <c r="AD29" s="104"/>
      <c r="AE29" s="104"/>
      <c r="AF29" s="104"/>
      <c r="AG29" s="104"/>
      <c r="AH29" s="104"/>
      <c r="AI29" s="210"/>
      <c r="AJ29" s="104">
        <v>115</v>
      </c>
      <c r="AK29" s="104">
        <f>SUM('[3]Alaska-120'!V129)</f>
        <v>0</v>
      </c>
      <c r="AL29" s="104">
        <f>SUM('[3]Alaska-120'!W129)</f>
        <v>0</v>
      </c>
      <c r="AM29" s="104">
        <f>SUM('[3]Alaska-120'!X129)</f>
        <v>0</v>
      </c>
      <c r="AN29" s="104">
        <f>SUM('[3]Alaska-120'!Y129)</f>
        <v>0</v>
      </c>
      <c r="AO29" s="104">
        <v>2</v>
      </c>
      <c r="AP29" s="104">
        <v>3</v>
      </c>
      <c r="AQ29" s="104">
        <f>SUM('[3]Alaska-120'!AB129)</f>
        <v>0</v>
      </c>
      <c r="AR29" s="104">
        <f>SUM('[3]Alaska-120'!AC129)</f>
        <v>0</v>
      </c>
      <c r="AS29" s="104">
        <f>SUM('[3]Alaska-120'!AD129)</f>
        <v>0</v>
      </c>
      <c r="AT29" s="104">
        <f>SUM('[3]Alaska-120'!AE129)</f>
        <v>0</v>
      </c>
      <c r="AU29" s="104">
        <f>SUM('[3]Alaska-120'!AF129)</f>
        <v>0</v>
      </c>
      <c r="AV29" s="104">
        <f>SUM('[3]Alaska-120'!AG129)</f>
        <v>0</v>
      </c>
      <c r="AW29" s="104">
        <f>SUM('[3]Alaska-120'!AH129)</f>
        <v>0</v>
      </c>
      <c r="AX29" s="104">
        <f>SUM('[3]Alaska-120'!AI129)</f>
        <v>0</v>
      </c>
      <c r="AY29" s="104">
        <f>SUM('[3]Alaska-120'!AJ129)</f>
        <v>0</v>
      </c>
      <c r="AZ29" s="104">
        <f>SUM('[3]Alaska-120'!AK129)</f>
        <v>0</v>
      </c>
      <c r="BA29" s="210"/>
      <c r="BB29" s="104">
        <f>SUM('[3]Alaska-120'!AU129)</f>
        <v>0</v>
      </c>
      <c r="BC29" s="104">
        <f>SUM('[3]Alaska-120'!AV129)</f>
        <v>0</v>
      </c>
      <c r="BD29" s="104">
        <f>SUM('[3]Alaska-120'!AW129)</f>
        <v>0</v>
      </c>
      <c r="BE29" s="104">
        <f>SUM('[3]Alaska-120'!AX129)</f>
        <v>0</v>
      </c>
      <c r="BF29" s="104">
        <v>120</v>
      </c>
      <c r="BG29" s="210"/>
      <c r="BH29" s="104">
        <v>120</v>
      </c>
      <c r="BI29" s="104">
        <f>SUM('[3]Alaska-120'!BD129)</f>
        <v>0</v>
      </c>
      <c r="BJ29" s="210"/>
      <c r="BK29" s="104">
        <f>SUM('[3]Alaska-120'!BF129)</f>
        <v>0</v>
      </c>
      <c r="BL29" s="104">
        <f>SUM('[3]Alaska-120'!BG129)</f>
        <v>0</v>
      </c>
      <c r="BM29" s="104">
        <f>SUM('[3]Alaska-120'!BH129)</f>
        <v>0</v>
      </c>
      <c r="BN29" s="104">
        <f>SUM('[3]Alaska-120'!BI129)</f>
        <v>0</v>
      </c>
      <c r="BO29" s="104">
        <f>SUM('[3]Alaska-120'!BJ129)</f>
        <v>0</v>
      </c>
      <c r="BP29" s="210"/>
      <c r="BQ29" s="104">
        <v>6</v>
      </c>
      <c r="BR29" s="104"/>
      <c r="BS29" s="104">
        <f>SUM('[3]Alaska-120'!BR129)</f>
        <v>0</v>
      </c>
      <c r="BT29" s="104">
        <f>SUM('[3]Alaska-120'!BS129)</f>
        <v>0</v>
      </c>
      <c r="BU29" s="104">
        <f>SUM('[3]Alaska-120'!BT129)</f>
        <v>0</v>
      </c>
      <c r="BV29" s="104">
        <f>SUM('[3]Alaska-120'!BV129)</f>
        <v>0</v>
      </c>
      <c r="BW29" s="104">
        <f>SUM('[3]Alaska-120'!BW129)</f>
        <v>0</v>
      </c>
      <c r="BX29" s="104">
        <f>SUM('[3]Alaska-120'!BY129)</f>
        <v>0</v>
      </c>
      <c r="BY29" s="66">
        <f>SUM('[3]Alaska-120'!CA129)</f>
        <v>0</v>
      </c>
      <c r="BZ29" s="66">
        <f>SUM('[3]Alaska-120'!CB129)</f>
        <v>0</v>
      </c>
      <c r="CA29" s="66">
        <f>SUM('[3]Alaska-120'!CD129)</f>
        <v>0</v>
      </c>
      <c r="CB29" s="104">
        <f>SUM('[3]Alaska-120'!CE129)</f>
        <v>0</v>
      </c>
      <c r="CC29" s="104">
        <f>SUM('[3]Alaska-120'!BN129)</f>
        <v>0</v>
      </c>
      <c r="CD29" s="210"/>
    </row>
    <row r="30" spans="1:114" s="66" customFormat="1">
      <c r="A30" s="103"/>
      <c r="B30" s="66" t="s">
        <v>1400</v>
      </c>
      <c r="C30" s="22" t="s">
        <v>1584</v>
      </c>
      <c r="D30" s="66">
        <v>5</v>
      </c>
      <c r="E30" s="66">
        <v>145</v>
      </c>
      <c r="F30" s="66">
        <v>274</v>
      </c>
      <c r="G30" s="104">
        <v>11</v>
      </c>
      <c r="H30" s="66">
        <v>2000</v>
      </c>
      <c r="I30" s="210"/>
      <c r="J30" s="66">
        <v>1</v>
      </c>
      <c r="K30" s="66">
        <v>3</v>
      </c>
      <c r="L30" s="66">
        <v>1</v>
      </c>
      <c r="M30" s="66">
        <v>6</v>
      </c>
      <c r="S30" s="210"/>
      <c r="T30" s="66">
        <v>9</v>
      </c>
      <c r="U30" s="66">
        <v>1</v>
      </c>
      <c r="V30" s="66">
        <v>1</v>
      </c>
      <c r="W30" s="66">
        <f>SUM('[3]AZ-274 August 2018'!P283)</f>
        <v>0</v>
      </c>
      <c r="X30" s="66">
        <f>SUM('[3]AZ-274 August 2018'!Q283)</f>
        <v>0</v>
      </c>
      <c r="Z30" s="66">
        <f>SUM('[3]AZ-274 August 2018'!R283)</f>
        <v>0</v>
      </c>
      <c r="AA30" s="210"/>
      <c r="AI30" s="210"/>
      <c r="AJ30" s="104">
        <v>16</v>
      </c>
      <c r="AK30" s="104">
        <v>10</v>
      </c>
      <c r="AL30" s="104">
        <v>4</v>
      </c>
      <c r="AM30" s="104">
        <v>8</v>
      </c>
      <c r="AN30" s="104">
        <v>8</v>
      </c>
      <c r="AO30" s="104">
        <v>29</v>
      </c>
      <c r="AP30" s="104">
        <v>52</v>
      </c>
      <c r="AQ30" s="104">
        <v>12</v>
      </c>
      <c r="AR30" s="104">
        <v>42</v>
      </c>
      <c r="AS30" s="104">
        <v>24</v>
      </c>
      <c r="AT30" s="104">
        <v>4</v>
      </c>
      <c r="AU30" s="104">
        <v>30</v>
      </c>
      <c r="AV30" s="104">
        <v>23</v>
      </c>
      <c r="AW30" s="104">
        <v>26</v>
      </c>
      <c r="AX30" s="104">
        <v>19</v>
      </c>
      <c r="AY30" s="104">
        <v>9</v>
      </c>
      <c r="AZ30" s="104">
        <v>5</v>
      </c>
      <c r="BA30" s="210"/>
      <c r="BB30" s="66">
        <v>1</v>
      </c>
      <c r="BC30" s="66">
        <v>7</v>
      </c>
      <c r="BD30" s="104">
        <v>1</v>
      </c>
      <c r="BE30" s="66">
        <v>2</v>
      </c>
      <c r="BF30" s="66">
        <f>SUM('[3]AZ-274 August 2018'!AY283)</f>
        <v>0</v>
      </c>
      <c r="BG30" s="210"/>
      <c r="BH30" s="104">
        <v>11</v>
      </c>
      <c r="BI30" s="104">
        <v>4</v>
      </c>
      <c r="BJ30" s="210"/>
      <c r="BK30" s="104">
        <v>3</v>
      </c>
      <c r="BL30" s="104">
        <v>1</v>
      </c>
      <c r="BM30" s="104">
        <f>SUM('[3]AZ-274 August 2018'!BH283)</f>
        <v>0</v>
      </c>
      <c r="BN30" s="104">
        <f>SUM('[3]AZ-274 August 2018'!BI283)</f>
        <v>0</v>
      </c>
      <c r="BO30" s="104">
        <f>SUM('[3]AZ-274 August 2018'!BJ283)</f>
        <v>0</v>
      </c>
      <c r="BP30" s="210"/>
      <c r="BQ30" s="104">
        <v>251</v>
      </c>
      <c r="BR30" s="104"/>
      <c r="BS30" s="104">
        <v>1</v>
      </c>
      <c r="BT30" s="104">
        <v>18</v>
      </c>
      <c r="BU30" s="104">
        <v>13240</v>
      </c>
      <c r="BV30" s="104">
        <v>22</v>
      </c>
      <c r="BW30" s="104">
        <v>29609</v>
      </c>
      <c r="BX30" s="104">
        <v>1</v>
      </c>
      <c r="BY30" s="66">
        <v>7</v>
      </c>
      <c r="BZ30" s="66">
        <v>4450</v>
      </c>
      <c r="CA30" s="66">
        <v>2</v>
      </c>
      <c r="CB30" s="66">
        <v>268</v>
      </c>
      <c r="CC30" s="66">
        <v>3</v>
      </c>
      <c r="CD30" s="210"/>
    </row>
    <row r="31" spans="1:114" s="65" customFormat="1">
      <c r="A31" s="103"/>
      <c r="B31" s="104" t="s">
        <v>1401</v>
      </c>
      <c r="C31" s="22" t="s">
        <v>1585</v>
      </c>
      <c r="D31" s="104">
        <v>3</v>
      </c>
      <c r="E31" s="104">
        <v>107</v>
      </c>
      <c r="F31" s="104">
        <v>260</v>
      </c>
      <c r="G31" s="104">
        <v>1556</v>
      </c>
      <c r="H31" s="104">
        <v>2000</v>
      </c>
      <c r="I31" s="210"/>
      <c r="J31" s="104">
        <v>1545</v>
      </c>
      <c r="K31" s="104">
        <v>1</v>
      </c>
      <c r="L31" s="104">
        <v>5</v>
      </c>
      <c r="M31" s="104">
        <v>5</v>
      </c>
      <c r="N31" s="104"/>
      <c r="O31" s="104"/>
      <c r="P31" s="104"/>
      <c r="Q31" s="104"/>
      <c r="R31" s="104"/>
      <c r="S31" s="210"/>
      <c r="T31" s="104">
        <v>10</v>
      </c>
      <c r="U31" s="104">
        <v>1</v>
      </c>
      <c r="V31" s="104">
        <f>SUM('[3]AR-260 Dec 2018'!O1813)</f>
        <v>0</v>
      </c>
      <c r="W31" s="104">
        <f>SUM('[3]AR-260 Dec 2018'!P1813)</f>
        <v>0</v>
      </c>
      <c r="X31" s="104">
        <v>1545</v>
      </c>
      <c r="Y31" s="104"/>
      <c r="Z31" s="104">
        <f>SUM('[3]AR-260 Dec 2018'!R1813)</f>
        <v>0</v>
      </c>
      <c r="AA31" s="210"/>
      <c r="AB31" s="104"/>
      <c r="AC31" s="104"/>
      <c r="AD31" s="104"/>
      <c r="AE31" s="104"/>
      <c r="AF31" s="104"/>
      <c r="AG31" s="104"/>
      <c r="AH31" s="104"/>
      <c r="AI31" s="210"/>
      <c r="AJ31" s="104">
        <v>1562</v>
      </c>
      <c r="AK31" s="104">
        <v>10</v>
      </c>
      <c r="AL31" s="104">
        <v>7</v>
      </c>
      <c r="AM31" s="104">
        <v>7</v>
      </c>
      <c r="AN31" s="104">
        <v>10</v>
      </c>
      <c r="AO31" s="104">
        <v>26</v>
      </c>
      <c r="AP31" s="104">
        <v>50</v>
      </c>
      <c r="AQ31" s="104">
        <v>10</v>
      </c>
      <c r="AR31" s="104">
        <v>40</v>
      </c>
      <c r="AS31" s="104">
        <v>24</v>
      </c>
      <c r="AT31" s="104">
        <v>7</v>
      </c>
      <c r="AU31" s="104">
        <v>24</v>
      </c>
      <c r="AV31" s="104">
        <v>24</v>
      </c>
      <c r="AW31" s="104">
        <v>8</v>
      </c>
      <c r="AX31" s="104">
        <v>21</v>
      </c>
      <c r="AY31" s="104">
        <v>7</v>
      </c>
      <c r="AZ31" s="104">
        <v>17</v>
      </c>
      <c r="BA31" s="210"/>
      <c r="BB31" s="104">
        <v>1</v>
      </c>
      <c r="BC31" s="104">
        <v>6</v>
      </c>
      <c r="BD31" s="104">
        <v>3</v>
      </c>
      <c r="BE31" s="104">
        <v>1</v>
      </c>
      <c r="BF31" s="104">
        <v>1545</v>
      </c>
      <c r="BG31" s="210"/>
      <c r="BH31" s="104">
        <v>156</v>
      </c>
      <c r="BI31" s="104">
        <v>5</v>
      </c>
      <c r="BJ31" s="210"/>
      <c r="BK31" s="104">
        <v>4</v>
      </c>
      <c r="BL31" s="104">
        <v>1</v>
      </c>
      <c r="BM31" s="104">
        <f>SUM('[3]AR-260 Dec 2018'!BH1813)</f>
        <v>0</v>
      </c>
      <c r="BN31" s="104">
        <f>SUM('[3]AR-260 Dec 2018'!BI1813)</f>
        <v>0</v>
      </c>
      <c r="BO31" s="104">
        <f>SUM('[3]AR-260 Dec 2018'!BJ1813)</f>
        <v>0</v>
      </c>
      <c r="BP31" s="210"/>
      <c r="BQ31" s="104">
        <v>236</v>
      </c>
      <c r="BR31" s="104"/>
      <c r="BS31" s="104">
        <v>6</v>
      </c>
      <c r="BT31" s="104">
        <v>38</v>
      </c>
      <c r="BU31" s="104">
        <v>90031</v>
      </c>
      <c r="BV31" s="104">
        <v>49</v>
      </c>
      <c r="BW31" s="104">
        <v>93940</v>
      </c>
      <c r="BX31" s="104">
        <v>5</v>
      </c>
      <c r="BY31" s="104">
        <v>36</v>
      </c>
      <c r="BZ31" s="104">
        <v>62931</v>
      </c>
      <c r="CA31" s="66">
        <f>SUM('[3]AR-260 Dec 2018'!CD1813)</f>
        <v>0</v>
      </c>
      <c r="CB31" s="104">
        <f>SUM('[3]AR-260 Dec 2018'!CE1813)</f>
        <v>0</v>
      </c>
      <c r="CC31" s="104">
        <v>2</v>
      </c>
      <c r="CD31" s="210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G31" s="104"/>
      <c r="DH31" s="104"/>
      <c r="DI31" s="104"/>
      <c r="DJ31" s="104"/>
    </row>
    <row r="32" spans="1:114" s="104" customFormat="1">
      <c r="A32" s="103"/>
      <c r="B32" s="66" t="s">
        <v>1402</v>
      </c>
      <c r="C32" s="22" t="s">
        <v>1586</v>
      </c>
      <c r="D32" s="66">
        <v>26</v>
      </c>
      <c r="E32" s="66">
        <v>926</v>
      </c>
      <c r="F32" s="66">
        <v>2629</v>
      </c>
      <c r="G32" s="104">
        <v>94</v>
      </c>
      <c r="H32" s="66">
        <v>2400</v>
      </c>
      <c r="I32" s="210"/>
      <c r="J32" s="66">
        <v>15</v>
      </c>
      <c r="K32" s="66">
        <v>8</v>
      </c>
      <c r="L32" s="66">
        <v>12</v>
      </c>
      <c r="M32" s="66">
        <v>58</v>
      </c>
      <c r="N32" s="66"/>
      <c r="O32" s="66"/>
      <c r="P32" s="66"/>
      <c r="Q32" s="66"/>
      <c r="R32" s="66"/>
      <c r="S32" s="210"/>
      <c r="T32" s="66">
        <v>75</v>
      </c>
      <c r="U32" s="66">
        <v>11</v>
      </c>
      <c r="V32" s="66">
        <v>6</v>
      </c>
      <c r="W32" s="66">
        <v>4</v>
      </c>
      <c r="X32" s="66">
        <v>3</v>
      </c>
      <c r="Y32" s="66"/>
      <c r="Z32" s="66">
        <v>5</v>
      </c>
      <c r="AA32" s="210"/>
      <c r="AB32" s="66"/>
      <c r="AC32" s="66"/>
      <c r="AD32" s="66"/>
      <c r="AE32" s="66"/>
      <c r="AF32" s="66"/>
      <c r="AG32" s="66"/>
      <c r="AH32" s="66"/>
      <c r="AI32" s="210"/>
      <c r="AJ32" s="66">
        <v>147</v>
      </c>
      <c r="AK32" s="66">
        <v>11</v>
      </c>
      <c r="AL32" s="66">
        <v>63</v>
      </c>
      <c r="AM32" s="66">
        <v>98</v>
      </c>
      <c r="AN32" s="66">
        <v>381</v>
      </c>
      <c r="AO32" s="66">
        <v>381</v>
      </c>
      <c r="AP32" s="66">
        <v>581</v>
      </c>
      <c r="AQ32" s="66">
        <v>102</v>
      </c>
      <c r="AR32" s="66">
        <v>332</v>
      </c>
      <c r="AS32" s="66">
        <v>235</v>
      </c>
      <c r="AT32" s="66">
        <v>79</v>
      </c>
      <c r="AU32" s="66">
        <v>258</v>
      </c>
      <c r="AV32" s="66">
        <v>190</v>
      </c>
      <c r="AW32" s="66">
        <v>155</v>
      </c>
      <c r="AX32" s="66">
        <v>225</v>
      </c>
      <c r="AY32" s="66">
        <v>77</v>
      </c>
      <c r="AZ32" s="66">
        <v>141</v>
      </c>
      <c r="BA32" s="210"/>
      <c r="BB32" s="66">
        <f>SUM('[3]CA-2629 March 2019'!AW2638)</f>
        <v>0</v>
      </c>
      <c r="BC32" s="66">
        <v>40</v>
      </c>
      <c r="BD32" s="66">
        <v>25</v>
      </c>
      <c r="BE32" s="66">
        <v>22</v>
      </c>
      <c r="BF32" s="66">
        <v>7</v>
      </c>
      <c r="BG32" s="210"/>
      <c r="BH32" s="104">
        <v>94</v>
      </c>
      <c r="BI32" s="104">
        <v>29</v>
      </c>
      <c r="BJ32" s="210"/>
      <c r="BK32" s="104">
        <v>18</v>
      </c>
      <c r="BL32" s="104">
        <v>8</v>
      </c>
      <c r="BM32" s="104">
        <v>3</v>
      </c>
      <c r="BN32" s="23">
        <v>3</v>
      </c>
      <c r="BO32" s="104">
        <v>6</v>
      </c>
      <c r="BP32" s="210"/>
      <c r="BQ32" s="66">
        <v>2165</v>
      </c>
      <c r="BR32" s="66"/>
      <c r="BS32" s="104">
        <v>3</v>
      </c>
      <c r="BT32" s="66">
        <v>96</v>
      </c>
      <c r="BU32" s="66">
        <v>2176588</v>
      </c>
      <c r="BV32" s="66">
        <v>141</v>
      </c>
      <c r="BW32" s="66">
        <v>473214</v>
      </c>
      <c r="BX32" s="66">
        <v>19</v>
      </c>
      <c r="BY32" s="66">
        <v>47</v>
      </c>
      <c r="BZ32" s="66">
        <v>533142</v>
      </c>
      <c r="CA32" s="66">
        <v>1</v>
      </c>
      <c r="CB32" s="66">
        <v>172</v>
      </c>
      <c r="CC32" s="104">
        <v>6</v>
      </c>
      <c r="CD32" s="210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</row>
    <row r="33" spans="1:114" s="104" customFormat="1">
      <c r="A33" s="103"/>
      <c r="B33" s="104" t="s">
        <v>1403</v>
      </c>
      <c r="C33" s="22" t="s">
        <v>1587</v>
      </c>
      <c r="D33" s="104">
        <v>0</v>
      </c>
      <c r="E33" s="104">
        <v>63</v>
      </c>
      <c r="F33" s="104">
        <v>140</v>
      </c>
      <c r="G33" s="104">
        <v>3</v>
      </c>
      <c r="H33" s="104">
        <v>2000</v>
      </c>
      <c r="I33" s="210"/>
      <c r="J33" s="104">
        <f>SUM('[3]CO-140 Dec 2018'!E149)</f>
        <v>0</v>
      </c>
      <c r="K33" s="104">
        <f>SUM('[3]CO-140 Dec 2018'!F149)</f>
        <v>0</v>
      </c>
      <c r="L33" s="104">
        <v>1</v>
      </c>
      <c r="M33" s="104">
        <v>2</v>
      </c>
      <c r="S33" s="210"/>
      <c r="T33" s="104">
        <v>3</v>
      </c>
      <c r="U33" s="104">
        <f>SUM('[3]CO-140 Dec 2018'!N149)</f>
        <v>0</v>
      </c>
      <c r="V33" s="104">
        <f>SUM('[3]CO-140 Dec 2018'!O149)</f>
        <v>0</v>
      </c>
      <c r="W33" s="104">
        <f>SUM('[3]CO-140 Dec 2018'!P149)</f>
        <v>0</v>
      </c>
      <c r="X33" s="104">
        <f>SUM('[3]CO-140 Dec 2018'!Q149)</f>
        <v>0</v>
      </c>
      <c r="Z33" s="104">
        <f>SUM('[3]CO-140 Dec 2018'!R149)</f>
        <v>0</v>
      </c>
      <c r="AA33" s="210"/>
      <c r="AI33" s="210"/>
      <c r="AJ33" s="104">
        <v>4</v>
      </c>
      <c r="AK33" s="104">
        <v>7</v>
      </c>
      <c r="AL33" s="104">
        <f>SUM('[3]CO-140 Dec 2018'!W149)</f>
        <v>0</v>
      </c>
      <c r="AM33" s="104">
        <v>3</v>
      </c>
      <c r="AN33" s="104">
        <v>14</v>
      </c>
      <c r="AO33" s="104">
        <v>20</v>
      </c>
      <c r="AP33" s="104">
        <v>21</v>
      </c>
      <c r="AQ33" s="104">
        <v>14</v>
      </c>
      <c r="AR33" s="104">
        <v>25</v>
      </c>
      <c r="AS33" s="104">
        <v>8</v>
      </c>
      <c r="AT33" s="104">
        <f>SUM('[3]CO-140 Dec 2018'!AE149)</f>
        <v>0</v>
      </c>
      <c r="AU33" s="104">
        <v>14</v>
      </c>
      <c r="AV33" s="104">
        <v>12</v>
      </c>
      <c r="AW33" s="104">
        <v>10</v>
      </c>
      <c r="AX33" s="104">
        <v>12</v>
      </c>
      <c r="AY33" s="104">
        <v>8</v>
      </c>
      <c r="AZ33" s="104">
        <v>4</v>
      </c>
      <c r="BA33" s="210"/>
      <c r="BB33" s="104">
        <f>SUM('[3]CO-140 Dec 2018'!AU149)</f>
        <v>0</v>
      </c>
      <c r="BC33" s="104">
        <v>2</v>
      </c>
      <c r="BD33" s="104">
        <v>1</v>
      </c>
      <c r="BE33" s="104">
        <f>SUM('[3]CO-140 Dec 2018'!AX149)</f>
        <v>0</v>
      </c>
      <c r="BF33" s="104">
        <f>SUM('[3]CO-140 Dec 2018'!AY149)</f>
        <v>0</v>
      </c>
      <c r="BG33" s="210"/>
      <c r="BH33" s="104">
        <v>3</v>
      </c>
      <c r="BI33" s="104">
        <v>2</v>
      </c>
      <c r="BJ33" s="210"/>
      <c r="BK33" s="104">
        <v>2</v>
      </c>
      <c r="BL33" s="104">
        <f>SUM('[3]CO-140 Dec 2018'!BG149)</f>
        <v>0</v>
      </c>
      <c r="BM33" s="104">
        <f>SUM('[3]CO-140 Dec 2018'!BH149)</f>
        <v>0</v>
      </c>
      <c r="BN33" s="104">
        <f>SUM('[3]CO-140 Dec 2018'!BI149)</f>
        <v>0</v>
      </c>
      <c r="BO33" s="104">
        <f>SUM('[3]CO-140 Dec 2018'!BJ149)</f>
        <v>0</v>
      </c>
      <c r="BP33" s="210"/>
      <c r="BQ33" s="104">
        <v>107</v>
      </c>
      <c r="BS33" s="104">
        <f>SUM('[3]CO-140 Dec 2018'!BR149)</f>
        <v>0</v>
      </c>
      <c r="BT33" s="104">
        <f>SUM('[3]CO-140 Dec 2018'!BS149)</f>
        <v>0</v>
      </c>
      <c r="BU33" s="104">
        <f>SUM('[3]CO-140 Dec 2018'!BT149)</f>
        <v>0</v>
      </c>
      <c r="BV33" s="104">
        <f>SUM('[3]CO-140 Dec 2018'!BV149)</f>
        <v>0</v>
      </c>
      <c r="BW33" s="104">
        <f>SUM('[3]CO-140 Dec 2018'!BW149)</f>
        <v>0</v>
      </c>
      <c r="BX33" s="104">
        <f>SUM('[3]CO-140 Dec 2018'!BY149)</f>
        <v>0</v>
      </c>
      <c r="BY33" s="66">
        <f>SUM('[3]CO-140 Dec 2018'!CA149)</f>
        <v>0</v>
      </c>
      <c r="BZ33" s="104">
        <f>SUM('[3]CO-140 Dec 2018'!CB149)</f>
        <v>0</v>
      </c>
      <c r="CA33" s="66">
        <f>SUM('[3]CO-140 Dec 2018'!CD149)</f>
        <v>0</v>
      </c>
      <c r="CB33" s="104">
        <f>SUM('[3]CO-140 Dec 2018'!CE149)</f>
        <v>0</v>
      </c>
      <c r="CC33" s="104">
        <f>SUM('[3]CO-140 Dec 2018'!BN149)</f>
        <v>0</v>
      </c>
      <c r="CD33" s="210"/>
    </row>
    <row r="34" spans="1:114" s="104" customFormat="1">
      <c r="A34" s="103"/>
      <c r="B34" s="66" t="s">
        <v>1406</v>
      </c>
      <c r="C34" s="22" t="s">
        <v>1588</v>
      </c>
      <c r="D34" s="104">
        <v>0</v>
      </c>
      <c r="E34" s="104">
        <v>2</v>
      </c>
      <c r="F34" s="104">
        <v>20</v>
      </c>
      <c r="G34" s="66">
        <v>1</v>
      </c>
      <c r="H34" s="104">
        <v>77</v>
      </c>
      <c r="I34" s="210"/>
      <c r="J34" s="104">
        <f>SUM('[3]DC-20 July 2018'!E33)</f>
        <v>0</v>
      </c>
      <c r="K34" s="104">
        <f>SUM('[3]DC-20 July 2018'!F33)</f>
        <v>0</v>
      </c>
      <c r="L34" s="104">
        <f>SUM('[3]DC-20 July 2018'!G33)</f>
        <v>0</v>
      </c>
      <c r="M34" s="104">
        <v>1</v>
      </c>
      <c r="S34" s="210"/>
      <c r="T34" s="104">
        <f>SUM('[3]DC-20 July 2018'!M33)</f>
        <v>0</v>
      </c>
      <c r="U34" s="104">
        <v>1</v>
      </c>
      <c r="V34" s="104">
        <f>SUM('[3]DC-20 July 2018'!O33)</f>
        <v>0</v>
      </c>
      <c r="W34" s="104">
        <f>SUM('[3]DC-20 July 2018'!P33)</f>
        <v>0</v>
      </c>
      <c r="X34" s="104">
        <f>SUM('[3]DC-20 July 2018'!Q33)</f>
        <v>0</v>
      </c>
      <c r="Z34" s="104">
        <f>SUM('[3]DC-20 July 2018'!R33)</f>
        <v>0</v>
      </c>
      <c r="AA34" s="210"/>
      <c r="AI34" s="210"/>
      <c r="AJ34" s="104">
        <v>14</v>
      </c>
      <c r="AK34" s="104">
        <f>SUM('[3]DC-20 July 2018'!V33)</f>
        <v>0</v>
      </c>
      <c r="AL34" s="104">
        <f>SUM('[3]DC-20 July 2018'!W33)</f>
        <v>0</v>
      </c>
      <c r="AM34" s="104">
        <v>1</v>
      </c>
      <c r="AN34" s="104">
        <f>SUM('[3]DC-20 July 2018'!Y33)</f>
        <v>0</v>
      </c>
      <c r="AO34" s="104">
        <v>6</v>
      </c>
      <c r="AP34" s="104">
        <v>9</v>
      </c>
      <c r="AQ34" s="104">
        <f>SUM('[3]DC-20 July 2018'!AB33)</f>
        <v>0</v>
      </c>
      <c r="AR34" s="104">
        <v>1</v>
      </c>
      <c r="AS34" s="104">
        <v>1</v>
      </c>
      <c r="AT34" s="104">
        <f>SUM('[3]DC-20 July 2018'!AE33)</f>
        <v>0</v>
      </c>
      <c r="AU34" s="104">
        <v>3</v>
      </c>
      <c r="AV34" s="104">
        <v>1</v>
      </c>
      <c r="AW34" s="104">
        <f>SUM('[3]DC-20 July 2018'!AH33)</f>
        <v>0</v>
      </c>
      <c r="AX34" s="104">
        <f>SUM('[3]DC-20 July 2018'!AI33)</f>
        <v>0</v>
      </c>
      <c r="AY34" s="104">
        <f>SUM('[3]DC-20 July 2018'!AJ33)</f>
        <v>0</v>
      </c>
      <c r="AZ34" s="104">
        <v>1</v>
      </c>
      <c r="BA34" s="210"/>
      <c r="BB34" s="104">
        <f>SUM('[3]DC-20 July 2018'!AU33)</f>
        <v>0</v>
      </c>
      <c r="BC34" s="104">
        <v>1</v>
      </c>
      <c r="BD34" s="104">
        <f>SUM('[3]DC-20 July 2018'!AW33)</f>
        <v>0</v>
      </c>
      <c r="BE34" s="104">
        <f>SUM('[3]DC-20 July 2018'!AX33)</f>
        <v>0</v>
      </c>
      <c r="BF34" s="104">
        <f>SUM('[3]DC-20 July 2018'!AY33)</f>
        <v>0</v>
      </c>
      <c r="BG34" s="210"/>
      <c r="BH34" s="66">
        <v>1</v>
      </c>
      <c r="BI34" s="66">
        <f>SUM('[3]DC-20 July 2018'!BD33)</f>
        <v>0</v>
      </c>
      <c r="BJ34" s="210"/>
      <c r="BK34" s="66">
        <f>SUM('[3]DC-20 July 2018'!BF33)</f>
        <v>0</v>
      </c>
      <c r="BL34" s="66">
        <f>SUM('[3]DC-20 July 2018'!BG33)</f>
        <v>0</v>
      </c>
      <c r="BM34" s="66">
        <f>SUM('[3]DC-20 July 2018'!BH33)</f>
        <v>0</v>
      </c>
      <c r="BN34" s="66">
        <f>SUM('[3]DC-20 July 2018'!BI33)</f>
        <v>0</v>
      </c>
      <c r="BO34" s="66">
        <f>SUM('[3]DC-20 July 2018'!BJ33)</f>
        <v>0</v>
      </c>
      <c r="BP34" s="210"/>
      <c r="BQ34" s="104">
        <v>20</v>
      </c>
      <c r="BS34" s="104">
        <v>1</v>
      </c>
      <c r="BT34" s="104">
        <v>2</v>
      </c>
      <c r="BU34" s="104">
        <v>2209</v>
      </c>
      <c r="BV34" s="104">
        <v>1</v>
      </c>
      <c r="BW34" s="104">
        <v>475</v>
      </c>
      <c r="BX34" s="104">
        <f>SUM('[3]DC-20 July 2018'!BY33)</f>
        <v>0</v>
      </c>
      <c r="BY34" s="9">
        <f>SUM('[3]DC-20 July 2018'!CA33)</f>
        <v>0</v>
      </c>
      <c r="BZ34" s="9">
        <f>SUM('[3]DC-20 July 2018'!CB33)</f>
        <v>0</v>
      </c>
      <c r="CA34" s="9">
        <f>SUM('[3]DC-20 July 2018'!CD33)</f>
        <v>0</v>
      </c>
      <c r="CB34" s="9">
        <f>SUM('[3]DC-20 July 2018'!CE33)</f>
        <v>0</v>
      </c>
      <c r="CC34" s="9">
        <f>SUM('[3]DC-20 July 2018'!BN33)</f>
        <v>0</v>
      </c>
      <c r="CD34" s="210"/>
    </row>
    <row r="35" spans="1:114" s="104" customFormat="1">
      <c r="A35" s="103"/>
      <c r="B35" s="66" t="s">
        <v>1407</v>
      </c>
      <c r="C35" s="22" t="s">
        <v>1589</v>
      </c>
      <c r="D35" s="104">
        <v>29</v>
      </c>
      <c r="E35" s="104">
        <v>898</v>
      </c>
      <c r="F35" s="104">
        <v>1468</v>
      </c>
      <c r="G35" s="104">
        <v>71</v>
      </c>
      <c r="I35" s="210"/>
      <c r="J35" s="104">
        <v>9</v>
      </c>
      <c r="K35" s="104">
        <v>7</v>
      </c>
      <c r="L35" s="104">
        <v>14</v>
      </c>
      <c r="M35" s="104">
        <v>38</v>
      </c>
      <c r="S35" s="210"/>
      <c r="T35" s="104">
        <v>54</v>
      </c>
      <c r="U35" s="104">
        <v>11</v>
      </c>
      <c r="V35" s="104">
        <v>1</v>
      </c>
      <c r="W35" s="104">
        <f>SUM('[3]FL-1468 Feb 2017'!P1480)</f>
        <v>0</v>
      </c>
      <c r="X35" s="104">
        <v>2</v>
      </c>
      <c r="Z35" s="104">
        <f>SUM('[3]FL-1468 Feb 2017'!R1480)</f>
        <v>0</v>
      </c>
      <c r="AA35" s="210"/>
      <c r="AI35" s="210"/>
      <c r="AJ35" s="104">
        <v>106</v>
      </c>
      <c r="AK35" s="104">
        <v>50</v>
      </c>
      <c r="AL35" s="104">
        <v>9</v>
      </c>
      <c r="AM35" s="104">
        <v>46</v>
      </c>
      <c r="AN35" s="104">
        <v>21</v>
      </c>
      <c r="AO35" s="104">
        <v>166</v>
      </c>
      <c r="AP35" s="104">
        <v>266</v>
      </c>
      <c r="AQ35" s="104">
        <v>62</v>
      </c>
      <c r="AR35" s="104">
        <v>238</v>
      </c>
      <c r="AS35" s="104">
        <v>119</v>
      </c>
      <c r="AT35" s="104">
        <v>53</v>
      </c>
      <c r="AU35" s="104">
        <v>155</v>
      </c>
      <c r="AV35" s="104">
        <v>125</v>
      </c>
      <c r="AW35" s="104">
        <v>76</v>
      </c>
      <c r="AX35" s="104">
        <v>95</v>
      </c>
      <c r="AY35" s="104">
        <v>40</v>
      </c>
      <c r="AZ35" s="104">
        <v>87</v>
      </c>
      <c r="BA35" s="210"/>
      <c r="BB35" s="104">
        <f>SUM('[3]FL-1468 Feb 2017'!AU1480)</f>
        <v>0</v>
      </c>
      <c r="BC35" s="104">
        <v>47</v>
      </c>
      <c r="BD35" s="104">
        <v>13</v>
      </c>
      <c r="BE35" s="104">
        <v>7</v>
      </c>
      <c r="BF35" s="104">
        <v>4</v>
      </c>
      <c r="BG35" s="210"/>
      <c r="BH35" s="104">
        <v>71</v>
      </c>
      <c r="BI35" s="104">
        <v>31</v>
      </c>
      <c r="BJ35" s="210"/>
      <c r="BK35" s="104">
        <v>26</v>
      </c>
      <c r="BL35" s="104">
        <v>5</v>
      </c>
      <c r="BM35" s="104">
        <f>SUM('[3]FL-1468 Feb 2017'!BH1480)</f>
        <v>0</v>
      </c>
      <c r="BN35" s="104">
        <f>SUM('[3]FL-1468 Feb 2017'!BI1480)</f>
        <v>0</v>
      </c>
      <c r="BO35" s="104">
        <v>1</v>
      </c>
      <c r="BP35" s="210"/>
      <c r="BQ35" s="104">
        <v>1182</v>
      </c>
      <c r="BS35" s="104">
        <v>6</v>
      </c>
      <c r="BT35" s="104">
        <v>120</v>
      </c>
      <c r="BU35" s="23">
        <v>246663</v>
      </c>
      <c r="BV35" s="104">
        <v>98</v>
      </c>
      <c r="BW35" s="104">
        <v>136038</v>
      </c>
      <c r="BX35" s="104">
        <v>13</v>
      </c>
      <c r="BY35" s="104">
        <v>52</v>
      </c>
      <c r="BZ35" s="104">
        <v>79829</v>
      </c>
      <c r="CA35" s="9">
        <f>SUM('[3]FL-1468 Feb 2017'!CD1480)</f>
        <v>0</v>
      </c>
      <c r="CB35" s="9">
        <f>SUM('[3]FL-1468 Feb 2017'!CE1480)</f>
        <v>0</v>
      </c>
      <c r="CC35" s="9">
        <v>7</v>
      </c>
      <c r="CD35" s="210"/>
      <c r="DH35" s="66"/>
      <c r="DI35" s="66"/>
      <c r="DJ35" s="66"/>
    </row>
    <row r="36" spans="1:114" s="104" customFormat="1">
      <c r="A36" s="103"/>
      <c r="B36" s="66" t="s">
        <v>1408</v>
      </c>
      <c r="C36" s="22" t="s">
        <v>1590</v>
      </c>
      <c r="D36" s="66">
        <v>20</v>
      </c>
      <c r="E36" s="104">
        <v>472</v>
      </c>
      <c r="F36" s="104">
        <v>1521</v>
      </c>
      <c r="G36" s="104">
        <v>75</v>
      </c>
      <c r="H36" s="132">
        <v>2000</v>
      </c>
      <c r="I36" s="210"/>
      <c r="J36" s="104">
        <v>9</v>
      </c>
      <c r="K36" s="104">
        <v>6</v>
      </c>
      <c r="L36" s="104">
        <v>21</v>
      </c>
      <c r="M36" s="104">
        <v>38</v>
      </c>
      <c r="S36" s="210"/>
      <c r="T36" s="104">
        <v>54</v>
      </c>
      <c r="U36" s="104">
        <v>16</v>
      </c>
      <c r="V36" s="104">
        <f>SUM('[3]GA-1521 April 2018'!O1529)</f>
        <v>0</v>
      </c>
      <c r="W36" s="104">
        <f>SUM('[3]GA-1521 April 2018'!P1529)</f>
        <v>0</v>
      </c>
      <c r="X36" s="104">
        <v>3</v>
      </c>
      <c r="Z36" s="104">
        <f>SUM('[3]GA-1521 April 2018'!R1529)</f>
        <v>0</v>
      </c>
      <c r="AA36" s="210"/>
      <c r="AI36" s="210"/>
      <c r="AJ36" s="9">
        <v>117</v>
      </c>
      <c r="AK36" s="9">
        <v>19</v>
      </c>
      <c r="AL36" s="9">
        <v>7</v>
      </c>
      <c r="AM36" s="9">
        <v>32</v>
      </c>
      <c r="AN36" s="9">
        <v>35</v>
      </c>
      <c r="AO36" s="9">
        <v>148</v>
      </c>
      <c r="AP36" s="9">
        <v>313</v>
      </c>
      <c r="AQ36" s="9">
        <v>44</v>
      </c>
      <c r="AR36" s="9">
        <v>256</v>
      </c>
      <c r="AS36" s="9">
        <v>140</v>
      </c>
      <c r="AT36" s="9">
        <v>40</v>
      </c>
      <c r="AU36" s="9">
        <v>152</v>
      </c>
      <c r="AV36" s="9">
        <v>175</v>
      </c>
      <c r="AW36" s="9">
        <v>49</v>
      </c>
      <c r="AX36" s="9">
        <v>95</v>
      </c>
      <c r="AY36" s="9">
        <v>28</v>
      </c>
      <c r="AZ36" s="9">
        <v>95</v>
      </c>
      <c r="BA36" s="210"/>
      <c r="BB36" s="104">
        <f>SUM('[3]GA-1521 April 2018'!AU1529)</f>
        <v>0</v>
      </c>
      <c r="BC36" s="104">
        <v>59</v>
      </c>
      <c r="BD36" s="104">
        <v>8</v>
      </c>
      <c r="BE36" s="104">
        <v>6</v>
      </c>
      <c r="BF36" s="104">
        <v>2</v>
      </c>
      <c r="BG36" s="210"/>
      <c r="BH36" s="104">
        <v>75</v>
      </c>
      <c r="BI36" s="104">
        <v>14</v>
      </c>
      <c r="BJ36" s="210"/>
      <c r="BK36" s="104">
        <v>12</v>
      </c>
      <c r="BL36" s="104">
        <v>2</v>
      </c>
      <c r="BM36" s="104">
        <f>SUM('[3]GA-1521 April 2018'!BH1529)</f>
        <v>0</v>
      </c>
      <c r="BN36" s="104">
        <f>SUM('[3]GA-1521 April 2018'!BI1529)</f>
        <v>0</v>
      </c>
      <c r="BO36" s="104">
        <f>SUM('[3]GA-1521 April 2018'!BJ1529)</f>
        <v>0</v>
      </c>
      <c r="BP36" s="210"/>
      <c r="BQ36" s="9">
        <v>1288</v>
      </c>
      <c r="BR36" s="9"/>
      <c r="BS36" s="104">
        <v>9</v>
      </c>
      <c r="BT36" s="9">
        <v>130</v>
      </c>
      <c r="BU36" s="9">
        <v>129751</v>
      </c>
      <c r="BV36" s="9">
        <v>99</v>
      </c>
      <c r="BW36" s="9">
        <v>162515</v>
      </c>
      <c r="BX36" s="9">
        <v>11</v>
      </c>
      <c r="BY36" s="9">
        <v>50</v>
      </c>
      <c r="BZ36" s="9">
        <v>66464</v>
      </c>
      <c r="CA36" s="9">
        <v>3</v>
      </c>
      <c r="CB36" s="9">
        <v>983</v>
      </c>
      <c r="CC36" s="9">
        <v>15</v>
      </c>
      <c r="CD36" s="210"/>
      <c r="DH36" s="66"/>
      <c r="DI36" s="66"/>
      <c r="DJ36" s="66"/>
    </row>
    <row r="37" spans="1:114" s="104" customFormat="1">
      <c r="A37" s="103"/>
      <c r="B37" s="104" t="s">
        <v>93</v>
      </c>
      <c r="C37" s="22" t="s">
        <v>1591</v>
      </c>
      <c r="D37" s="104">
        <v>0</v>
      </c>
      <c r="E37" s="104">
        <v>0</v>
      </c>
      <c r="F37" s="104">
        <v>0</v>
      </c>
      <c r="G37" s="104">
        <v>0</v>
      </c>
      <c r="H37" s="104">
        <v>121</v>
      </c>
      <c r="I37" s="210"/>
      <c r="J37" s="104">
        <f>SUM('[3]HI-0 Sept 2018'!E10)</f>
        <v>0</v>
      </c>
      <c r="K37" s="104">
        <f>SUM('[3]HI-0 Sept 2018'!F10)</f>
        <v>0</v>
      </c>
      <c r="L37" s="104">
        <f>SUM('[3]HI-0 Sept 2018'!G10)</f>
        <v>0</v>
      </c>
      <c r="M37" s="104">
        <f>SUM('[3]HI-0 Sept 2018'!H10)</f>
        <v>0</v>
      </c>
      <c r="S37" s="210"/>
      <c r="T37" s="104">
        <f>SUM('[3]HI-0 Sept 2018'!M10)</f>
        <v>0</v>
      </c>
      <c r="U37" s="104">
        <f>SUM('[3]HI-0 Sept 2018'!N10)</f>
        <v>0</v>
      </c>
      <c r="V37" s="104">
        <f>SUM('[3]HI-0 Sept 2018'!O10)</f>
        <v>0</v>
      </c>
      <c r="W37" s="104">
        <f>SUM('[3]HI-0 Sept 2018'!P10)</f>
        <v>0</v>
      </c>
      <c r="X37" s="104">
        <f>SUM('[3]HI-0 Sept 2018'!Q10)</f>
        <v>0</v>
      </c>
      <c r="Z37" s="104">
        <f>SUM('[3]HI-0 Sept 2018'!R10)</f>
        <v>0</v>
      </c>
      <c r="AA37" s="210"/>
      <c r="AI37" s="210"/>
      <c r="AJ37" s="104">
        <v>13</v>
      </c>
      <c r="AK37" s="104">
        <f>SUM('[3]HI-0 Sept 2018'!V10)</f>
        <v>0</v>
      </c>
      <c r="AL37" s="104">
        <f>SUM('[3]HI-0 Sept 2018'!W10)</f>
        <v>0</v>
      </c>
      <c r="AM37" s="104">
        <f>SUM('[3]HI-0 Sept 2018'!X10)</f>
        <v>0</v>
      </c>
      <c r="AN37" s="104">
        <f>SUM('[3]HI-0 Sept 2018'!Y10)</f>
        <v>0</v>
      </c>
      <c r="AO37" s="104">
        <f>SUM('[3]HI-0 Sept 2018'!Z10)</f>
        <v>0</v>
      </c>
      <c r="AP37" s="104">
        <f>SUM('[3]HI-0 Sept 2018'!AA10)</f>
        <v>0</v>
      </c>
      <c r="AQ37" s="104">
        <f>SUM('[3]HI-0 Sept 2018'!AB10)</f>
        <v>0</v>
      </c>
      <c r="AR37" s="104">
        <f>SUM('[3]HI-0 Sept 2018'!AC10)</f>
        <v>0</v>
      </c>
      <c r="AS37" s="104">
        <f>SUM('[3]HI-0 Sept 2018'!AD10)</f>
        <v>0</v>
      </c>
      <c r="AT37" s="104">
        <f>SUM('[3]HI-0 Sept 2018'!AE10)</f>
        <v>0</v>
      </c>
      <c r="AU37" s="104">
        <f>SUM('[3]HI-0 Sept 2018'!AF10)</f>
        <v>0</v>
      </c>
      <c r="AV37" s="104">
        <f>SUM('[3]HI-0 Sept 2018'!AG10)</f>
        <v>0</v>
      </c>
      <c r="AW37" s="104">
        <f>SUM('[3]HI-0 Sept 2018'!AH10)</f>
        <v>0</v>
      </c>
      <c r="AX37" s="104">
        <f>SUM('[3]HI-0 Sept 2018'!AI10)</f>
        <v>0</v>
      </c>
      <c r="AY37" s="104">
        <f>SUM('[3]HI-0 Sept 2018'!AJ10)</f>
        <v>0</v>
      </c>
      <c r="AZ37" s="104">
        <f>SUM('[3]HI-0 Sept 2018'!AK10)</f>
        <v>0</v>
      </c>
      <c r="BA37" s="210"/>
      <c r="BB37" s="104">
        <f>SUM('[3]HI-0 Sept 2018'!AU10)</f>
        <v>0</v>
      </c>
      <c r="BC37" s="104">
        <f>SUM('[3]HI-0 Sept 2018'!AV10)</f>
        <v>0</v>
      </c>
      <c r="BD37" s="104">
        <f>SUM('[3]HI-0 Sept 2018'!AW10)</f>
        <v>0</v>
      </c>
      <c r="BE37" s="104">
        <f>SUM('[3]HI-0 Sept 2018'!AX10)</f>
        <v>0</v>
      </c>
      <c r="BF37" s="104">
        <f>SUM('[3]HI-0 Sept 2018'!AY10)</f>
        <v>0</v>
      </c>
      <c r="BG37" s="210"/>
      <c r="BH37" s="104">
        <v>0</v>
      </c>
      <c r="BI37" s="104">
        <f>SUM('[3]HI-0 Sept 2018'!BD10)</f>
        <v>0</v>
      </c>
      <c r="BJ37" s="210"/>
      <c r="BK37" s="104">
        <f>SUM('[3]HI-0 Sept 2018'!BF10)</f>
        <v>0</v>
      </c>
      <c r="BL37" s="104">
        <f>SUM('[3]HI-0 Sept 2018'!BG10)</f>
        <v>0</v>
      </c>
      <c r="BM37" s="104">
        <f>SUM('[3]HI-0 Sept 2018'!BH10)</f>
        <v>0</v>
      </c>
      <c r="BN37" s="104">
        <f>SUM('[3]HI-0 Sept 2018'!BI10)</f>
        <v>0</v>
      </c>
      <c r="BO37" s="104">
        <f>SUM('[3]HI-0 Sept 2018'!BJ10)</f>
        <v>0</v>
      </c>
      <c r="BP37" s="210"/>
      <c r="BQ37" s="104">
        <f>SUM('[3]HI-0 Sept 2018'!BP10)</f>
        <v>0</v>
      </c>
      <c r="BS37" s="104">
        <f>SUM('[3]HI-0 Sept 2018'!BR10)</f>
        <v>0</v>
      </c>
      <c r="BT37" s="104">
        <f>SUM('[3]HI-0 Sept 2018'!BS10)</f>
        <v>0</v>
      </c>
      <c r="BU37" s="104">
        <f>SUM('[3]HI-0 Sept 2018'!BT10)</f>
        <v>0</v>
      </c>
      <c r="BV37" s="104">
        <f>SUM('[3]HI-0 Sept 2018'!BV10)</f>
        <v>0</v>
      </c>
      <c r="BW37" s="104">
        <f>SUM('[3]HI-0 Sept 2018'!BW10)</f>
        <v>0</v>
      </c>
      <c r="BX37" s="104">
        <f>SUM('[3]HI-0 Sept 2018'!BY10)</f>
        <v>0</v>
      </c>
      <c r="BY37" s="9">
        <f>SUM('[3]HI-0 Sept 2018'!CA10)</f>
        <v>0</v>
      </c>
      <c r="BZ37" s="9">
        <f>SUM('[3]HI-0 Sept 2018'!CB10)</f>
        <v>0</v>
      </c>
      <c r="CA37" s="9">
        <f>SUM('[3]HI-0 Sept 2018'!CD10)</f>
        <v>0</v>
      </c>
      <c r="CB37" s="9">
        <f>SUM('[3]HI-0 Sept 2018'!CE10)</f>
        <v>0</v>
      </c>
      <c r="CC37" s="9">
        <f>SUM('[3]HI-0 Sept 2018'!BN10)</f>
        <v>0</v>
      </c>
      <c r="CD37" s="210"/>
    </row>
    <row r="38" spans="1:114" s="104" customFormat="1">
      <c r="A38" s="103"/>
      <c r="B38" s="104" t="s">
        <v>1409</v>
      </c>
      <c r="C38" s="22" t="s">
        <v>1592</v>
      </c>
      <c r="D38" s="104">
        <v>0</v>
      </c>
      <c r="E38" s="104">
        <v>0</v>
      </c>
      <c r="F38" s="104">
        <v>181</v>
      </c>
      <c r="G38" s="104">
        <v>181</v>
      </c>
      <c r="H38" s="104">
        <v>181</v>
      </c>
      <c r="I38" s="210"/>
      <c r="J38" s="104">
        <f>SUM('[3]ID-0 Sept 2018'!E193)</f>
        <v>0</v>
      </c>
      <c r="K38" s="104">
        <f>SUM('[3]ID-0 Sept 2018'!F193)</f>
        <v>0</v>
      </c>
      <c r="L38" s="104">
        <f>SUM('[3]ID-0 Sept 2018'!G193)</f>
        <v>0</v>
      </c>
      <c r="M38" s="104">
        <f>SUM('[3]ID-0 Sept 2018'!H193)</f>
        <v>0</v>
      </c>
      <c r="S38" s="210"/>
      <c r="T38" s="104">
        <f>SUM('[3]ID-0 Sept 2018'!M193)</f>
        <v>0</v>
      </c>
      <c r="U38" s="104">
        <f>SUM('[3]ID-0 Sept 2018'!N193)</f>
        <v>0</v>
      </c>
      <c r="V38" s="104">
        <f>SUM('[3]ID-0 Sept 2018'!O193)</f>
        <v>0</v>
      </c>
      <c r="W38" s="104">
        <f>SUM('[3]ID-0 Sept 2018'!P193)</f>
        <v>0</v>
      </c>
      <c r="X38" s="104">
        <v>181</v>
      </c>
      <c r="Z38" s="104">
        <f>SUM('[3]ID-0 Sept 2018'!R193)</f>
        <v>0</v>
      </c>
      <c r="AA38" s="210"/>
      <c r="AI38" s="210"/>
      <c r="AJ38" s="104">
        <v>18</v>
      </c>
      <c r="AK38" s="104">
        <f>SUM('[3]ID-0 Sept 2018'!V193)</f>
        <v>0</v>
      </c>
      <c r="AL38" s="104">
        <f>SUM('[3]ID-0 Sept 2018'!W193)</f>
        <v>0</v>
      </c>
      <c r="AM38" s="104">
        <f>SUM('[3]ID-0 Sept 2018'!X193)</f>
        <v>0</v>
      </c>
      <c r="AN38" s="104">
        <f>SUM('[3]ID-0 Sept 2018'!Y193)</f>
        <v>0</v>
      </c>
      <c r="AO38" s="104">
        <f>SUM('[3]ID-0 Sept 2018'!Z193)</f>
        <v>0</v>
      </c>
      <c r="AP38" s="104">
        <f>SUM('[3]ID-0 Sept 2018'!AA193)</f>
        <v>0</v>
      </c>
      <c r="AQ38" s="104">
        <f>SUM('[3]ID-0 Sept 2018'!AB193)</f>
        <v>0</v>
      </c>
      <c r="AR38" s="104">
        <f>SUM('[3]ID-0 Sept 2018'!AC193)</f>
        <v>0</v>
      </c>
      <c r="AS38" s="104">
        <f>SUM('[3]ID-0 Sept 2018'!AD193)</f>
        <v>0</v>
      </c>
      <c r="AT38" s="104">
        <f>SUM('[3]ID-0 Sept 2018'!AE193)</f>
        <v>0</v>
      </c>
      <c r="AU38" s="104">
        <f>SUM('[3]ID-0 Sept 2018'!AF193)</f>
        <v>0</v>
      </c>
      <c r="AV38" s="104">
        <f>SUM('[3]ID-0 Sept 2018'!AG193)</f>
        <v>0</v>
      </c>
      <c r="AW38" s="104">
        <f>SUM('[3]ID-0 Sept 2018'!AH193)</f>
        <v>0</v>
      </c>
      <c r="AX38" s="104">
        <f>SUM('[3]ID-0 Sept 2018'!AI193)</f>
        <v>0</v>
      </c>
      <c r="AY38" s="104">
        <f>SUM('[3]ID-0 Sept 2018'!AJ193)</f>
        <v>0</v>
      </c>
      <c r="AZ38" s="104">
        <f>SUM('[3]ID-0 Sept 2018'!AK193)</f>
        <v>0</v>
      </c>
      <c r="BA38" s="210"/>
      <c r="BB38" s="104">
        <f>SUM('[3]ID-0 Sept 2018'!AU193)</f>
        <v>0</v>
      </c>
      <c r="BC38" s="104">
        <f>SUM('[3]ID-0 Sept 2018'!AV193)</f>
        <v>0</v>
      </c>
      <c r="BD38" s="104">
        <f>SUM('[3]ID-0 Sept 2018'!AW193)</f>
        <v>0</v>
      </c>
      <c r="BE38" s="104">
        <f>SUM('[3]ID-0 Sept 2018'!AX193)</f>
        <v>0</v>
      </c>
      <c r="BF38" s="104">
        <v>181</v>
      </c>
      <c r="BG38" s="210"/>
      <c r="BH38" s="104">
        <v>181</v>
      </c>
      <c r="BI38" s="104">
        <f>SUM('[3]ID-0 Sept 2018'!BD193)</f>
        <v>0</v>
      </c>
      <c r="BJ38" s="210"/>
      <c r="BK38" s="104">
        <f>SUM('[3]ID-0 Sept 2018'!BF193)</f>
        <v>0</v>
      </c>
      <c r="BL38" s="104">
        <f>SUM('[3]ID-0 Sept 2018'!BG193)</f>
        <v>0</v>
      </c>
      <c r="BM38" s="104">
        <f>SUM('[3]ID-0 Sept 2018'!BH193)</f>
        <v>0</v>
      </c>
      <c r="BN38" s="104">
        <f>SUM('[3]ID-0 Sept 2018'!BI193)</f>
        <v>0</v>
      </c>
      <c r="BO38" s="104">
        <f>SUM('[3]ID-0 Sept 2018'!BJ193)</f>
        <v>0</v>
      </c>
      <c r="BP38" s="210"/>
      <c r="BQ38" s="104">
        <f>SUM('[3]ID-0 Sept 2018'!BP193)</f>
        <v>0</v>
      </c>
      <c r="BS38" s="104">
        <f>SUM('[3]ID-0 Sept 2018'!BR193)</f>
        <v>0</v>
      </c>
      <c r="BT38" s="104">
        <f>SUM('[3]ID-0 Sept 2018'!BS193)</f>
        <v>0</v>
      </c>
      <c r="BU38" s="104">
        <f>SUM('[3]ID-0 Sept 2018'!BT193)</f>
        <v>0</v>
      </c>
      <c r="BV38" s="104">
        <f>SUM('[3]ID-0 Sept 2018'!BV193)</f>
        <v>0</v>
      </c>
      <c r="BW38" s="104">
        <f>SUM('[3]ID-0 Sept 2018'!BW193)</f>
        <v>0</v>
      </c>
      <c r="BX38" s="104">
        <f>SUM('[3]ID-0 Sept 2018'!BY193)</f>
        <v>0</v>
      </c>
      <c r="BY38" s="9">
        <f>SUM('[3]ID-0 Sept 2018'!CA193)</f>
        <v>0</v>
      </c>
      <c r="BZ38" s="9">
        <f>SUM('[3]ID-0 Sept 2018'!CB193)</f>
        <v>0</v>
      </c>
      <c r="CA38" s="9">
        <f>SUM('[3]ID-0 Sept 2018'!CD193)</f>
        <v>0</v>
      </c>
      <c r="CB38" s="9">
        <f>SUM('[3]ID-0 Sept 2018'!CE193)</f>
        <v>0</v>
      </c>
      <c r="CC38" s="9">
        <f>SUM('[3]ID-0 Sept 2018'!BN193)</f>
        <v>0</v>
      </c>
      <c r="CD38" s="210"/>
    </row>
    <row r="39" spans="1:114" s="104" customFormat="1">
      <c r="A39" s="103"/>
      <c r="B39" s="104" t="s">
        <v>1410</v>
      </c>
      <c r="C39" s="22" t="s">
        <v>1593</v>
      </c>
      <c r="D39" s="104">
        <v>2</v>
      </c>
      <c r="E39" s="104">
        <v>37</v>
      </c>
      <c r="F39" s="104">
        <v>119</v>
      </c>
      <c r="G39" s="104">
        <v>10</v>
      </c>
      <c r="H39" s="132">
        <v>1000</v>
      </c>
      <c r="I39" s="210"/>
      <c r="J39" s="104">
        <v>3</v>
      </c>
      <c r="K39" s="104">
        <v>2</v>
      </c>
      <c r="L39" s="104">
        <v>2</v>
      </c>
      <c r="M39" s="104">
        <v>3</v>
      </c>
      <c r="S39" s="210"/>
      <c r="T39" s="104">
        <v>4</v>
      </c>
      <c r="U39" s="104">
        <v>5</v>
      </c>
      <c r="V39" s="104">
        <f>SUM('[3]IL-119 Feb 2018'!O126)</f>
        <v>0</v>
      </c>
      <c r="W39" s="104">
        <f>SUM('[3]IL-119 Feb 2018'!P126)</f>
        <v>0</v>
      </c>
      <c r="X39" s="104">
        <v>1</v>
      </c>
      <c r="Z39" s="104">
        <f>SUM('[3]IL-119 Feb 2018'!R126)</f>
        <v>0</v>
      </c>
      <c r="AA39" s="210"/>
      <c r="AI39" s="210"/>
      <c r="AJ39" s="104">
        <v>140</v>
      </c>
      <c r="AK39" s="104">
        <v>125</v>
      </c>
      <c r="AL39" s="104">
        <v>9</v>
      </c>
      <c r="AM39" s="104">
        <v>3</v>
      </c>
      <c r="AN39" s="104">
        <v>8</v>
      </c>
      <c r="AO39" s="104">
        <v>212</v>
      </c>
      <c r="AP39" s="104">
        <v>452</v>
      </c>
      <c r="AQ39" s="104">
        <v>78</v>
      </c>
      <c r="AR39" s="104">
        <v>252</v>
      </c>
      <c r="AS39" s="104">
        <v>140</v>
      </c>
      <c r="AT39" s="104">
        <v>39</v>
      </c>
      <c r="AU39" s="104">
        <v>196</v>
      </c>
      <c r="AV39" s="104">
        <v>130</v>
      </c>
      <c r="AW39" s="104">
        <v>103</v>
      </c>
      <c r="AX39" s="104">
        <v>139</v>
      </c>
      <c r="AY39" s="104">
        <v>37</v>
      </c>
      <c r="AZ39" s="104">
        <v>101</v>
      </c>
      <c r="BA39" s="210"/>
      <c r="BB39" s="104">
        <f>SUM('[3]IL-119 Feb 2018'!AU126)</f>
        <v>0</v>
      </c>
      <c r="BC39" s="104">
        <v>6</v>
      </c>
      <c r="BD39" s="104">
        <v>3</v>
      </c>
      <c r="BE39" s="104">
        <v>1</v>
      </c>
      <c r="BF39" s="104">
        <f>SUM('[3]IL-119 Feb 2018'!AY126)</f>
        <v>0</v>
      </c>
      <c r="BG39" s="210"/>
      <c r="BH39" s="104">
        <v>10</v>
      </c>
      <c r="BI39" s="104">
        <v>3</v>
      </c>
      <c r="BJ39" s="210"/>
      <c r="BK39" s="104">
        <v>3</v>
      </c>
      <c r="BL39" s="104">
        <f>SUM('[3]IL-119 Feb 2018'!BG126)</f>
        <v>0</v>
      </c>
      <c r="BM39" s="104">
        <f>SUM('[3]IL-119 Feb 2018'!BH126)</f>
        <v>0</v>
      </c>
      <c r="BN39" s="104">
        <f>SUM('[3]IL-119 Feb 2018'!BI126)</f>
        <v>0</v>
      </c>
      <c r="BO39" s="104">
        <f>SUM('[3]IL-119 Feb 2018'!BJ126)</f>
        <v>0</v>
      </c>
      <c r="BP39" s="210"/>
      <c r="BQ39" s="104">
        <v>96</v>
      </c>
      <c r="BS39" s="104">
        <f>SUM('[3]IL-119 Feb 2018'!BR126)</f>
        <v>0</v>
      </c>
      <c r="BT39" s="104">
        <f>SUM('[3]IL-119 Feb 2018'!BS126)</f>
        <v>0</v>
      </c>
      <c r="BU39" s="104">
        <f>SUM('[3]IL-119 Feb 2018'!BT126)</f>
        <v>0</v>
      </c>
      <c r="BV39" s="104">
        <f>SUM('[3]IL-119 Feb 2018'!BV126)</f>
        <v>0</v>
      </c>
      <c r="BW39" s="104">
        <f>SUM('[3]IL-119 Feb 2018'!BW126)</f>
        <v>0</v>
      </c>
      <c r="BX39" s="104">
        <v>2</v>
      </c>
      <c r="BY39" s="104">
        <f>SUM('[3]IL-119 Feb 2018'!CA126)</f>
        <v>0</v>
      </c>
      <c r="BZ39" s="104">
        <f>SUM('[3]IL-119 Feb 2018'!CB126)</f>
        <v>0</v>
      </c>
      <c r="CA39" s="104">
        <f>SUM('[3]IL-119 Feb 2018'!CD126)</f>
        <v>0</v>
      </c>
      <c r="CB39" s="104">
        <f>SUM('[3]IL-119 Feb 2018'!CE126)</f>
        <v>0</v>
      </c>
      <c r="CC39" s="104">
        <f>SUM('[3]IL-119 Feb 2018'!BN126)</f>
        <v>0</v>
      </c>
      <c r="CD39" s="210"/>
      <c r="DH39" s="66"/>
      <c r="DI39" s="66"/>
      <c r="DJ39" s="66"/>
    </row>
    <row r="40" spans="1:114" s="104" customFormat="1">
      <c r="A40" s="103"/>
      <c r="B40" s="104" t="s">
        <v>1411</v>
      </c>
      <c r="C40" s="22" t="s">
        <v>1594</v>
      </c>
      <c r="D40" s="104">
        <v>4</v>
      </c>
      <c r="E40" s="104">
        <v>69</v>
      </c>
      <c r="F40" s="104">
        <v>230</v>
      </c>
      <c r="G40" s="104">
        <v>7</v>
      </c>
      <c r="H40" s="104">
        <v>440</v>
      </c>
      <c r="I40" s="210"/>
      <c r="J40" s="104">
        <v>1</v>
      </c>
      <c r="K40" s="104">
        <v>1</v>
      </c>
      <c r="L40" s="104">
        <v>1</v>
      </c>
      <c r="M40" s="104">
        <v>4</v>
      </c>
      <c r="S40" s="210"/>
      <c r="T40" s="104">
        <v>6</v>
      </c>
      <c r="U40" s="104">
        <v>1</v>
      </c>
      <c r="V40" s="104">
        <f>SUM('[3]IN-230 April 2017'!O243)</f>
        <v>0</v>
      </c>
      <c r="W40" s="104">
        <f>SUM('[3]IN-230 April 2017'!P243)</f>
        <v>0</v>
      </c>
      <c r="X40" s="104">
        <f>SUM('[3]IN-230 April 2017'!Q243)</f>
        <v>0</v>
      </c>
      <c r="Z40" s="104">
        <f>SUM('[3]IN-230 April 2017'!R243)</f>
        <v>0</v>
      </c>
      <c r="AA40" s="210"/>
      <c r="AI40" s="210"/>
      <c r="AJ40" s="104">
        <v>11</v>
      </c>
      <c r="AK40" s="104">
        <v>5</v>
      </c>
      <c r="AL40" s="104">
        <v>3</v>
      </c>
      <c r="AM40" s="104">
        <v>3</v>
      </c>
      <c r="AN40" s="104">
        <v>9</v>
      </c>
      <c r="AO40" s="104">
        <v>29</v>
      </c>
      <c r="AP40" s="104">
        <v>74</v>
      </c>
      <c r="AQ40" s="104">
        <v>14</v>
      </c>
      <c r="AR40" s="104">
        <v>30</v>
      </c>
      <c r="AS40" s="104">
        <v>23</v>
      </c>
      <c r="AT40" s="104">
        <f>SUM('[3]IN-230 April 2017'!AE243)</f>
        <v>0</v>
      </c>
      <c r="AU40" s="104">
        <v>21</v>
      </c>
      <c r="AV40" s="104">
        <v>28</v>
      </c>
      <c r="AW40" s="104">
        <v>12</v>
      </c>
      <c r="AX40" s="104">
        <v>13</v>
      </c>
      <c r="AY40" s="104">
        <v>11</v>
      </c>
      <c r="AZ40" s="104">
        <v>5</v>
      </c>
      <c r="BA40" s="210"/>
      <c r="BB40" s="104">
        <f>SUM('[3]IN-230 April 2017'!AU243)</f>
        <v>0</v>
      </c>
      <c r="BC40" s="104">
        <v>3</v>
      </c>
      <c r="BD40" s="104">
        <v>2</v>
      </c>
      <c r="BE40" s="104">
        <v>2</v>
      </c>
      <c r="BF40" s="104">
        <f>SUM('[3]IN-230 April 2017'!AY243)</f>
        <v>0</v>
      </c>
      <c r="BG40" s="210"/>
      <c r="BH40" s="104">
        <v>7</v>
      </c>
      <c r="BI40" s="104">
        <v>3</v>
      </c>
      <c r="BJ40" s="210"/>
      <c r="BK40" s="104">
        <v>3</v>
      </c>
      <c r="BL40" s="104">
        <f>SUM('[3]IN-230 April 2017'!BG243)</f>
        <v>0</v>
      </c>
      <c r="BM40" s="104">
        <f>SUM('[3]IN-230 April 2017'!BH243)</f>
        <v>0</v>
      </c>
      <c r="BN40" s="104">
        <f>SUM('[3]IN-230 April 2017'!BI243)</f>
        <v>0</v>
      </c>
      <c r="BO40" s="104">
        <f>SUM('[3]IN-230 April 2017'!BJ243)</f>
        <v>0</v>
      </c>
      <c r="BP40" s="210"/>
      <c r="BQ40" s="104">
        <v>171</v>
      </c>
      <c r="BS40" s="104">
        <f>SUM('[3]IN-230 April 2017'!BR243)</f>
        <v>0</v>
      </c>
      <c r="BT40" s="104">
        <v>12</v>
      </c>
      <c r="BU40" s="104">
        <v>13084</v>
      </c>
      <c r="BV40" s="104">
        <v>22</v>
      </c>
      <c r="BW40" s="104">
        <v>38512</v>
      </c>
      <c r="BX40" s="104">
        <v>1</v>
      </c>
      <c r="BY40" s="104">
        <v>4</v>
      </c>
      <c r="BZ40" s="104">
        <v>1776</v>
      </c>
      <c r="CA40" s="9">
        <f>SUM('[3]IN-230 April 2017'!CD243)</f>
        <v>0</v>
      </c>
      <c r="CB40" s="104">
        <f>SUM('[3]IN-230 April 2017'!CE243)</f>
        <v>0</v>
      </c>
      <c r="CC40" s="104">
        <v>2</v>
      </c>
      <c r="CD40" s="210"/>
      <c r="DH40" s="66"/>
      <c r="DI40" s="66"/>
      <c r="DJ40" s="66"/>
    </row>
    <row r="41" spans="1:114" s="65" customFormat="1">
      <c r="A41" s="103"/>
      <c r="B41" s="104" t="s">
        <v>1414</v>
      </c>
      <c r="C41" s="22" t="s">
        <v>1595</v>
      </c>
      <c r="D41" s="66">
        <v>4</v>
      </c>
      <c r="E41" s="104">
        <v>90</v>
      </c>
      <c r="F41" s="104">
        <v>226</v>
      </c>
      <c r="G41" s="104">
        <v>16</v>
      </c>
      <c r="H41" s="104"/>
      <c r="I41" s="210"/>
      <c r="J41" s="104">
        <v>3</v>
      </c>
      <c r="K41" s="104">
        <v>5</v>
      </c>
      <c r="L41" s="104">
        <v>6</v>
      </c>
      <c r="M41" s="104">
        <v>3</v>
      </c>
      <c r="N41" s="104"/>
      <c r="O41" s="104"/>
      <c r="P41" s="104"/>
      <c r="Q41" s="104"/>
      <c r="R41" s="104"/>
      <c r="S41" s="210"/>
      <c r="T41" s="104">
        <v>13</v>
      </c>
      <c r="U41" s="104">
        <v>3</v>
      </c>
      <c r="V41" s="104">
        <f>SUM('[3]KY-226 Oct 2018'!O240)</f>
        <v>0</v>
      </c>
      <c r="W41" s="104">
        <f>SUM('[3]KY-226 Oct 2018'!P240)</f>
        <v>0</v>
      </c>
      <c r="X41" s="104">
        <f>SUM('[3]KY-226 Oct 2018'!Q240)</f>
        <v>0</v>
      </c>
      <c r="Y41" s="104"/>
      <c r="Z41" s="104">
        <f>SUM('[3]KY-226 Oct 2018'!R240)</f>
        <v>0</v>
      </c>
      <c r="AA41" s="210"/>
      <c r="AB41" s="104"/>
      <c r="AC41" s="104"/>
      <c r="AD41" s="104"/>
      <c r="AE41" s="104"/>
      <c r="AF41" s="104"/>
      <c r="AG41" s="104"/>
      <c r="AH41" s="104"/>
      <c r="AI41" s="210"/>
      <c r="AJ41" s="66">
        <v>25</v>
      </c>
      <c r="AK41" s="66">
        <v>5</v>
      </c>
      <c r="AL41" s="66">
        <f>SUM('[3]KY-226 Oct 2018'!W240)</f>
        <v>0</v>
      </c>
      <c r="AM41" s="66">
        <v>7</v>
      </c>
      <c r="AN41" s="66">
        <v>5</v>
      </c>
      <c r="AO41" s="66">
        <v>27</v>
      </c>
      <c r="AP41" s="66">
        <v>37</v>
      </c>
      <c r="AQ41" s="66">
        <v>9</v>
      </c>
      <c r="AR41" s="66">
        <v>36</v>
      </c>
      <c r="AS41" s="66">
        <v>31</v>
      </c>
      <c r="AT41" s="66">
        <v>6</v>
      </c>
      <c r="AU41" s="66">
        <v>27</v>
      </c>
      <c r="AV41" s="66">
        <v>24</v>
      </c>
      <c r="AW41" s="66">
        <v>7</v>
      </c>
      <c r="AX41" s="66">
        <v>13</v>
      </c>
      <c r="AY41" s="66">
        <v>6</v>
      </c>
      <c r="AZ41" s="66">
        <v>9</v>
      </c>
      <c r="BA41" s="210"/>
      <c r="BB41" s="104">
        <f>SUM('[3]KY-226 Oct 2018'!AU240)</f>
        <v>0</v>
      </c>
      <c r="BC41" s="104">
        <v>13</v>
      </c>
      <c r="BD41" s="104">
        <f>SUM('[3]KY-226 Oct 2018'!AW240)</f>
        <v>0</v>
      </c>
      <c r="BE41" s="104">
        <v>3</v>
      </c>
      <c r="BF41" s="104">
        <f>SUM('[3]KY-226 Oct 2018'!AY240)</f>
        <v>0</v>
      </c>
      <c r="BG41" s="210"/>
      <c r="BH41" s="104">
        <v>16</v>
      </c>
      <c r="BI41" s="104">
        <v>4</v>
      </c>
      <c r="BJ41" s="210"/>
      <c r="BK41" s="104">
        <v>4</v>
      </c>
      <c r="BL41" s="104">
        <f>SUM('[3]KY-226 Oct 2018'!BG240)</f>
        <v>0</v>
      </c>
      <c r="BM41" s="104">
        <f>SUM('[3]KY-226 Oct 2018'!BH240)</f>
        <v>0</v>
      </c>
      <c r="BN41" s="104">
        <v>1</v>
      </c>
      <c r="BO41" s="104">
        <f>SUM('[3]KY-226 Oct 2018'!BJ240)</f>
        <v>0</v>
      </c>
      <c r="BP41" s="210"/>
      <c r="BQ41" s="104">
        <v>196</v>
      </c>
      <c r="BR41" s="104"/>
      <c r="BS41" s="104">
        <v>2</v>
      </c>
      <c r="BT41" s="104">
        <v>32</v>
      </c>
      <c r="BU41" s="104">
        <v>23571</v>
      </c>
      <c r="BV41" s="104">
        <v>19</v>
      </c>
      <c r="BW41" s="104">
        <v>16930</v>
      </c>
      <c r="BX41" s="104">
        <v>1</v>
      </c>
      <c r="BY41" s="104">
        <v>8</v>
      </c>
      <c r="BZ41" s="104">
        <v>7110</v>
      </c>
      <c r="CA41" s="66">
        <f>SUM('[3]KY-226 Oct 2018'!CD240)</f>
        <v>0</v>
      </c>
      <c r="CB41" s="66">
        <f>SUM('[3]KY-226 Oct 2018'!CE240)</f>
        <v>0</v>
      </c>
      <c r="CC41" s="66">
        <v>3</v>
      </c>
      <c r="CD41" s="210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  <c r="DB41" s="104"/>
      <c r="DC41" s="104"/>
      <c r="DD41" s="104"/>
      <c r="DE41" s="104"/>
      <c r="DF41" s="104"/>
      <c r="DG41" s="104"/>
      <c r="DH41" s="104"/>
      <c r="DI41" s="104"/>
      <c r="DJ41" s="104"/>
    </row>
    <row r="42" spans="1:114" s="65" customFormat="1">
      <c r="A42" s="103"/>
      <c r="B42" s="104" t="s">
        <v>1415</v>
      </c>
      <c r="C42" s="22" t="s">
        <v>1596</v>
      </c>
      <c r="D42" s="66">
        <v>1</v>
      </c>
      <c r="E42" s="104">
        <v>186</v>
      </c>
      <c r="F42" s="104">
        <v>481</v>
      </c>
      <c r="G42" s="104">
        <v>16</v>
      </c>
      <c r="H42" s="132">
        <v>1600</v>
      </c>
      <c r="I42" s="210"/>
      <c r="J42" s="104">
        <v>2</v>
      </c>
      <c r="K42" s="104">
        <v>1</v>
      </c>
      <c r="L42" s="104">
        <v>4</v>
      </c>
      <c r="M42" s="104">
        <v>11</v>
      </c>
      <c r="N42" s="104"/>
      <c r="O42" s="104"/>
      <c r="P42" s="104"/>
      <c r="Q42" s="104"/>
      <c r="R42" s="104"/>
      <c r="S42" s="210"/>
      <c r="T42" s="104">
        <v>15</v>
      </c>
      <c r="U42" s="104">
        <v>3</v>
      </c>
      <c r="V42" s="104">
        <f>SUM('[3]LA-481 Oct 2018'!O489)</f>
        <v>0</v>
      </c>
      <c r="W42" s="104">
        <f>SUM('[3]LA-481 Oct 2018'!P489)</f>
        <v>0</v>
      </c>
      <c r="X42" s="104">
        <f>SUM('[3]LA-481 Oct 2018'!Q489)</f>
        <v>0</v>
      </c>
      <c r="Y42" s="104"/>
      <c r="Z42" s="104">
        <f>SUM('[3]LA-481 Oct 2018'!R489)</f>
        <v>0</v>
      </c>
      <c r="AA42" s="210"/>
      <c r="AB42" s="104"/>
      <c r="AC42" s="104"/>
      <c r="AD42" s="104"/>
      <c r="AE42" s="104"/>
      <c r="AF42" s="104"/>
      <c r="AG42" s="104"/>
      <c r="AH42" s="104"/>
      <c r="AI42" s="210"/>
      <c r="AJ42" s="104">
        <v>30</v>
      </c>
      <c r="AK42" s="104">
        <v>17</v>
      </c>
      <c r="AL42" s="104">
        <f>SUM('[3]LA-481 Oct 2018'!W489)</f>
        <v>0</v>
      </c>
      <c r="AM42" s="104">
        <v>10</v>
      </c>
      <c r="AN42" s="104">
        <v>24</v>
      </c>
      <c r="AO42" s="104">
        <v>32</v>
      </c>
      <c r="AP42" s="104">
        <v>117</v>
      </c>
      <c r="AQ42" s="104">
        <v>14</v>
      </c>
      <c r="AR42" s="104">
        <v>75</v>
      </c>
      <c r="AS42" s="104">
        <v>41</v>
      </c>
      <c r="AT42" s="104">
        <v>13</v>
      </c>
      <c r="AU42" s="104">
        <v>42</v>
      </c>
      <c r="AV42" s="104">
        <v>55</v>
      </c>
      <c r="AW42" s="104">
        <v>17</v>
      </c>
      <c r="AX42" s="104">
        <v>31</v>
      </c>
      <c r="AY42" s="104">
        <v>11</v>
      </c>
      <c r="AZ42" s="104">
        <v>23</v>
      </c>
      <c r="BA42" s="210"/>
      <c r="BB42" s="104">
        <f>SUM('[3]LA-481 Oct 2018'!AU489)</f>
        <v>0</v>
      </c>
      <c r="BC42" s="104">
        <v>14</v>
      </c>
      <c r="BD42" s="104">
        <v>1</v>
      </c>
      <c r="BE42" s="104">
        <v>1</v>
      </c>
      <c r="BF42" s="104">
        <f>SUM('[3]LA-481 Oct 2018'!AY489)</f>
        <v>0</v>
      </c>
      <c r="BG42" s="210"/>
      <c r="BH42" s="104">
        <v>16</v>
      </c>
      <c r="BI42" s="104">
        <v>6</v>
      </c>
      <c r="BJ42" s="210"/>
      <c r="BK42" s="104">
        <v>5</v>
      </c>
      <c r="BL42" s="104">
        <f>SUM('[3]LA-481 Oct 2018'!BG489)</f>
        <v>0</v>
      </c>
      <c r="BM42" s="104">
        <v>1</v>
      </c>
      <c r="BN42" s="104">
        <f>SUM('[3]LA-481 Oct 2018'!BI489)</f>
        <v>0</v>
      </c>
      <c r="BO42" s="104">
        <v>1</v>
      </c>
      <c r="BP42" s="210"/>
      <c r="BQ42" s="104">
        <v>412</v>
      </c>
      <c r="BR42" s="104"/>
      <c r="BS42" s="104">
        <v>1</v>
      </c>
      <c r="BT42" s="104">
        <v>28</v>
      </c>
      <c r="BU42" s="104">
        <v>16757</v>
      </c>
      <c r="BV42" s="104">
        <v>50</v>
      </c>
      <c r="BW42" s="104">
        <v>64665</v>
      </c>
      <c r="BX42" s="104">
        <v>3</v>
      </c>
      <c r="BY42" s="104">
        <v>22</v>
      </c>
      <c r="BZ42" s="104">
        <v>14396</v>
      </c>
      <c r="CA42" s="66">
        <f>SUM('[3]LA-481 Oct 2018'!CD489)</f>
        <v>0</v>
      </c>
      <c r="CB42" s="66">
        <f>SUM('[3]LA-481 Oct 2018'!CE489)</f>
        <v>0</v>
      </c>
      <c r="CC42" s="66">
        <v>3</v>
      </c>
      <c r="CD42" s="210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  <c r="DG42" s="104"/>
      <c r="DH42" s="104"/>
      <c r="DI42" s="104"/>
      <c r="DJ42" s="104"/>
    </row>
    <row r="43" spans="1:114" s="104" customFormat="1">
      <c r="A43" s="103"/>
      <c r="B43" s="104" t="s">
        <v>1417</v>
      </c>
      <c r="C43" s="22" t="s">
        <v>1568</v>
      </c>
      <c r="D43" s="104">
        <v>0</v>
      </c>
      <c r="E43" s="104">
        <v>14</v>
      </c>
      <c r="F43" s="104">
        <v>130</v>
      </c>
      <c r="G43" s="104">
        <v>9</v>
      </c>
      <c r="I43" s="210"/>
      <c r="J43" s="104">
        <v>2</v>
      </c>
      <c r="K43" s="104">
        <f>SUM('[3]MD-130 December 2018'!F137)</f>
        <v>0</v>
      </c>
      <c r="L43" s="104">
        <v>5</v>
      </c>
      <c r="M43" s="104">
        <v>2</v>
      </c>
      <c r="S43" s="210"/>
      <c r="T43" s="104">
        <v>1</v>
      </c>
      <c r="U43" s="104">
        <v>7</v>
      </c>
      <c r="V43" s="104">
        <f>SUM('[3]MD-130 December 2018'!O137)</f>
        <v>0</v>
      </c>
      <c r="W43" s="104">
        <v>1</v>
      </c>
      <c r="X43" s="104">
        <f>SUM('[3]MD-130 December 2018'!Q137)</f>
        <v>0</v>
      </c>
      <c r="Z43" s="104">
        <f>SUM('[3]MD-130 December 2018'!R137)</f>
        <v>0</v>
      </c>
      <c r="AA43" s="210"/>
      <c r="AI43" s="210"/>
      <c r="AJ43" s="104">
        <v>15</v>
      </c>
      <c r="AK43" s="104">
        <v>2</v>
      </c>
      <c r="AL43" s="104">
        <f>SUM('[3]MD-130 December 2018'!W137)</f>
        <v>0</v>
      </c>
      <c r="AM43" s="104">
        <v>1</v>
      </c>
      <c r="AN43" s="104">
        <v>4</v>
      </c>
      <c r="AO43" s="104">
        <v>19</v>
      </c>
      <c r="AP43" s="104">
        <v>50</v>
      </c>
      <c r="AQ43" s="110">
        <v>6</v>
      </c>
      <c r="AR43" s="104">
        <v>10</v>
      </c>
      <c r="AS43" s="104">
        <v>4</v>
      </c>
      <c r="AT43" s="104">
        <v>2</v>
      </c>
      <c r="AU43" s="104">
        <v>7</v>
      </c>
      <c r="AV43" s="104">
        <v>12</v>
      </c>
      <c r="AW43" s="104">
        <v>5</v>
      </c>
      <c r="AX43" s="104">
        <v>6</v>
      </c>
      <c r="AY43" s="104">
        <v>5</v>
      </c>
      <c r="AZ43" s="104">
        <v>4</v>
      </c>
      <c r="BA43" s="210"/>
      <c r="BB43" s="104">
        <f>SUM('[3]MD-130 December 2018'!AU137)</f>
        <v>0</v>
      </c>
      <c r="BC43" s="104">
        <v>6</v>
      </c>
      <c r="BD43" s="104">
        <v>1</v>
      </c>
      <c r="BE43" s="104">
        <v>1</v>
      </c>
      <c r="BF43" s="104">
        <v>1</v>
      </c>
      <c r="BG43" s="210"/>
      <c r="BH43" s="104">
        <v>9</v>
      </c>
      <c r="BI43" s="104">
        <v>1</v>
      </c>
      <c r="BJ43" s="210"/>
      <c r="BK43" s="104">
        <v>1</v>
      </c>
      <c r="BL43" s="104">
        <f>SUM('[3]MD-130 December 2018'!BG137)</f>
        <v>0</v>
      </c>
      <c r="BM43" s="104">
        <f>SUM('[3]MD-130 December 2018'!BH137)</f>
        <v>0</v>
      </c>
      <c r="BN43" s="104">
        <f>SUM('[3]MD-130 December 2018'!BI137)</f>
        <v>0</v>
      </c>
      <c r="BO43" s="104">
        <f>SUM('[3]MD-130 December 2018'!BJ137)</f>
        <v>0</v>
      </c>
      <c r="BP43" s="210"/>
      <c r="BQ43" s="66">
        <v>19</v>
      </c>
      <c r="BR43" s="66"/>
      <c r="BS43" s="66">
        <f>SUM('[3]MD-130 December 2018'!BR137)</f>
        <v>0</v>
      </c>
      <c r="BT43" s="66">
        <v>1</v>
      </c>
      <c r="BU43" s="66">
        <v>985</v>
      </c>
      <c r="BV43" s="66">
        <v>1</v>
      </c>
      <c r="BW43" s="104">
        <v>225290</v>
      </c>
      <c r="BX43" s="104">
        <v>1</v>
      </c>
      <c r="BY43" s="66">
        <v>1</v>
      </c>
      <c r="BZ43" s="66">
        <v>442</v>
      </c>
      <c r="CA43" s="66">
        <v>1</v>
      </c>
      <c r="CB43" s="66">
        <v>468</v>
      </c>
      <c r="CC43" s="66">
        <f>SUM('[3]MD-130 December 2018'!BN137)</f>
        <v>0</v>
      </c>
      <c r="CD43" s="210"/>
    </row>
    <row r="44" spans="1:114" s="104" customFormat="1">
      <c r="A44" s="103"/>
      <c r="B44" s="66" t="s">
        <v>1419</v>
      </c>
      <c r="C44" s="22" t="s">
        <v>1597</v>
      </c>
      <c r="D44" s="104">
        <v>2</v>
      </c>
      <c r="E44" s="104">
        <v>13</v>
      </c>
      <c r="F44" s="104">
        <v>152</v>
      </c>
      <c r="G44" s="104">
        <v>9</v>
      </c>
      <c r="H44" s="104">
        <v>300</v>
      </c>
      <c r="I44" s="210"/>
      <c r="J44" s="104">
        <v>4</v>
      </c>
      <c r="K44" s="104">
        <f>SUM('[3]MI-152 Jan 2019'!F161)</f>
        <v>0</v>
      </c>
      <c r="L44" s="104">
        <v>2</v>
      </c>
      <c r="M44" s="104">
        <v>3</v>
      </c>
      <c r="S44" s="210"/>
      <c r="T44" s="104">
        <v>2</v>
      </c>
      <c r="U44" s="104">
        <v>9</v>
      </c>
      <c r="V44" s="104">
        <f>SUM('[3]MI-152 Jan 2019'!O161)</f>
        <v>0</v>
      </c>
      <c r="W44" s="104">
        <f>SUM('[3]MI-152 Jan 2019'!P161)</f>
        <v>0</v>
      </c>
      <c r="X44" s="104">
        <v>1</v>
      </c>
      <c r="Z44" s="104">
        <v>1</v>
      </c>
      <c r="AA44" s="210"/>
      <c r="AI44" s="210"/>
      <c r="AJ44" s="104">
        <v>15</v>
      </c>
      <c r="AK44" s="104">
        <v>5</v>
      </c>
      <c r="AL44" s="104">
        <f>SUM('[3]MI-152 Jan 2019'!W161)</f>
        <v>0</v>
      </c>
      <c r="AM44" s="104">
        <v>2</v>
      </c>
      <c r="AN44" s="104">
        <v>6</v>
      </c>
      <c r="AO44" s="104">
        <v>16</v>
      </c>
      <c r="AP44" s="104">
        <v>44</v>
      </c>
      <c r="AQ44" s="104">
        <v>4</v>
      </c>
      <c r="AR44" s="104">
        <v>17</v>
      </c>
      <c r="AS44" s="104">
        <v>17</v>
      </c>
      <c r="AT44" s="104">
        <v>5</v>
      </c>
      <c r="AU44" s="104">
        <v>8</v>
      </c>
      <c r="AV44" s="104">
        <v>12</v>
      </c>
      <c r="AW44" s="104">
        <v>5</v>
      </c>
      <c r="AX44" s="104">
        <v>9</v>
      </c>
      <c r="AY44" s="104">
        <v>2</v>
      </c>
      <c r="AZ44" s="104">
        <v>2</v>
      </c>
      <c r="BA44" s="210"/>
      <c r="BB44" s="104">
        <f>SUM('[3]MI-152 Jan 2019'!AU161)</f>
        <v>0</v>
      </c>
      <c r="BC44" s="104">
        <v>5</v>
      </c>
      <c r="BD44" s="104">
        <v>2</v>
      </c>
      <c r="BE44" s="104">
        <v>1</v>
      </c>
      <c r="BF44" s="104">
        <v>1</v>
      </c>
      <c r="BG44" s="210"/>
      <c r="BH44" s="104">
        <v>9</v>
      </c>
      <c r="BI44" s="104">
        <v>2</v>
      </c>
      <c r="BJ44" s="210"/>
      <c r="BK44" s="104">
        <v>1</v>
      </c>
      <c r="BL44" s="104">
        <v>1</v>
      </c>
      <c r="BM44" s="104">
        <f>SUM('[3]MI-152 Jan 2019'!BH161)</f>
        <v>0</v>
      </c>
      <c r="BN44" s="104">
        <f>SUM('[3]MI-152 Jan 2019'!BI161)</f>
        <v>0</v>
      </c>
      <c r="BO44" s="104">
        <f>SUM('[3]MI-152 Jan 2019'!BJ161)</f>
        <v>0</v>
      </c>
      <c r="BP44" s="210"/>
      <c r="BQ44" s="104">
        <v>91</v>
      </c>
      <c r="BS44" s="104">
        <f>SUM('[3]MI-152 Jan 2019'!BR161)</f>
        <v>0</v>
      </c>
      <c r="BT44" s="104">
        <v>4</v>
      </c>
      <c r="BU44" s="104">
        <v>1065</v>
      </c>
      <c r="BV44" s="104">
        <v>1</v>
      </c>
      <c r="BW44" s="104">
        <v>1335</v>
      </c>
      <c r="BX44" s="104">
        <v>1</v>
      </c>
      <c r="BY44" s="104">
        <v>1</v>
      </c>
      <c r="BZ44" s="104">
        <v>237</v>
      </c>
      <c r="CA44" s="9">
        <v>1</v>
      </c>
      <c r="CB44" s="9">
        <v>1</v>
      </c>
      <c r="CC44" s="9">
        <f>SUM('[3]MI-152 Jan 2019'!BN161)</f>
        <v>0</v>
      </c>
      <c r="CD44" s="210"/>
      <c r="DH44" s="66"/>
      <c r="DI44" s="66"/>
      <c r="DJ44" s="66"/>
    </row>
    <row r="45" spans="1:114" s="66" customFormat="1">
      <c r="A45" s="103"/>
      <c r="B45" s="104" t="s">
        <v>1420</v>
      </c>
      <c r="C45" s="22" t="s">
        <v>1598</v>
      </c>
      <c r="D45" s="104">
        <v>3</v>
      </c>
      <c r="E45" s="104">
        <v>64</v>
      </c>
      <c r="F45" s="104">
        <v>565</v>
      </c>
      <c r="G45" s="104">
        <v>76</v>
      </c>
      <c r="H45" s="104"/>
      <c r="I45" s="210"/>
      <c r="J45" s="104">
        <f>SUM('[3]MN-495 Feb 2019'!E574)</f>
        <v>0</v>
      </c>
      <c r="K45" s="104">
        <f>SUM('[3]MN-495 Feb 2019'!F574)</f>
        <v>0</v>
      </c>
      <c r="L45" s="104">
        <v>2</v>
      </c>
      <c r="M45" s="104">
        <v>5</v>
      </c>
      <c r="N45" s="104"/>
      <c r="O45" s="104"/>
      <c r="P45" s="104"/>
      <c r="Q45" s="104"/>
      <c r="R45" s="104"/>
      <c r="S45" s="210"/>
      <c r="T45" s="104">
        <v>7</v>
      </c>
      <c r="U45" s="104">
        <f>SUM('[3]MN-495 Feb 2019'!N574)</f>
        <v>0</v>
      </c>
      <c r="V45" s="104">
        <f>SUM('[3]MN-495 Feb 2019'!O574)</f>
        <v>0</v>
      </c>
      <c r="W45" s="104">
        <f>SUM('[3]MN-495 Feb 2019'!P574)</f>
        <v>0</v>
      </c>
      <c r="X45" s="104">
        <v>71</v>
      </c>
      <c r="Y45" s="104"/>
      <c r="Z45" s="104">
        <f>SUM('[3]MN-495 Feb 2019'!R574)</f>
        <v>0</v>
      </c>
      <c r="AA45" s="210"/>
      <c r="AB45" s="104"/>
      <c r="AC45" s="104"/>
      <c r="AD45" s="104"/>
      <c r="AE45" s="104"/>
      <c r="AF45" s="104"/>
      <c r="AG45" s="104"/>
      <c r="AH45" s="104"/>
      <c r="AI45" s="210"/>
      <c r="AJ45" s="66">
        <v>82</v>
      </c>
      <c r="AK45" s="66">
        <v>19</v>
      </c>
      <c r="AL45" s="66">
        <v>6</v>
      </c>
      <c r="AM45" s="66">
        <v>6</v>
      </c>
      <c r="AN45" s="66">
        <v>11</v>
      </c>
      <c r="AO45" s="66">
        <v>47</v>
      </c>
      <c r="AP45" s="66">
        <v>134</v>
      </c>
      <c r="AQ45" s="66">
        <v>28</v>
      </c>
      <c r="AR45" s="66">
        <v>81</v>
      </c>
      <c r="AS45" s="66">
        <v>41</v>
      </c>
      <c r="AT45" s="66">
        <v>5</v>
      </c>
      <c r="AU45" s="66">
        <v>52</v>
      </c>
      <c r="AV45" s="66">
        <v>34</v>
      </c>
      <c r="AW45" s="66">
        <v>51</v>
      </c>
      <c r="AX45" s="66">
        <v>47</v>
      </c>
      <c r="AY45" s="66">
        <v>22</v>
      </c>
      <c r="AZ45" s="66">
        <v>22</v>
      </c>
      <c r="BA45" s="210"/>
      <c r="BB45" s="104">
        <f>SUM('[3]MN-495 Feb 2019'!AU574)</f>
        <v>0</v>
      </c>
      <c r="BC45" s="104">
        <v>2</v>
      </c>
      <c r="BD45" s="66">
        <v>3</v>
      </c>
      <c r="BE45" s="104">
        <v>1</v>
      </c>
      <c r="BF45" s="104">
        <v>70</v>
      </c>
      <c r="BG45" s="210"/>
      <c r="BH45" s="104">
        <v>76</v>
      </c>
      <c r="BI45" s="104">
        <v>5</v>
      </c>
      <c r="BJ45" s="210"/>
      <c r="BK45" s="104">
        <v>4</v>
      </c>
      <c r="BL45" s="104">
        <v>1</v>
      </c>
      <c r="BM45" s="104">
        <f>SUM('[3]MN-495 Feb 2019'!BH574)</f>
        <v>0</v>
      </c>
      <c r="BN45" s="104">
        <f>SUM('[3]MN-495 Feb 2019'!BI574)</f>
        <v>0</v>
      </c>
      <c r="BO45" s="104">
        <f>SUM('[3]MN-495 Feb 2019'!BJ574)</f>
        <v>0</v>
      </c>
      <c r="BP45" s="210"/>
      <c r="BQ45" s="66">
        <v>473</v>
      </c>
      <c r="BS45" s="66">
        <f>SUM('[3]MN-495 Feb 2019'!BR574)</f>
        <v>0</v>
      </c>
      <c r="BT45" s="66">
        <v>3</v>
      </c>
      <c r="BU45" s="66">
        <v>1573</v>
      </c>
      <c r="BV45" s="66">
        <v>2</v>
      </c>
      <c r="BW45" s="66">
        <v>856</v>
      </c>
      <c r="BX45" s="66">
        <v>1</v>
      </c>
      <c r="BY45" s="9">
        <v>2</v>
      </c>
      <c r="BZ45" s="9">
        <v>262</v>
      </c>
      <c r="CA45" s="9">
        <f>SUM('[3]MN-495 Feb 2019'!CD574)</f>
        <v>0</v>
      </c>
      <c r="CB45" s="9">
        <f>SUM('[3]MN-495 Feb 2019'!CE574)</f>
        <v>0</v>
      </c>
      <c r="CC45" s="9">
        <f>SUM('[3]MN-495 Feb 2019'!BN574)</f>
        <v>0</v>
      </c>
      <c r="CD45" s="210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  <c r="DB45" s="104"/>
      <c r="DC45" s="104"/>
      <c r="DD45" s="104"/>
      <c r="DE45" s="104"/>
      <c r="DF45" s="104"/>
      <c r="DG45" s="104"/>
    </row>
    <row r="46" spans="1:114" s="104" customFormat="1">
      <c r="A46" s="103"/>
      <c r="B46" s="104" t="s">
        <v>1421</v>
      </c>
      <c r="C46" s="22" t="s">
        <v>1599</v>
      </c>
      <c r="D46" s="66">
        <v>3</v>
      </c>
      <c r="E46" s="104">
        <v>157</v>
      </c>
      <c r="F46" s="104">
        <v>332</v>
      </c>
      <c r="G46" s="104">
        <v>11</v>
      </c>
      <c r="H46" s="104">
        <v>2115</v>
      </c>
      <c r="I46" s="210"/>
      <c r="J46" s="104">
        <f>SUM('[3]MS-332 August 2018'!E341)</f>
        <v>0</v>
      </c>
      <c r="K46" s="104">
        <f>SUM('[3]MS-332 August 2018'!F341)</f>
        <v>0</v>
      </c>
      <c r="L46" s="104">
        <v>5</v>
      </c>
      <c r="M46" s="104">
        <v>5</v>
      </c>
      <c r="S46" s="210"/>
      <c r="T46" s="104">
        <v>9</v>
      </c>
      <c r="U46" s="104">
        <v>1</v>
      </c>
      <c r="V46" s="104">
        <f>SUM('[3]MS-332 August 2018'!O341)</f>
        <v>0</v>
      </c>
      <c r="W46" s="104">
        <f>SUM('[3]MS-332 August 2018'!P341)</f>
        <v>0</v>
      </c>
      <c r="X46" s="104">
        <f>SUM('[3]MS-332 August 2018'!Q341)</f>
        <v>0</v>
      </c>
      <c r="Z46" s="104">
        <f>SUM('[3]MS-332 August 2018'!R341)</f>
        <v>0</v>
      </c>
      <c r="AA46" s="210"/>
      <c r="AI46" s="210"/>
      <c r="AJ46" s="66">
        <v>21</v>
      </c>
      <c r="AK46" s="66">
        <v>5</v>
      </c>
      <c r="AL46" s="66">
        <v>1</v>
      </c>
      <c r="AM46" s="66">
        <v>116</v>
      </c>
      <c r="AN46" s="66">
        <v>13</v>
      </c>
      <c r="AO46" s="66">
        <v>27</v>
      </c>
      <c r="AP46" s="66">
        <v>44</v>
      </c>
      <c r="AQ46" s="66">
        <v>13</v>
      </c>
      <c r="AR46" s="66">
        <v>58</v>
      </c>
      <c r="AS46" s="66">
        <v>38</v>
      </c>
      <c r="AT46" s="66">
        <v>25</v>
      </c>
      <c r="AU46" s="66">
        <v>40</v>
      </c>
      <c r="AV46" s="66">
        <v>41</v>
      </c>
      <c r="AW46" s="66">
        <v>9</v>
      </c>
      <c r="AX46" s="66">
        <v>13</v>
      </c>
      <c r="AY46" s="66">
        <v>12</v>
      </c>
      <c r="AZ46" s="66">
        <v>21</v>
      </c>
      <c r="BA46" s="210"/>
      <c r="BB46" s="104">
        <f>SUM('[3]MS-332 August 2018'!AU341)</f>
        <v>0</v>
      </c>
      <c r="BC46" s="104">
        <v>10</v>
      </c>
      <c r="BD46" s="104">
        <v>1</v>
      </c>
      <c r="BE46" s="104">
        <v>1</v>
      </c>
      <c r="BF46" s="104">
        <f>SUM('[3]MS-332 August 2018'!AY341)</f>
        <v>0</v>
      </c>
      <c r="BG46" s="210"/>
      <c r="BH46" s="104">
        <v>11</v>
      </c>
      <c r="BI46" s="104">
        <v>3</v>
      </c>
      <c r="BJ46" s="210"/>
      <c r="BK46" s="104">
        <v>2</v>
      </c>
      <c r="BL46" s="104">
        <v>1</v>
      </c>
      <c r="BM46" s="104">
        <f>SUM('[3]MS-332 August 2018'!BH341)</f>
        <v>0</v>
      </c>
      <c r="BN46" s="104">
        <f>SUM('[3]MS-332 August 2018'!BI341)</f>
        <v>0</v>
      </c>
      <c r="BO46" s="104">
        <f>SUM('[3]MS-332 August 2018'!BJ341)</f>
        <v>0</v>
      </c>
      <c r="BP46" s="210"/>
      <c r="BQ46" s="66">
        <v>292</v>
      </c>
      <c r="BR46" s="66"/>
      <c r="BS46" s="66">
        <f>SUM('[3]MS-332 August 2018'!BR341)</f>
        <v>0</v>
      </c>
      <c r="BT46" s="66">
        <v>40</v>
      </c>
      <c r="BU46" s="66">
        <v>25900</v>
      </c>
      <c r="BV46" s="66">
        <v>30</v>
      </c>
      <c r="BW46" s="66">
        <v>44247</v>
      </c>
      <c r="BX46" s="104">
        <f>SUM('[3]MS-332 August 2018'!BY341)</f>
        <v>0</v>
      </c>
      <c r="BY46" s="66">
        <f>SUM('[3]MS-332 August 2018'!CA341)</f>
        <v>0</v>
      </c>
      <c r="BZ46" s="66">
        <f>SUM('[3]MS-332 August 2018'!CB341)</f>
        <v>0</v>
      </c>
      <c r="CA46" s="66">
        <f>SUM('[3]MS-332 August 2018'!CD341)</f>
        <v>0</v>
      </c>
      <c r="CB46" s="66">
        <f>SUM('[3]MS-332 August 2018'!CE341)</f>
        <v>0</v>
      </c>
      <c r="CC46" s="66">
        <v>2</v>
      </c>
      <c r="CD46" s="210"/>
    </row>
    <row r="47" spans="1:114" s="104" customFormat="1">
      <c r="A47" s="103"/>
      <c r="B47" s="104" t="s">
        <v>1423</v>
      </c>
      <c r="C47" s="22" t="s">
        <v>1600</v>
      </c>
      <c r="D47" s="104">
        <v>0</v>
      </c>
      <c r="E47" s="104">
        <v>0</v>
      </c>
      <c r="F47" s="104">
        <v>0</v>
      </c>
      <c r="G47" s="104">
        <v>0</v>
      </c>
      <c r="H47" s="104">
        <v>126</v>
      </c>
      <c r="I47" s="210"/>
      <c r="J47" s="104">
        <f>SUM('[3]MT-0 July 2018'!E14)</f>
        <v>0</v>
      </c>
      <c r="K47" s="104">
        <f>SUM('[3]MT-0 July 2018'!F14)</f>
        <v>0</v>
      </c>
      <c r="L47" s="104">
        <f>SUM('[3]MT-0 July 2018'!G14)</f>
        <v>0</v>
      </c>
      <c r="M47" s="104">
        <f>SUM('[3]MT-0 July 2018'!H14)</f>
        <v>0</v>
      </c>
      <c r="S47" s="210"/>
      <c r="T47" s="104">
        <f>SUM('[3]MT-0 July 2018'!M14)</f>
        <v>0</v>
      </c>
      <c r="U47" s="104">
        <f>SUM('[3]MT-0 July 2018'!N14)</f>
        <v>0</v>
      </c>
      <c r="V47" s="104">
        <f>SUM('[3]MT-0 July 2018'!O14)</f>
        <v>0</v>
      </c>
      <c r="W47" s="104">
        <f>SUM('[3]MT-0 July 2018'!P14)</f>
        <v>0</v>
      </c>
      <c r="X47" s="104">
        <f>SUM('[3]MT-0 July 2018'!Q14)</f>
        <v>0</v>
      </c>
      <c r="Z47" s="104">
        <f>SUM('[3]MT-0 July 2018'!R14)</f>
        <v>0</v>
      </c>
      <c r="AA47" s="210"/>
      <c r="AI47" s="210"/>
      <c r="AJ47" s="104">
        <f>SUM('[3]MT-0 July 2018'!U14)</f>
        <v>0</v>
      </c>
      <c r="AK47" s="104">
        <f>SUM('[3]MT-0 July 2018'!V14)</f>
        <v>0</v>
      </c>
      <c r="AL47" s="104">
        <f>SUM('[3]MT-0 July 2018'!W14)</f>
        <v>0</v>
      </c>
      <c r="AM47" s="104">
        <f>SUM('[3]MT-0 July 2018'!X14)</f>
        <v>0</v>
      </c>
      <c r="AN47" s="104">
        <f>SUM('[3]MT-0 July 2018'!Y14)</f>
        <v>0</v>
      </c>
      <c r="AO47" s="104">
        <f>SUM('[3]MT-0 July 2018'!Z14)</f>
        <v>0</v>
      </c>
      <c r="AP47" s="104">
        <f>SUM('[3]MT-0 July 2018'!AA14)</f>
        <v>0</v>
      </c>
      <c r="AQ47" s="104">
        <f>SUM('[3]MT-0 July 2018'!AB14)</f>
        <v>0</v>
      </c>
      <c r="AR47" s="104">
        <f>SUM('[3]MT-0 July 2018'!AC14)</f>
        <v>0</v>
      </c>
      <c r="AS47" s="104">
        <f>SUM('[3]MT-0 July 2018'!AD14)</f>
        <v>0</v>
      </c>
      <c r="AT47" s="104">
        <f>SUM('[3]MT-0 July 2018'!AE14)</f>
        <v>0</v>
      </c>
      <c r="AU47" s="104">
        <f>SUM('[3]MT-0 July 2018'!AF14)</f>
        <v>0</v>
      </c>
      <c r="AV47" s="104">
        <f>SUM('[3]MT-0 July 2018'!AG14)</f>
        <v>0</v>
      </c>
      <c r="AW47" s="104">
        <f>SUM('[3]MT-0 July 2018'!AH14)</f>
        <v>0</v>
      </c>
      <c r="AX47" s="104">
        <f>SUM('[3]MT-0 July 2018'!AI14)</f>
        <v>0</v>
      </c>
      <c r="AY47" s="104">
        <f>SUM('[3]MT-0 July 2018'!AJ14)</f>
        <v>0</v>
      </c>
      <c r="AZ47" s="104">
        <f>SUM('[3]MT-0 July 2018'!AK14)</f>
        <v>0</v>
      </c>
      <c r="BA47" s="210"/>
      <c r="BB47" s="104">
        <f>SUM('[3]MT-0 July 2018'!AU14)</f>
        <v>0</v>
      </c>
      <c r="BC47" s="104">
        <f>SUM('[3]MT-0 July 2018'!AV14)</f>
        <v>0</v>
      </c>
      <c r="BD47" s="104">
        <f>SUM('[3]MT-0 July 2018'!AW14)</f>
        <v>0</v>
      </c>
      <c r="BE47" s="104">
        <f>SUM('[3]MT-0 July 2018'!AX14)</f>
        <v>0</v>
      </c>
      <c r="BF47" s="104">
        <f>SUM('[3]MT-0 July 2018'!AY14)</f>
        <v>0</v>
      </c>
      <c r="BG47" s="210"/>
      <c r="BH47" s="104">
        <f>SUM('[3]MT-0 July 2018'!BB14)</f>
        <v>0</v>
      </c>
      <c r="BI47" s="104">
        <f>SUM('[3]MT-0 July 2018'!BD14)</f>
        <v>0</v>
      </c>
      <c r="BJ47" s="210"/>
      <c r="BK47" s="104">
        <f>SUM('[3]MT-0 July 2018'!BF14)</f>
        <v>0</v>
      </c>
      <c r="BL47" s="104">
        <f>SUM('[3]MT-0 July 2018'!BG14)</f>
        <v>0</v>
      </c>
      <c r="BM47" s="104">
        <f>SUM('[3]MT-0 July 2018'!BH14)</f>
        <v>0</v>
      </c>
      <c r="BN47" s="104">
        <f>SUM('[3]MT-0 July 2018'!BI14)</f>
        <v>0</v>
      </c>
      <c r="BO47" s="104">
        <f>SUM('[3]MT-0 July 2018'!BJ14)</f>
        <v>0</v>
      </c>
      <c r="BP47" s="210"/>
      <c r="BQ47" s="104">
        <f>SUM('[3]MT-0 July 2018'!BP14)</f>
        <v>0</v>
      </c>
      <c r="BS47" s="104">
        <f>SUM('[3]MT-0 July 2018'!BR14)</f>
        <v>0</v>
      </c>
      <c r="BT47" s="104">
        <f>SUM('[3]MT-0 July 2018'!BS14)</f>
        <v>0</v>
      </c>
      <c r="BU47" s="104">
        <f>SUM('[3]MT-0 July 2018'!BT14)</f>
        <v>0</v>
      </c>
      <c r="BV47" s="104">
        <f>SUM('[3]MT-0 July 2018'!BV14)</f>
        <v>0</v>
      </c>
      <c r="BW47" s="104">
        <f>SUM('[3]MT-0 July 2018'!BW14)</f>
        <v>0</v>
      </c>
      <c r="BX47" s="104">
        <f>SUM('[3]MT-0 July 2018'!BY14)</f>
        <v>0</v>
      </c>
      <c r="BY47" s="9">
        <f>SUM('[3]MT-0 July 2018'!CA14)</f>
        <v>0</v>
      </c>
      <c r="BZ47" s="9">
        <f>SUM('[3]MT-0 July 2018'!CB14)</f>
        <v>0</v>
      </c>
      <c r="CA47" s="9">
        <f>SUM('[3]MT-0 July 2018'!CD14)</f>
        <v>0</v>
      </c>
      <c r="CB47" s="9">
        <f>SUM('[3]MT-0 July 2018'!CE14)</f>
        <v>0</v>
      </c>
      <c r="CC47" s="9">
        <f>SUM('[3]MT-0 July 2018'!BN14)</f>
        <v>0</v>
      </c>
      <c r="CD47" s="210"/>
    </row>
    <row r="48" spans="1:114" s="104" customFormat="1">
      <c r="A48" s="103"/>
      <c r="B48" s="104" t="s">
        <v>1425</v>
      </c>
      <c r="C48" s="22" t="s">
        <v>1601</v>
      </c>
      <c r="D48" s="104">
        <v>3</v>
      </c>
      <c r="E48" s="104">
        <v>112</v>
      </c>
      <c r="F48" s="104">
        <v>171</v>
      </c>
      <c r="G48" s="104">
        <v>5</v>
      </c>
      <c r="I48" s="210"/>
      <c r="J48" s="104">
        <v>1</v>
      </c>
      <c r="K48" s="104">
        <f>SUM('[3]NV-171 November 2018'!F182)</f>
        <v>0</v>
      </c>
      <c r="L48" s="104">
        <v>1</v>
      </c>
      <c r="M48" s="104">
        <v>3</v>
      </c>
      <c r="S48" s="210"/>
      <c r="T48" s="104">
        <v>5</v>
      </c>
      <c r="U48" s="104">
        <f>SUM('[3]NV-171 November 2018'!N182)</f>
        <v>0</v>
      </c>
      <c r="V48" s="104">
        <f>SUM('[3]NV-171 November 2018'!O182)</f>
        <v>0</v>
      </c>
      <c r="W48" s="104">
        <f>SUM('[3]NV-171 November 2018'!P182)</f>
        <v>0</v>
      </c>
      <c r="X48" s="104">
        <f>SUM('[3]NV-171 November 2018'!Q182)</f>
        <v>0</v>
      </c>
      <c r="Z48" s="104">
        <f>SUM('[3]NV-171 November 2018'!R182)</f>
        <v>0</v>
      </c>
      <c r="AA48" s="210"/>
      <c r="AI48" s="210"/>
      <c r="AJ48" s="104">
        <v>11</v>
      </c>
      <c r="AK48" s="104">
        <v>8</v>
      </c>
      <c r="AL48" s="104">
        <v>1</v>
      </c>
      <c r="AM48" s="104">
        <v>6</v>
      </c>
      <c r="AN48" s="104">
        <v>6</v>
      </c>
      <c r="AO48" s="104">
        <v>30</v>
      </c>
      <c r="AP48" s="104">
        <v>31</v>
      </c>
      <c r="AQ48" s="104">
        <v>4</v>
      </c>
      <c r="AR48" s="104">
        <v>28</v>
      </c>
      <c r="AS48" s="104">
        <v>11</v>
      </c>
      <c r="AT48" s="104">
        <v>3</v>
      </c>
      <c r="AU48" s="104">
        <v>16</v>
      </c>
      <c r="AV48" s="104">
        <v>15</v>
      </c>
      <c r="AW48" s="104">
        <v>4</v>
      </c>
      <c r="AX48" s="104">
        <v>9</v>
      </c>
      <c r="AY48" s="104">
        <v>2</v>
      </c>
      <c r="AZ48" s="104">
        <v>5</v>
      </c>
      <c r="BA48" s="210"/>
      <c r="BB48" s="104">
        <f>SUM('[3]NV-171 November 2018'!AU182)</f>
        <v>0</v>
      </c>
      <c r="BC48" s="104">
        <v>4</v>
      </c>
      <c r="BD48" s="104">
        <f>SUM('[3]NV-171 November 2018'!AW182)</f>
        <v>0</v>
      </c>
      <c r="BE48" s="104">
        <f>SUM('[3]NV-171 November 2018'!AX182)</f>
        <v>0</v>
      </c>
      <c r="BF48" s="104">
        <v>1</v>
      </c>
      <c r="BG48" s="210"/>
      <c r="BH48" s="104">
        <v>5</v>
      </c>
      <c r="BI48" s="104">
        <v>4</v>
      </c>
      <c r="BJ48" s="210"/>
      <c r="BK48" s="104">
        <v>4</v>
      </c>
      <c r="BL48" s="104">
        <f>SUM('[3]NV-171 November 2018'!BG182)</f>
        <v>0</v>
      </c>
      <c r="BM48" s="104">
        <f>SUM('[3]NV-171 November 2018'!BH182)</f>
        <v>0</v>
      </c>
      <c r="BN48" s="104">
        <f>SUM('[3]NV-171 November 2018'!BI182)</f>
        <v>0</v>
      </c>
      <c r="BO48" s="104">
        <f>SUM('[3]NV-171 November 2018'!BJ182)</f>
        <v>0</v>
      </c>
      <c r="BP48" s="210"/>
      <c r="BQ48" s="104">
        <v>146</v>
      </c>
      <c r="BS48" s="104">
        <v>1</v>
      </c>
      <c r="BT48" s="104">
        <v>14</v>
      </c>
      <c r="BU48" s="104">
        <v>17801</v>
      </c>
      <c r="BV48" s="104">
        <v>18</v>
      </c>
      <c r="BW48" s="104">
        <v>24563</v>
      </c>
      <c r="BX48" s="104">
        <v>2</v>
      </c>
      <c r="BY48" s="104">
        <v>3</v>
      </c>
      <c r="BZ48" s="104">
        <v>4524</v>
      </c>
      <c r="CA48" s="9">
        <f>SUM('[3]NV-171 November 2018'!CD182)</f>
        <v>0</v>
      </c>
      <c r="CB48" s="9">
        <f>SUM('[3]NV-171 November 2018'!CE182)</f>
        <v>0</v>
      </c>
      <c r="CC48" s="9">
        <v>1</v>
      </c>
      <c r="CD48" s="210"/>
    </row>
    <row r="49" spans="1:114" s="104" customFormat="1">
      <c r="A49" s="103"/>
      <c r="B49" s="66" t="s">
        <v>1427</v>
      </c>
      <c r="C49" s="22" t="s">
        <v>1602</v>
      </c>
      <c r="D49" s="104">
        <v>0</v>
      </c>
      <c r="E49" s="104">
        <v>1</v>
      </c>
      <c r="F49" s="104">
        <v>20</v>
      </c>
      <c r="G49" s="104">
        <v>5</v>
      </c>
      <c r="I49" s="210"/>
      <c r="J49" s="104">
        <v>1</v>
      </c>
      <c r="K49" s="104">
        <v>1</v>
      </c>
      <c r="L49" s="104">
        <f>SUM('[3]NJ-20 November 2018'!G31)</f>
        <v>0</v>
      </c>
      <c r="M49" s="104">
        <f>SUM('[3]NJ-20 November 2018'!H31)</f>
        <v>0</v>
      </c>
      <c r="S49" s="210"/>
      <c r="T49" s="104">
        <f>SUM('[3]NJ-20 November 2018'!M31)</f>
        <v>0</v>
      </c>
      <c r="U49" s="104">
        <v>3</v>
      </c>
      <c r="V49" s="104">
        <f>SUM('[3]NJ-20 November 2018'!O31)</f>
        <v>0</v>
      </c>
      <c r="W49" s="104">
        <f>SUM('[3]NJ-20 November 2018'!P31)</f>
        <v>0</v>
      </c>
      <c r="X49" s="104">
        <v>2</v>
      </c>
      <c r="Z49" s="104">
        <f>SUM('[3]NJ-20 November 2018'!R31)</f>
        <v>0</v>
      </c>
      <c r="AA49" s="210"/>
      <c r="AI49" s="210"/>
      <c r="AJ49" s="66">
        <v>7</v>
      </c>
      <c r="AK49" s="66">
        <f>SUM('[3]NJ-20 November 2018'!V31)</f>
        <v>0</v>
      </c>
      <c r="AL49" s="66">
        <f>SUM('[3]NJ-20 November 2018'!W31)</f>
        <v>0</v>
      </c>
      <c r="AM49" s="66">
        <f>SUM('[3]NJ-20 November 2018'!X31)</f>
        <v>0</v>
      </c>
      <c r="AN49" s="66">
        <v>1</v>
      </c>
      <c r="AO49" s="66">
        <v>3</v>
      </c>
      <c r="AP49" s="66">
        <v>5</v>
      </c>
      <c r="AQ49" s="66">
        <v>1</v>
      </c>
      <c r="AR49" s="66">
        <v>1</v>
      </c>
      <c r="AS49" s="66">
        <v>2</v>
      </c>
      <c r="AT49" s="66">
        <v>1</v>
      </c>
      <c r="AU49" s="66">
        <v>3</v>
      </c>
      <c r="AV49" s="66">
        <f>SUM('[3]NJ-20 November 2018'!AG31)</f>
        <v>0</v>
      </c>
      <c r="AW49" s="66">
        <f>SUM('[3]NJ-20 November 2018'!AH31)</f>
        <v>0</v>
      </c>
      <c r="AX49" s="66">
        <f>SUM('[3]NJ-20 November 2018'!AI31)</f>
        <v>0</v>
      </c>
      <c r="AY49" s="66">
        <v>2</v>
      </c>
      <c r="AZ49" s="66">
        <v>3</v>
      </c>
      <c r="BA49" s="210"/>
      <c r="BB49" s="104">
        <f>SUM('[3]NJ-20 November 2018'!AU31)</f>
        <v>0</v>
      </c>
      <c r="BC49" s="104">
        <v>3</v>
      </c>
      <c r="BD49" s="104">
        <f>SUM('[3]NJ-20 November 2018'!AW31)</f>
        <v>0</v>
      </c>
      <c r="BE49" s="104">
        <f>SUM('[3]NJ-20 November 2018'!AX31)</f>
        <v>0</v>
      </c>
      <c r="BF49" s="104">
        <v>2</v>
      </c>
      <c r="BG49" s="210"/>
      <c r="BH49" s="104">
        <v>5</v>
      </c>
      <c r="BI49" s="104">
        <f>SUM('[3]NJ-20 November 2018'!BD31)</f>
        <v>0</v>
      </c>
      <c r="BJ49" s="210"/>
      <c r="BK49" s="104">
        <f>SUM('[3]NJ-20 November 2018'!BF31)</f>
        <v>0</v>
      </c>
      <c r="BL49" s="104">
        <f>SUM('[3]NJ-20 November 2018'!BG31)</f>
        <v>0</v>
      </c>
      <c r="BM49" s="104">
        <f>SUM('[3]NJ-20 November 2018'!BH31)</f>
        <v>0</v>
      </c>
      <c r="BN49" s="104">
        <f>SUM('[3]NJ-20 November 2018'!BI31)</f>
        <v>0</v>
      </c>
      <c r="BO49" s="104">
        <f>SUM('[3]NJ-20 November 2018'!BJ31)</f>
        <v>0</v>
      </c>
      <c r="BP49" s="210"/>
      <c r="BQ49" s="104">
        <v>11</v>
      </c>
      <c r="BS49" s="104">
        <f>SUM('[3]NJ-20 November 2018'!BR31)</f>
        <v>0</v>
      </c>
      <c r="BT49" s="104">
        <f>SUM('[3]NJ-20 November 2018'!BS31)</f>
        <v>0</v>
      </c>
      <c r="BU49" s="104">
        <f>SUM('[3]NJ-20 November 2018'!BT31)</f>
        <v>0</v>
      </c>
      <c r="BV49" s="104">
        <f>SUM('[3]NJ-20 November 2018'!BV31)</f>
        <v>0</v>
      </c>
      <c r="BW49" s="104">
        <f>SUM('[3]NJ-20 November 2018'!BW31)</f>
        <v>0</v>
      </c>
      <c r="BX49" s="104">
        <f>SUM('[3]NJ-20 November 2018'!BY31)</f>
        <v>0</v>
      </c>
      <c r="BY49" s="104">
        <f>SUM('[3]NJ-20 November 2018'!CA31)</f>
        <v>0</v>
      </c>
      <c r="BZ49" s="104">
        <f>SUM('[3]NJ-20 November 2018'!CB31)</f>
        <v>0</v>
      </c>
      <c r="CA49" s="66">
        <f>SUM('[3]NJ-20 November 2018'!CD31)</f>
        <v>0</v>
      </c>
      <c r="CB49" s="66">
        <f>SUM('[3]NJ-20 November 2018'!CE31)</f>
        <v>0</v>
      </c>
      <c r="CC49" s="66">
        <f>SUM('[3]NJ-20 November 2018'!BN31)</f>
        <v>0</v>
      </c>
      <c r="CD49" s="210"/>
    </row>
    <row r="50" spans="1:114" s="66" customFormat="1">
      <c r="A50" s="103"/>
      <c r="B50" s="104" t="s">
        <v>1428</v>
      </c>
      <c r="C50" s="22" t="s">
        <v>1603</v>
      </c>
      <c r="D50" s="104">
        <v>0</v>
      </c>
      <c r="E50" s="104">
        <v>11</v>
      </c>
      <c r="F50" s="104">
        <v>46</v>
      </c>
      <c r="G50" s="104">
        <v>3</v>
      </c>
      <c r="H50" s="104"/>
      <c r="I50" s="210"/>
      <c r="J50" s="104">
        <f>SUM('[3]NM-46 Sept 2018'!E386)</f>
        <v>0</v>
      </c>
      <c r="K50" s="104">
        <v>1</v>
      </c>
      <c r="L50" s="104">
        <f>SUM('[3]NM-46 Sept 2018'!G386)</f>
        <v>0</v>
      </c>
      <c r="M50" s="104">
        <v>2</v>
      </c>
      <c r="N50" s="104"/>
      <c r="O50" s="104"/>
      <c r="P50" s="104"/>
      <c r="Q50" s="104"/>
      <c r="R50" s="104"/>
      <c r="S50" s="210"/>
      <c r="T50" s="104">
        <v>2</v>
      </c>
      <c r="U50" s="104">
        <f>SUM('[3]NM-46 Sept 2018'!N386)</f>
        <v>0</v>
      </c>
      <c r="V50" s="104">
        <f>SUM('[3]NM-46 Sept 2018'!O386)</f>
        <v>0</v>
      </c>
      <c r="W50" s="104">
        <f>SUM('[3]NM-46 Sept 2018'!P386)</f>
        <v>0</v>
      </c>
      <c r="X50" s="104">
        <v>335</v>
      </c>
      <c r="Y50" s="104"/>
      <c r="Z50" s="104">
        <f>SUM('[3]NM-46 Sept 2018'!R386)</f>
        <v>0</v>
      </c>
      <c r="AA50" s="210"/>
      <c r="AB50" s="104"/>
      <c r="AC50" s="104"/>
      <c r="AD50" s="104"/>
      <c r="AE50" s="104"/>
      <c r="AF50" s="104"/>
      <c r="AG50" s="104"/>
      <c r="AH50" s="104"/>
      <c r="AI50" s="210"/>
      <c r="AJ50" s="104">
        <v>338</v>
      </c>
      <c r="AK50" s="104">
        <v>1</v>
      </c>
      <c r="AL50" s="104">
        <f>SUM('[3]NM-46 Sept 2018'!W386)</f>
        <v>0</v>
      </c>
      <c r="AM50" s="104">
        <f>SUM('[3]NM-46 Sept 2018'!X386)</f>
        <v>0</v>
      </c>
      <c r="AN50" s="104">
        <f>SUM('[3]NM-46 Sept 2018'!Y386)</f>
        <v>0</v>
      </c>
      <c r="AO50" s="104">
        <v>4</v>
      </c>
      <c r="AP50" s="104">
        <v>8</v>
      </c>
      <c r="AQ50" s="104">
        <v>3</v>
      </c>
      <c r="AR50" s="104">
        <v>8</v>
      </c>
      <c r="AS50" s="104">
        <v>5</v>
      </c>
      <c r="AT50" s="104">
        <f>SUM('[3]NM-46 Sept 2018'!AE386)</f>
        <v>0</v>
      </c>
      <c r="AU50" s="104">
        <v>5</v>
      </c>
      <c r="AV50" s="104">
        <v>7</v>
      </c>
      <c r="AW50" s="104">
        <v>2</v>
      </c>
      <c r="AX50" s="104">
        <v>6</v>
      </c>
      <c r="AY50" s="104">
        <v>2</v>
      </c>
      <c r="AZ50" s="104">
        <v>2</v>
      </c>
      <c r="BA50" s="210"/>
      <c r="BB50" s="104">
        <f>SUM('[3]NM-46 Sept 2018'!AU386)</f>
        <v>0</v>
      </c>
      <c r="BC50" s="104">
        <v>1</v>
      </c>
      <c r="BD50" s="104">
        <f>SUM('[3]NM-46 Sept 2018'!AW386)</f>
        <v>0</v>
      </c>
      <c r="BE50" s="104">
        <v>1</v>
      </c>
      <c r="BF50" s="104">
        <v>335</v>
      </c>
      <c r="BG50" s="210"/>
      <c r="BH50" s="104">
        <v>3</v>
      </c>
      <c r="BI50" s="104">
        <v>2</v>
      </c>
      <c r="BJ50" s="210"/>
      <c r="BK50" s="104">
        <v>1</v>
      </c>
      <c r="BL50" s="104">
        <v>1</v>
      </c>
      <c r="BM50" s="104">
        <f>SUM('[3]NM-46 Sept 2018'!BH386)</f>
        <v>0</v>
      </c>
      <c r="BN50" s="104">
        <f>SUM('[3]NM-46 Sept 2018'!BI386)</f>
        <v>0</v>
      </c>
      <c r="BO50" s="104">
        <v>1</v>
      </c>
      <c r="BP50" s="210"/>
      <c r="BQ50" s="104">
        <v>25</v>
      </c>
      <c r="BR50" s="104"/>
      <c r="BS50" s="104">
        <f>SUM('[3]NM-46 Sept 2018'!BR386)</f>
        <v>0</v>
      </c>
      <c r="BT50" s="104">
        <f>SUM('[3]NM-46 Sept 2018'!BS386)</f>
        <v>0</v>
      </c>
      <c r="BU50" s="104">
        <f>SUM('[3]NM-46 Sept 2018'!BT386)</f>
        <v>0</v>
      </c>
      <c r="BV50" s="104">
        <f>SUM('[3]NM-46 Sept 2018'!BV386)</f>
        <v>0</v>
      </c>
      <c r="BW50" s="104">
        <f>SUM('[3]NM-46 Sept 2018'!BW386)</f>
        <v>0</v>
      </c>
      <c r="BX50" s="104">
        <f>SUM('[3]NM-46 Sept 2018'!BY386)</f>
        <v>0</v>
      </c>
      <c r="BY50" s="9">
        <f>SUM('[3]NM-46 Sept 2018'!CA386)</f>
        <v>0</v>
      </c>
      <c r="BZ50" s="9">
        <f>SUM('[3]NM-46 Sept 2018'!CB386)</f>
        <v>0</v>
      </c>
      <c r="CA50" s="9">
        <f>SUM('[3]NM-46 Sept 2018'!CD386)</f>
        <v>0</v>
      </c>
      <c r="CB50" s="9">
        <f>SUM('[3]NM-46 Sept 2018'!CE386)</f>
        <v>0</v>
      </c>
      <c r="CC50" s="9">
        <f>SUM('[3]NM-46 Sept 2018'!BN386)</f>
        <v>0</v>
      </c>
      <c r="CD50" s="210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04"/>
      <c r="DC50" s="104"/>
      <c r="DD50" s="104"/>
      <c r="DE50" s="104"/>
      <c r="DF50" s="104"/>
      <c r="DG50" s="104"/>
      <c r="DH50" s="104"/>
      <c r="DI50" s="104"/>
      <c r="DJ50" s="104"/>
    </row>
    <row r="51" spans="1:114" s="65" customFormat="1">
      <c r="A51" s="103"/>
      <c r="B51" s="66" t="s">
        <v>1429</v>
      </c>
      <c r="C51" s="22" t="s">
        <v>1602</v>
      </c>
      <c r="D51" s="66">
        <v>1</v>
      </c>
      <c r="E51" s="104">
        <v>36</v>
      </c>
      <c r="F51" s="104">
        <v>160</v>
      </c>
      <c r="G51" s="104">
        <v>77</v>
      </c>
      <c r="H51" s="104"/>
      <c r="I51" s="210"/>
      <c r="J51" s="104">
        <v>3</v>
      </c>
      <c r="K51" s="104">
        <v>3</v>
      </c>
      <c r="L51" s="104">
        <v>1</v>
      </c>
      <c r="M51" s="104">
        <v>2</v>
      </c>
      <c r="N51" s="104"/>
      <c r="O51" s="104"/>
      <c r="P51" s="104"/>
      <c r="Q51" s="104"/>
      <c r="R51" s="104"/>
      <c r="S51" s="210"/>
      <c r="T51" s="104">
        <v>3</v>
      </c>
      <c r="U51" s="104">
        <v>5</v>
      </c>
      <c r="V51" s="104">
        <v>1</v>
      </c>
      <c r="W51" s="104">
        <f>SUM('[3]NY-92 Dec 2018'!P168)</f>
        <v>0</v>
      </c>
      <c r="X51" s="104">
        <v>68</v>
      </c>
      <c r="Y51" s="104"/>
      <c r="Z51" s="104">
        <f>SUM('[3]NY-92 Dec 2018'!R168)</f>
        <v>0</v>
      </c>
      <c r="AA51" s="210"/>
      <c r="AB51" s="104"/>
      <c r="AC51" s="104"/>
      <c r="AD51" s="104"/>
      <c r="AE51" s="104"/>
      <c r="AF51" s="104"/>
      <c r="AG51" s="104"/>
      <c r="AH51" s="104"/>
      <c r="AI51" s="210"/>
      <c r="AJ51" s="104">
        <v>80</v>
      </c>
      <c r="AK51" s="104">
        <v>3</v>
      </c>
      <c r="AL51" s="104">
        <f>SUM('[3]NY-92 Dec 2018'!W168)</f>
        <v>0</v>
      </c>
      <c r="AM51" s="104">
        <v>3</v>
      </c>
      <c r="AN51" s="104">
        <v>2</v>
      </c>
      <c r="AO51" s="104">
        <v>13</v>
      </c>
      <c r="AP51" s="104">
        <v>25</v>
      </c>
      <c r="AQ51" s="104">
        <v>5</v>
      </c>
      <c r="AR51" s="104">
        <v>10</v>
      </c>
      <c r="AS51" s="104">
        <v>3</v>
      </c>
      <c r="AT51" s="104">
        <v>3</v>
      </c>
      <c r="AU51" s="104">
        <v>10</v>
      </c>
      <c r="AV51" s="104">
        <v>4</v>
      </c>
      <c r="AW51" s="104">
        <v>6</v>
      </c>
      <c r="AX51" s="104">
        <v>9</v>
      </c>
      <c r="AY51" s="104">
        <v>4</v>
      </c>
      <c r="AZ51" s="104">
        <v>1</v>
      </c>
      <c r="BA51" s="210"/>
      <c r="BB51" s="104">
        <f>SUM('[3]NY-92 Dec 2018'!AU168)</f>
        <v>0</v>
      </c>
      <c r="BC51" s="104">
        <v>5</v>
      </c>
      <c r="BD51" s="104">
        <v>2</v>
      </c>
      <c r="BE51" s="104">
        <f>SUM('[3]NY-92 Dec 2018'!AX168)</f>
        <v>0</v>
      </c>
      <c r="BF51" s="104">
        <v>70</v>
      </c>
      <c r="BG51" s="210"/>
      <c r="BH51" s="104">
        <v>77</v>
      </c>
      <c r="BI51" s="104">
        <v>1</v>
      </c>
      <c r="BJ51" s="210"/>
      <c r="BK51" s="104">
        <v>1</v>
      </c>
      <c r="BL51" s="104">
        <f>SUM('[3]NY-92 Dec 2018'!BG168)</f>
        <v>0</v>
      </c>
      <c r="BM51" s="104">
        <f>SUM('[3]NY-92 Dec 2018'!BH168)</f>
        <v>0</v>
      </c>
      <c r="BN51" s="104">
        <f>SUM('[3]NY-92 Dec 2018'!BI168)</f>
        <v>0</v>
      </c>
      <c r="BO51" s="104">
        <f>SUM('[3]NY-92 Dec 2018'!BJ168)</f>
        <v>0</v>
      </c>
      <c r="BP51" s="210"/>
      <c r="BQ51" s="104">
        <v>32</v>
      </c>
      <c r="BR51" s="104"/>
      <c r="BS51" s="104">
        <f>SUM('[3]NY-92 Dec 2018'!BR168)</f>
        <v>0</v>
      </c>
      <c r="BT51" s="104">
        <v>5</v>
      </c>
      <c r="BU51" s="104">
        <v>5140</v>
      </c>
      <c r="BV51" s="104">
        <v>2</v>
      </c>
      <c r="BW51" s="104">
        <v>3845</v>
      </c>
      <c r="BX51" s="104">
        <v>1</v>
      </c>
      <c r="BY51" s="104">
        <f>SUM('[3]NY-92 Dec 2018'!CA168)</f>
        <v>0</v>
      </c>
      <c r="BZ51" s="104">
        <f>SUM('[3]NY-92 Dec 2018'!CB168)</f>
        <v>0</v>
      </c>
      <c r="CA51" s="66">
        <f>SUM('[3]NY-92 Dec 2018'!CD168)</f>
        <v>0</v>
      </c>
      <c r="CB51" s="66">
        <f>SUM('[3]NY-92 Dec 2018'!CE168)</f>
        <v>0</v>
      </c>
      <c r="CC51" s="66">
        <f>SUM('[3]NY-92 Dec 2018'!BN168)</f>
        <v>0</v>
      </c>
      <c r="CD51" s="210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  <c r="DB51" s="104"/>
      <c r="DC51" s="104"/>
      <c r="DD51" s="104"/>
      <c r="DE51" s="104"/>
      <c r="DF51" s="104"/>
      <c r="DG51" s="104"/>
      <c r="DH51" s="104"/>
      <c r="DI51" s="104"/>
      <c r="DJ51" s="104"/>
    </row>
    <row r="52" spans="1:114" s="66" customFormat="1">
      <c r="A52" s="103"/>
      <c r="B52" s="66" t="s">
        <v>1430</v>
      </c>
      <c r="C52" s="22" t="s">
        <v>1604</v>
      </c>
      <c r="D52" s="66">
        <v>8</v>
      </c>
      <c r="E52" s="104">
        <v>307</v>
      </c>
      <c r="F52" s="104">
        <v>1003</v>
      </c>
      <c r="G52" s="104">
        <v>42</v>
      </c>
      <c r="H52" s="132">
        <v>4300</v>
      </c>
      <c r="I52" s="210"/>
      <c r="J52" s="104">
        <v>2</v>
      </c>
      <c r="K52" s="104">
        <v>2</v>
      </c>
      <c r="L52" s="104">
        <v>14</v>
      </c>
      <c r="M52" s="104">
        <v>24</v>
      </c>
      <c r="N52" s="104"/>
      <c r="O52" s="104"/>
      <c r="P52" s="104"/>
      <c r="Q52" s="104"/>
      <c r="R52" s="104"/>
      <c r="S52" s="210"/>
      <c r="T52" s="104">
        <v>37</v>
      </c>
      <c r="U52" s="104">
        <v>4</v>
      </c>
      <c r="V52" s="104">
        <f>SUM('[3]NC-1003 April 2017'!O1013)</f>
        <v>0</v>
      </c>
      <c r="W52" s="104">
        <f>SUM('[3]NC-1003 April 2017'!P1013)</f>
        <v>0</v>
      </c>
      <c r="X52" s="104">
        <v>1</v>
      </c>
      <c r="Y52" s="104"/>
      <c r="Z52" s="104">
        <f>SUM('[3]NC-1003 April 2017'!R1013)</f>
        <v>0</v>
      </c>
      <c r="AA52" s="210"/>
      <c r="AB52" s="104"/>
      <c r="AC52" s="104"/>
      <c r="AD52" s="104"/>
      <c r="AE52" s="104"/>
      <c r="AF52" s="104"/>
      <c r="AG52" s="104"/>
      <c r="AH52" s="104"/>
      <c r="AI52" s="210"/>
      <c r="AJ52" s="104">
        <v>68</v>
      </c>
      <c r="AK52" s="104">
        <v>49</v>
      </c>
      <c r="AL52" s="104">
        <f>SUM('[3]NC-1003 April 2017'!W1013)</f>
        <v>0</v>
      </c>
      <c r="AM52" s="104">
        <v>20</v>
      </c>
      <c r="AN52" s="104">
        <v>30</v>
      </c>
      <c r="AO52" s="104">
        <v>109</v>
      </c>
      <c r="AP52" s="104">
        <v>218</v>
      </c>
      <c r="AQ52" s="104">
        <v>25</v>
      </c>
      <c r="AR52" s="104">
        <v>145</v>
      </c>
      <c r="AS52" s="104">
        <v>80</v>
      </c>
      <c r="AT52" s="104">
        <v>27</v>
      </c>
      <c r="AU52" s="104">
        <v>104</v>
      </c>
      <c r="AV52" s="104">
        <v>106</v>
      </c>
      <c r="AW52" s="104">
        <v>49</v>
      </c>
      <c r="AX52" s="104">
        <v>59</v>
      </c>
      <c r="AY52" s="104">
        <v>17</v>
      </c>
      <c r="AZ52" s="104">
        <v>51</v>
      </c>
      <c r="BA52" s="210"/>
      <c r="BB52" s="104">
        <v>1</v>
      </c>
      <c r="BC52" s="104">
        <v>32</v>
      </c>
      <c r="BD52" s="104">
        <v>6</v>
      </c>
      <c r="BE52" s="104">
        <v>3</v>
      </c>
      <c r="BF52" s="104">
        <v>1</v>
      </c>
      <c r="BG52" s="210"/>
      <c r="BH52" s="104">
        <v>42</v>
      </c>
      <c r="BI52" s="104">
        <v>14</v>
      </c>
      <c r="BJ52" s="210"/>
      <c r="BK52" s="104">
        <v>11</v>
      </c>
      <c r="BL52" s="104">
        <v>2</v>
      </c>
      <c r="BM52" s="104">
        <v>1</v>
      </c>
      <c r="BN52" s="104">
        <v>1</v>
      </c>
      <c r="BO52" s="104">
        <v>1</v>
      </c>
      <c r="BP52" s="210"/>
      <c r="BQ52" s="104">
        <v>864</v>
      </c>
      <c r="BR52" s="104"/>
      <c r="BS52" s="104">
        <v>4</v>
      </c>
      <c r="BT52" s="104">
        <v>84</v>
      </c>
      <c r="BU52" s="104">
        <v>552753</v>
      </c>
      <c r="BV52" s="104">
        <v>68</v>
      </c>
      <c r="BW52" s="104">
        <v>723859</v>
      </c>
      <c r="BX52" s="104">
        <v>14</v>
      </c>
      <c r="BY52" s="104">
        <v>9</v>
      </c>
      <c r="BZ52" s="104">
        <v>262894</v>
      </c>
      <c r="CA52" s="104">
        <f>SUM('[3]NC-1003 April 2017'!CD1013)</f>
        <v>0</v>
      </c>
      <c r="CB52" s="104">
        <f>SUM('[3]NC-1003 April 2017'!CE1013)</f>
        <v>0</v>
      </c>
      <c r="CC52" s="104">
        <v>5</v>
      </c>
      <c r="CD52" s="210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  <c r="DG52" s="104"/>
      <c r="DH52" s="104"/>
      <c r="DI52" s="104"/>
      <c r="DJ52" s="104"/>
    </row>
    <row r="53" spans="1:114" s="66" customFormat="1">
      <c r="A53" s="103"/>
      <c r="B53" s="66" t="s">
        <v>1432</v>
      </c>
      <c r="C53" s="22" t="s">
        <v>1605</v>
      </c>
      <c r="D53" s="104">
        <v>6</v>
      </c>
      <c r="E53" s="104">
        <v>94</v>
      </c>
      <c r="F53" s="104">
        <v>242</v>
      </c>
      <c r="G53" s="104">
        <v>15</v>
      </c>
      <c r="H53" s="104">
        <v>700</v>
      </c>
      <c r="I53" s="210"/>
      <c r="J53" s="104">
        <v>3</v>
      </c>
      <c r="K53" s="104">
        <v>2</v>
      </c>
      <c r="L53" s="104">
        <v>1</v>
      </c>
      <c r="M53" s="104">
        <v>7</v>
      </c>
      <c r="N53" s="104"/>
      <c r="O53" s="104"/>
      <c r="P53" s="104"/>
      <c r="Q53" s="104"/>
      <c r="R53" s="104"/>
      <c r="S53" s="210"/>
      <c r="T53" s="104">
        <v>10</v>
      </c>
      <c r="U53" s="104">
        <v>3</v>
      </c>
      <c r="V53" s="104">
        <f>SUM('[3]OH-242 Nov 2017'!O251)</f>
        <v>0</v>
      </c>
      <c r="W53" s="104">
        <f>SUM('[3]OH-242 Nov 2017'!P251)</f>
        <v>0</v>
      </c>
      <c r="X53" s="104">
        <f>SUM('[3]OH-242 Nov 2017'!Q251)</f>
        <v>0</v>
      </c>
      <c r="Y53" s="104"/>
      <c r="Z53" s="104">
        <f>SUM('[3]OH-242 Nov 2017'!R251)</f>
        <v>0</v>
      </c>
      <c r="AA53" s="210"/>
      <c r="AB53" s="104"/>
      <c r="AC53" s="104"/>
      <c r="AD53" s="104"/>
      <c r="AE53" s="104"/>
      <c r="AF53" s="104"/>
      <c r="AG53" s="104"/>
      <c r="AH53" s="104"/>
      <c r="AI53" s="210"/>
      <c r="AJ53" s="104">
        <v>24</v>
      </c>
      <c r="AK53" s="104">
        <v>1</v>
      </c>
      <c r="AL53" s="104">
        <v>4</v>
      </c>
      <c r="AM53" s="104">
        <v>3</v>
      </c>
      <c r="AN53" s="104">
        <v>10</v>
      </c>
      <c r="AO53" s="104">
        <v>20</v>
      </c>
      <c r="AP53" s="104">
        <v>67</v>
      </c>
      <c r="AQ53" s="104">
        <v>11</v>
      </c>
      <c r="AR53" s="104">
        <v>41</v>
      </c>
      <c r="AS53" s="104">
        <v>21</v>
      </c>
      <c r="AT53" s="104">
        <v>3</v>
      </c>
      <c r="AU53" s="104">
        <v>32</v>
      </c>
      <c r="AV53" s="104">
        <v>19</v>
      </c>
      <c r="AW53" s="104">
        <v>11</v>
      </c>
      <c r="AX53" s="104">
        <v>13</v>
      </c>
      <c r="AY53" s="104">
        <v>9</v>
      </c>
      <c r="AZ53" s="104">
        <v>10</v>
      </c>
      <c r="BA53" s="210"/>
      <c r="BB53" s="104">
        <v>1</v>
      </c>
      <c r="BC53" s="104">
        <v>11</v>
      </c>
      <c r="BD53" s="104">
        <v>2</v>
      </c>
      <c r="BE53" s="104">
        <f>SUM('[3]OH-242 Nov 2017'!AX251)</f>
        <v>0</v>
      </c>
      <c r="BF53" s="104">
        <v>1</v>
      </c>
      <c r="BG53" s="210"/>
      <c r="BH53" s="104">
        <v>15</v>
      </c>
      <c r="BI53" s="104">
        <v>3</v>
      </c>
      <c r="BJ53" s="210"/>
      <c r="BK53" s="104">
        <v>3</v>
      </c>
      <c r="BL53" s="104">
        <f>SUM('[3]OH-242 Nov 2017'!BG251)</f>
        <v>0</v>
      </c>
      <c r="BM53" s="104">
        <f>SUM('[3]OH-242 Nov 2017'!BH251)</f>
        <v>0</v>
      </c>
      <c r="BN53" s="104">
        <f>SUM('[3]OH-242 Nov 2017'!BI251)</f>
        <v>0</v>
      </c>
      <c r="BO53" s="104">
        <f>SUM('[3]OH-242 Nov 2017'!BJ251)</f>
        <v>0</v>
      </c>
      <c r="BP53" s="210"/>
      <c r="BQ53" s="104">
        <v>173</v>
      </c>
      <c r="BR53" s="104"/>
      <c r="BS53" s="104">
        <f>SUM('[3]OH-242 Nov 2017'!BR251)</f>
        <v>0</v>
      </c>
      <c r="BT53" s="104">
        <v>15</v>
      </c>
      <c r="BU53" s="104">
        <v>5398</v>
      </c>
      <c r="BV53" s="104">
        <v>14</v>
      </c>
      <c r="BW53" s="104">
        <v>14760</v>
      </c>
      <c r="BX53" s="104">
        <v>2</v>
      </c>
      <c r="BY53" s="104">
        <v>10</v>
      </c>
      <c r="BZ53" s="104">
        <v>4604</v>
      </c>
      <c r="CA53" s="9">
        <f>SUM('[3]OH-242 Nov 2017'!CD251)</f>
        <v>0</v>
      </c>
      <c r="CB53" s="9">
        <f>SUM('[3]OH-242 Nov 2017'!CE251)</f>
        <v>0</v>
      </c>
      <c r="CC53" s="9">
        <v>2</v>
      </c>
      <c r="CD53" s="210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04"/>
      <c r="DC53" s="104"/>
      <c r="DD53" s="104"/>
      <c r="DE53" s="104"/>
      <c r="DF53" s="104"/>
      <c r="DG53" s="104"/>
    </row>
    <row r="54" spans="1:114" s="104" customFormat="1">
      <c r="A54" s="103"/>
      <c r="B54" s="104" t="s">
        <v>1433</v>
      </c>
      <c r="C54" s="22" t="s">
        <v>1606</v>
      </c>
      <c r="D54" s="66">
        <v>3</v>
      </c>
      <c r="E54" s="104">
        <v>179</v>
      </c>
      <c r="F54" s="104">
        <v>407</v>
      </c>
      <c r="G54" s="104">
        <v>17</v>
      </c>
      <c r="H54" s="132">
        <v>1785</v>
      </c>
      <c r="I54" s="210"/>
      <c r="J54" s="104">
        <f>SUM('[3]OK-407 Jan 2019'!E418)</f>
        <v>0</v>
      </c>
      <c r="K54" s="104">
        <v>2</v>
      </c>
      <c r="L54" s="104">
        <v>3</v>
      </c>
      <c r="M54" s="104">
        <v>9</v>
      </c>
      <c r="S54" s="210"/>
      <c r="T54" s="104">
        <v>15</v>
      </c>
      <c r="U54" s="104">
        <f>SUM('[3]OK-407 Jan 2019'!N418)</f>
        <v>0</v>
      </c>
      <c r="V54" s="104">
        <f>SUM('[3]OK-407 Jan 2019'!O418)</f>
        <v>0</v>
      </c>
      <c r="W54" s="104">
        <f>SUM('[3]OK-407 Jan 2019'!P418)</f>
        <v>0</v>
      </c>
      <c r="X54" s="104">
        <f>SUM('[3]OK-407 Jan 2019'!Q418)</f>
        <v>0</v>
      </c>
      <c r="Z54" s="104">
        <f>SUM('[3]OK-407 Jan 2019'!R418)</f>
        <v>0</v>
      </c>
      <c r="AA54" s="210"/>
      <c r="AI54" s="210"/>
      <c r="AJ54" s="66">
        <v>21</v>
      </c>
      <c r="AK54" s="66">
        <v>13</v>
      </c>
      <c r="AL54" s="66">
        <v>2</v>
      </c>
      <c r="AM54" s="66">
        <v>8</v>
      </c>
      <c r="AN54" s="66">
        <v>13</v>
      </c>
      <c r="AO54" s="66">
        <v>42</v>
      </c>
      <c r="AP54" s="66">
        <v>81</v>
      </c>
      <c r="AQ54" s="66">
        <v>10</v>
      </c>
      <c r="AR54" s="66">
        <v>69</v>
      </c>
      <c r="AS54" s="66">
        <v>45</v>
      </c>
      <c r="AT54" s="66">
        <v>10</v>
      </c>
      <c r="AU54" s="66">
        <v>55</v>
      </c>
      <c r="AV54" s="66">
        <v>42</v>
      </c>
      <c r="AW54" s="66">
        <v>16</v>
      </c>
      <c r="AX54" s="66">
        <v>20</v>
      </c>
      <c r="AY54" s="66">
        <v>4</v>
      </c>
      <c r="AZ54" s="66">
        <v>23</v>
      </c>
      <c r="BA54" s="210"/>
      <c r="BB54" s="104">
        <f>SUM('[3]OK-407 Jan 2019'!AU418)</f>
        <v>0</v>
      </c>
      <c r="BC54" s="104">
        <v>15</v>
      </c>
      <c r="BD54" s="104">
        <v>1</v>
      </c>
      <c r="BE54" s="104">
        <f>SUM('[3]OK-407 Jan 2019'!AX418)</f>
        <v>0</v>
      </c>
      <c r="BF54" s="104">
        <v>1</v>
      </c>
      <c r="BG54" s="210"/>
      <c r="BH54" s="104">
        <v>17</v>
      </c>
      <c r="BI54" s="104">
        <v>4</v>
      </c>
      <c r="BJ54" s="210"/>
      <c r="BK54" s="104">
        <v>3</v>
      </c>
      <c r="BL54" s="104">
        <v>1</v>
      </c>
      <c r="BM54" s="104">
        <f>SUM('[3]OK-407 Jan 2019'!BH418)</f>
        <v>0</v>
      </c>
      <c r="BN54" s="104">
        <f>SUM('[3]OK-407 Jan 2019'!BI418)</f>
        <v>0</v>
      </c>
      <c r="BO54" s="104">
        <f>SUM('[3]OK-407 Jan 2019'!BJ418)</f>
        <v>0</v>
      </c>
      <c r="BP54" s="210"/>
      <c r="BQ54" s="66">
        <v>301</v>
      </c>
      <c r="BR54" s="66"/>
      <c r="BS54" s="66">
        <v>1</v>
      </c>
      <c r="BT54" s="66">
        <v>33</v>
      </c>
      <c r="BU54" s="66">
        <v>80563</v>
      </c>
      <c r="BV54" s="66">
        <v>21</v>
      </c>
      <c r="BW54" s="66">
        <v>42524</v>
      </c>
      <c r="BX54" s="66">
        <v>2</v>
      </c>
      <c r="BY54" s="104">
        <f>SUM('[3]OK-407 Jan 2019'!CA418)</f>
        <v>0</v>
      </c>
      <c r="BZ54" s="104">
        <f>SUM('[3]OK-407 Jan 2019'!CB418)</f>
        <v>0</v>
      </c>
      <c r="CA54" s="66">
        <f>SUM('[3]OK-407 Jan 2019'!CD418)</f>
        <v>0</v>
      </c>
      <c r="CB54" s="66">
        <f>SUM('[3]OK-407 Jan 2019'!CE418)</f>
        <v>0</v>
      </c>
      <c r="CC54" s="66">
        <v>1</v>
      </c>
      <c r="CD54" s="210"/>
    </row>
    <row r="55" spans="1:114" s="65" customFormat="1">
      <c r="A55" s="103"/>
      <c r="B55" s="104" t="s">
        <v>1434</v>
      </c>
      <c r="C55" s="22" t="s">
        <v>1607</v>
      </c>
      <c r="D55" s="104">
        <v>0</v>
      </c>
      <c r="E55" s="104">
        <v>25</v>
      </c>
      <c r="F55" s="104">
        <v>63</v>
      </c>
      <c r="G55" s="104">
        <v>4</v>
      </c>
      <c r="H55" s="104"/>
      <c r="I55" s="210"/>
      <c r="J55" s="104">
        <f>SUM('[3]OR-63 October 2018'!E73)</f>
        <v>0</v>
      </c>
      <c r="K55" s="104">
        <v>1</v>
      </c>
      <c r="L55" s="104">
        <v>2</v>
      </c>
      <c r="M55" s="104">
        <v>1</v>
      </c>
      <c r="N55" s="104"/>
      <c r="O55" s="104"/>
      <c r="P55" s="104"/>
      <c r="Q55" s="104"/>
      <c r="R55" s="104"/>
      <c r="S55" s="210"/>
      <c r="T55" s="104">
        <v>5</v>
      </c>
      <c r="U55" s="104">
        <f>SUM('[3]OR-63 October 2018'!N73)</f>
        <v>0</v>
      </c>
      <c r="V55" s="104">
        <f>SUM('[3]OR-63 October 2018'!O73)</f>
        <v>0</v>
      </c>
      <c r="W55" s="104">
        <f>SUM('[3]OR-63 October 2018'!P73)</f>
        <v>0</v>
      </c>
      <c r="X55" s="104">
        <f>SUM('[3]OR-63 October 2018'!Q73)</f>
        <v>0</v>
      </c>
      <c r="Y55" s="104"/>
      <c r="Z55" s="104">
        <f>SUM('[3]OR-63 October 2018'!R73)</f>
        <v>0</v>
      </c>
      <c r="AA55" s="210"/>
      <c r="AB55" s="104"/>
      <c r="AC55" s="104"/>
      <c r="AD55" s="104"/>
      <c r="AE55" s="104"/>
      <c r="AF55" s="104"/>
      <c r="AG55" s="104"/>
      <c r="AH55" s="104"/>
      <c r="AI55" s="210"/>
      <c r="AJ55" s="104">
        <v>60</v>
      </c>
      <c r="AK55" s="104">
        <v>2</v>
      </c>
      <c r="AL55" s="104">
        <f>SUM('[3]OR-63 October 2018'!W73)</f>
        <v>0</v>
      </c>
      <c r="AM55" s="104">
        <v>1</v>
      </c>
      <c r="AN55" s="104">
        <v>3</v>
      </c>
      <c r="AO55" s="104">
        <v>7</v>
      </c>
      <c r="AP55" s="104">
        <v>13</v>
      </c>
      <c r="AQ55" s="104">
        <v>8</v>
      </c>
      <c r="AR55" s="104">
        <v>8</v>
      </c>
      <c r="AS55" s="104">
        <v>5</v>
      </c>
      <c r="AT55" s="104">
        <v>4</v>
      </c>
      <c r="AU55" s="104">
        <v>13</v>
      </c>
      <c r="AV55" s="104">
        <v>4</v>
      </c>
      <c r="AW55" s="104">
        <v>1</v>
      </c>
      <c r="AX55" s="104">
        <v>5</v>
      </c>
      <c r="AY55" s="104">
        <v>4</v>
      </c>
      <c r="AZ55" s="104">
        <v>7</v>
      </c>
      <c r="BA55" s="210"/>
      <c r="BB55" s="104">
        <f>SUM('[3]OR-63 October 2018'!AU73)</f>
        <v>0</v>
      </c>
      <c r="BC55" s="104">
        <v>1</v>
      </c>
      <c r="BD55" s="104">
        <v>1</v>
      </c>
      <c r="BE55" s="104">
        <f>SUM('[3]OR-63 October 2018'!AX73)</f>
        <v>0</v>
      </c>
      <c r="BF55" s="104">
        <v>2</v>
      </c>
      <c r="BG55" s="210"/>
      <c r="BH55" s="104">
        <v>4</v>
      </c>
      <c r="BI55" s="104">
        <v>1</v>
      </c>
      <c r="BJ55" s="210"/>
      <c r="BK55" s="104">
        <v>1</v>
      </c>
      <c r="BL55" s="104">
        <f>SUM('[3]OR-63 October 2018'!BG73)</f>
        <v>0</v>
      </c>
      <c r="BM55" s="104">
        <f>SUM('[3]OR-63 October 2018'!BH73)</f>
        <v>0</v>
      </c>
      <c r="BN55" s="104">
        <f>SUM('[3]OR-63 October 2018'!BI73)</f>
        <v>0</v>
      </c>
      <c r="BO55" s="104">
        <f>SUM('[3]OR-63 October 2018'!BJ73)</f>
        <v>0</v>
      </c>
      <c r="BP55" s="210"/>
      <c r="BQ55" s="104">
        <v>48</v>
      </c>
      <c r="BR55" s="104"/>
      <c r="BS55" s="104">
        <f>SUM('[3]OR-63 October 2018'!BR73)</f>
        <v>0</v>
      </c>
      <c r="BT55" s="104">
        <v>2</v>
      </c>
      <c r="BU55" s="104">
        <v>473</v>
      </c>
      <c r="BV55" s="104">
        <v>3</v>
      </c>
      <c r="BW55" s="104">
        <v>3103</v>
      </c>
      <c r="BX55" s="104">
        <v>1</v>
      </c>
      <c r="BY55" s="104">
        <f>SUM('[3]OR-63 October 2018'!CA73)</f>
        <v>0</v>
      </c>
      <c r="BZ55" s="104">
        <f>SUM('[3]OR-63 October 2018'!CB73)</f>
        <v>0</v>
      </c>
      <c r="CA55" s="9">
        <f>SUM('[3]OR-63 October 2018'!CD73)</f>
        <v>0</v>
      </c>
      <c r="CB55" s="9">
        <f>SUM('[3]OR-63 October 2018'!CE73)</f>
        <v>0</v>
      </c>
      <c r="CC55" s="9">
        <f>SUM('[3]OR-63 October 2018'!BN73)</f>
        <v>0</v>
      </c>
      <c r="CD55" s="210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  <c r="CW55" s="104"/>
      <c r="CX55" s="104"/>
      <c r="CY55" s="104"/>
      <c r="CZ55" s="104"/>
      <c r="DA55" s="104"/>
      <c r="DB55" s="104"/>
      <c r="DC55" s="104"/>
      <c r="DD55" s="104"/>
      <c r="DE55" s="104"/>
      <c r="DF55" s="104"/>
      <c r="DG55" s="104"/>
      <c r="DH55" s="66"/>
      <c r="DI55" s="66"/>
      <c r="DJ55" s="66"/>
    </row>
    <row r="56" spans="1:114" s="65" customFormat="1">
      <c r="A56" s="103"/>
      <c r="B56" s="66" t="s">
        <v>1435</v>
      </c>
      <c r="C56" s="22" t="s">
        <v>1608</v>
      </c>
      <c r="D56" s="66">
        <v>2</v>
      </c>
      <c r="E56" s="104">
        <v>6</v>
      </c>
      <c r="F56" s="104">
        <v>58</v>
      </c>
      <c r="G56" s="104">
        <v>7</v>
      </c>
      <c r="H56" s="104"/>
      <c r="I56" s="210"/>
      <c r="J56" s="104">
        <v>3</v>
      </c>
      <c r="K56" s="104">
        <v>3</v>
      </c>
      <c r="L56" s="104">
        <v>1</v>
      </c>
      <c r="M56" s="104">
        <f>SUM('[3]PA-58 Jan 2019'!H69)</f>
        <v>0</v>
      </c>
      <c r="N56" s="104"/>
      <c r="O56" s="104"/>
      <c r="P56" s="104"/>
      <c r="Q56" s="104"/>
      <c r="R56" s="104"/>
      <c r="S56" s="210"/>
      <c r="T56" s="104">
        <f>SUM('[3]PA-58 Jan 2019'!M69)</f>
        <v>0</v>
      </c>
      <c r="U56" s="104">
        <v>7</v>
      </c>
      <c r="V56" s="104">
        <f>SUM('[3]PA-58 Jan 2019'!O69)</f>
        <v>0</v>
      </c>
      <c r="W56" s="104">
        <f>SUM('[3]PA-58 Jan 2019'!P69)</f>
        <v>0</v>
      </c>
      <c r="X56" s="104">
        <f>SUM('[3]PA-58 Jan 2019'!Q69)</f>
        <v>0</v>
      </c>
      <c r="Y56" s="104"/>
      <c r="Z56" s="104">
        <f>SUM('[3]PA-58 Jan 2019'!R69)</f>
        <v>0</v>
      </c>
      <c r="AA56" s="210"/>
      <c r="AB56" s="104"/>
      <c r="AC56" s="104"/>
      <c r="AD56" s="104"/>
      <c r="AE56" s="104"/>
      <c r="AF56" s="104"/>
      <c r="AG56" s="104"/>
      <c r="AH56" s="104"/>
      <c r="AI56" s="210"/>
      <c r="AJ56" s="104">
        <v>12</v>
      </c>
      <c r="AK56" s="104">
        <f>SUM('[3]PA-58 Jan 2019'!V69)</f>
        <v>0</v>
      </c>
      <c r="AL56" s="104">
        <v>1</v>
      </c>
      <c r="AM56" s="104">
        <f>SUM('[3]PA-58 Jan 2019'!X69)</f>
        <v>0</v>
      </c>
      <c r="AN56" s="104">
        <v>3</v>
      </c>
      <c r="AO56" s="104">
        <v>10</v>
      </c>
      <c r="AP56" s="104">
        <v>21</v>
      </c>
      <c r="AQ56" s="104">
        <f>SUM('[3]PA-58 Jan 2019'!AB69)</f>
        <v>0</v>
      </c>
      <c r="AR56" s="104">
        <v>3</v>
      </c>
      <c r="AS56" s="104">
        <v>4</v>
      </c>
      <c r="AT56" s="104">
        <v>1</v>
      </c>
      <c r="AU56" s="104">
        <v>2</v>
      </c>
      <c r="AV56" s="104">
        <v>6</v>
      </c>
      <c r="AW56" s="104">
        <f>SUM('[3]PA-58 Jan 2019'!AH69)</f>
        <v>0</v>
      </c>
      <c r="AX56" s="104">
        <v>2</v>
      </c>
      <c r="AY56" s="104">
        <f>SUM('[3]PA-58 Jan 2019'!AJ69)</f>
        <v>0</v>
      </c>
      <c r="AZ56" s="104">
        <v>1</v>
      </c>
      <c r="BA56" s="210"/>
      <c r="BB56" s="104">
        <f>SUM('[3]PA-58 Jan 2019'!AU69)</f>
        <v>0</v>
      </c>
      <c r="BC56" s="104">
        <v>3</v>
      </c>
      <c r="BD56" s="104">
        <v>4</v>
      </c>
      <c r="BE56" s="104">
        <f>SUM('[3]PA-58 Jan 2019'!AX69)</f>
        <v>0</v>
      </c>
      <c r="BF56" s="104">
        <f>SUM('[3]PA-58 Jan 2019'!AY69)</f>
        <v>0</v>
      </c>
      <c r="BG56" s="210"/>
      <c r="BH56" s="104">
        <v>7</v>
      </c>
      <c r="BI56" s="104">
        <v>2</v>
      </c>
      <c r="BJ56" s="210"/>
      <c r="BK56" s="104">
        <v>2</v>
      </c>
      <c r="BL56" s="104">
        <f>SUM('[3]PA-58 Jan 2019'!BG69)</f>
        <v>0</v>
      </c>
      <c r="BM56" s="104">
        <f>SUM('[3]PA-58 Jan 2019'!BH69)</f>
        <v>0</v>
      </c>
      <c r="BN56" s="104">
        <f>SUM('[3]PA-58 Jan 2019'!BI69)</f>
        <v>0</v>
      </c>
      <c r="BO56" s="104">
        <f>SUM('[3]PA-58 Jan 2019'!BJ69)</f>
        <v>0</v>
      </c>
      <c r="BP56" s="210"/>
      <c r="BQ56" s="104">
        <v>17</v>
      </c>
      <c r="BR56" s="104"/>
      <c r="BS56" s="104">
        <f>SUM('[3]PA-58 Jan 2019'!BR69)</f>
        <v>0</v>
      </c>
      <c r="BT56" s="104">
        <f>SUM('[3]PA-58 Jan 2019'!BS69)</f>
        <v>0</v>
      </c>
      <c r="BU56" s="104">
        <f>SUM('[3]PA-58 Jan 2019'!BT69)</f>
        <v>0</v>
      </c>
      <c r="BV56" s="104">
        <f>SUM('[3]PA-58 Jan 2019'!BV69)</f>
        <v>0</v>
      </c>
      <c r="BW56" s="104">
        <f>SUM('[3]PA-58 Jan 2019'!BW69)</f>
        <v>0</v>
      </c>
      <c r="BX56" s="104">
        <f>SUM('[3]PA-58 Jan 2019'!BY69)</f>
        <v>0</v>
      </c>
      <c r="BY56" s="104">
        <f>SUM('[3]PA-58 Jan 2019'!CA69)</f>
        <v>0</v>
      </c>
      <c r="BZ56" s="104">
        <f>SUM('[3]PA-58 Jan 2019'!CB69)</f>
        <v>0</v>
      </c>
      <c r="CA56" s="66">
        <f>SUM('[3]PA-58 Jan 2019'!CD69)</f>
        <v>0</v>
      </c>
      <c r="CB56" s="66">
        <f>SUM('[3]PA-58 Jan 2019'!CE69)</f>
        <v>0</v>
      </c>
      <c r="CC56" s="66">
        <f>SUM('[3]PA-58 Jan 2019'!BN69)</f>
        <v>0</v>
      </c>
      <c r="CD56" s="210"/>
      <c r="CE56" s="104"/>
      <c r="CF56" s="104"/>
      <c r="CG56" s="104"/>
      <c r="CH56" s="104"/>
      <c r="CI56" s="104"/>
      <c r="CJ56" s="104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104"/>
      <c r="CW56" s="104"/>
      <c r="CX56" s="104"/>
      <c r="CY56" s="104"/>
      <c r="CZ56" s="104"/>
      <c r="DA56" s="104"/>
      <c r="DB56" s="104"/>
      <c r="DC56" s="104"/>
      <c r="DD56" s="104"/>
      <c r="DE56" s="104"/>
      <c r="DF56" s="104"/>
      <c r="DG56" s="104"/>
      <c r="DH56" s="104"/>
      <c r="DI56" s="104"/>
      <c r="DJ56" s="104"/>
    </row>
    <row r="57" spans="1:114" s="104" customFormat="1">
      <c r="A57" s="162"/>
      <c r="B57" s="66" t="s">
        <v>1438</v>
      </c>
      <c r="C57" s="22" t="s">
        <v>1609</v>
      </c>
      <c r="D57" s="66">
        <v>11</v>
      </c>
      <c r="E57" s="104">
        <v>597</v>
      </c>
      <c r="F57" s="104">
        <v>1130</v>
      </c>
      <c r="G57" s="104">
        <v>30</v>
      </c>
      <c r="I57" s="210"/>
      <c r="J57" s="104">
        <v>1</v>
      </c>
      <c r="K57" s="104">
        <v>5</v>
      </c>
      <c r="L57" s="104">
        <v>7</v>
      </c>
      <c r="M57" s="104">
        <v>19</v>
      </c>
      <c r="S57" s="210"/>
      <c r="T57" s="104">
        <v>27</v>
      </c>
      <c r="U57" s="104">
        <v>2</v>
      </c>
      <c r="V57" s="104">
        <f>SUM('[3]SC-1130 April 2019'!O1139)</f>
        <v>0</v>
      </c>
      <c r="W57" s="104">
        <f>SUM('[3]SC-1130 April 2019'!P1139)</f>
        <v>0</v>
      </c>
      <c r="X57" s="104">
        <v>3</v>
      </c>
      <c r="Z57" s="104">
        <f>SUM('[3]SC-1130 April 2019'!R1139)</f>
        <v>0</v>
      </c>
      <c r="AA57" s="210"/>
      <c r="AI57" s="210"/>
      <c r="AJ57" s="104">
        <v>48</v>
      </c>
      <c r="AK57" s="104">
        <v>35</v>
      </c>
      <c r="AL57" s="104">
        <v>8</v>
      </c>
      <c r="AM57" s="104">
        <v>21</v>
      </c>
      <c r="AN57" s="104">
        <v>38</v>
      </c>
      <c r="AO57" s="104">
        <v>160</v>
      </c>
      <c r="AP57" s="104">
        <v>249</v>
      </c>
      <c r="AQ57" s="104">
        <v>34</v>
      </c>
      <c r="AR57" s="104">
        <v>180</v>
      </c>
      <c r="AS57" s="104">
        <v>90</v>
      </c>
      <c r="AT57" s="104">
        <v>20</v>
      </c>
      <c r="AU57" s="104">
        <v>96</v>
      </c>
      <c r="AV57" s="104">
        <v>107</v>
      </c>
      <c r="AW57" s="104">
        <v>45</v>
      </c>
      <c r="AX57" s="104">
        <v>115</v>
      </c>
      <c r="AY57" s="104">
        <v>18</v>
      </c>
      <c r="AZ57" s="104">
        <v>37</v>
      </c>
      <c r="BA57" s="210"/>
      <c r="BB57" s="104">
        <f>SUM('[3]SC-1130 April 2019'!AU1139)</f>
        <v>0</v>
      </c>
      <c r="BC57" s="104">
        <v>24</v>
      </c>
      <c r="BD57" s="104">
        <v>1</v>
      </c>
      <c r="BE57" s="104">
        <v>4</v>
      </c>
      <c r="BF57" s="104">
        <v>2</v>
      </c>
      <c r="BG57" s="210"/>
      <c r="BH57" s="104">
        <v>30</v>
      </c>
      <c r="BI57" s="104">
        <v>7</v>
      </c>
      <c r="BJ57" s="210"/>
      <c r="BK57" s="104">
        <v>5</v>
      </c>
      <c r="BL57" s="104">
        <f>SUM('[3]SC-1130 April 2019'!BG1139)</f>
        <v>0</v>
      </c>
      <c r="BM57" s="104">
        <v>2</v>
      </c>
      <c r="BN57" s="104">
        <f>SUM('[3]SC-1130 April 2019'!BI1139)</f>
        <v>0</v>
      </c>
      <c r="BO57" s="104">
        <f>SUM('[3]SC-1130 April 2019'!BJ1139)</f>
        <v>0</v>
      </c>
      <c r="BP57" s="210"/>
      <c r="BQ57" s="104">
        <v>988</v>
      </c>
      <c r="BS57" s="104">
        <f>SUM('[3]SC-1130 April 2019'!BR1139)</f>
        <v>0</v>
      </c>
      <c r="BT57" s="104">
        <v>20</v>
      </c>
      <c r="BU57" s="104">
        <v>7246</v>
      </c>
      <c r="BV57" s="104">
        <v>13</v>
      </c>
      <c r="BW57" s="104">
        <v>18124</v>
      </c>
      <c r="BX57" s="104">
        <v>1</v>
      </c>
      <c r="BY57" s="104">
        <v>1</v>
      </c>
      <c r="BZ57" s="104">
        <v>264</v>
      </c>
      <c r="CA57" s="104">
        <v>1</v>
      </c>
      <c r="CB57" s="104">
        <v>217</v>
      </c>
      <c r="CC57" s="104">
        <f>SUM('[3]SC-1130 April 2019'!BN1139)</f>
        <v>0</v>
      </c>
      <c r="CD57" s="210"/>
    </row>
    <row r="58" spans="1:114" s="104" customFormat="1">
      <c r="A58" s="162"/>
      <c r="B58" s="104" t="s">
        <v>1439</v>
      </c>
      <c r="C58" s="22" t="s">
        <v>1578</v>
      </c>
      <c r="D58" s="104">
        <v>1</v>
      </c>
      <c r="E58" s="104">
        <v>36</v>
      </c>
      <c r="F58" s="104">
        <v>75</v>
      </c>
      <c r="G58" s="104">
        <v>2</v>
      </c>
      <c r="I58" s="210"/>
      <c r="J58" s="104">
        <f>SUM('[3]SD-75 July 2018'!E90)</f>
        <v>0</v>
      </c>
      <c r="K58" s="104">
        <f>SUM('[3]SD-75 July 2018'!F90)</f>
        <v>0</v>
      </c>
      <c r="L58" s="104">
        <f>SUM('[3]SD-75 July 2018'!G90)</f>
        <v>0</v>
      </c>
      <c r="M58" s="104">
        <v>2</v>
      </c>
      <c r="S58" s="210"/>
      <c r="T58" s="104">
        <v>2</v>
      </c>
      <c r="U58" s="104">
        <f>SUM('[3]SD-75 July 2018'!N90)</f>
        <v>0</v>
      </c>
      <c r="V58" s="104">
        <f>SUM('[3]SD-75 July 2018'!O90)</f>
        <v>0</v>
      </c>
      <c r="W58" s="104">
        <f>SUM('[3]SD-75 July 2018'!P90)</f>
        <v>0</v>
      </c>
      <c r="X58" s="104">
        <f>SUM('[3]SD-75 July 2018'!Q90)</f>
        <v>0</v>
      </c>
      <c r="Z58" s="104">
        <f>SUM('[3]SD-75 July 2018'!R90)</f>
        <v>0</v>
      </c>
      <c r="AA58" s="210"/>
      <c r="AI58" s="210"/>
      <c r="AJ58" s="104">
        <v>4</v>
      </c>
      <c r="AK58" s="104">
        <v>6</v>
      </c>
      <c r="AL58" s="104">
        <f>SUM('[3]SD-75 July 2018'!W90)</f>
        <v>0</v>
      </c>
      <c r="AM58" s="104">
        <v>1</v>
      </c>
      <c r="AN58" s="104">
        <v>1</v>
      </c>
      <c r="AO58" s="104">
        <v>6</v>
      </c>
      <c r="AP58" s="104">
        <v>16</v>
      </c>
      <c r="AQ58" s="104">
        <f>SUM('[3]SD-75 July 2018'!AB90)</f>
        <v>0</v>
      </c>
      <c r="AR58" s="104">
        <v>12</v>
      </c>
      <c r="AS58" s="104">
        <v>8</v>
      </c>
      <c r="AT58" s="104">
        <v>2</v>
      </c>
      <c r="AU58" s="104">
        <v>6</v>
      </c>
      <c r="AV58" s="104">
        <v>6</v>
      </c>
      <c r="AW58" s="104">
        <v>3</v>
      </c>
      <c r="AX58" s="104">
        <v>7</v>
      </c>
      <c r="AY58" s="104">
        <f>SUM('[3]SD-75 July 2018'!AJ90)</f>
        <v>0</v>
      </c>
      <c r="AZ58" s="104">
        <v>1</v>
      </c>
      <c r="BA58" s="210"/>
      <c r="BB58" s="104">
        <f>SUM('[3]SD-75 July 2018'!AU90)</f>
        <v>0</v>
      </c>
      <c r="BC58" s="104">
        <v>2</v>
      </c>
      <c r="BD58" s="104">
        <f>SUM('[3]SD-75 July 2018'!AW90)</f>
        <v>0</v>
      </c>
      <c r="BE58" s="104">
        <f>SUM('[3]SD-75 July 2018'!AX90)</f>
        <v>0</v>
      </c>
      <c r="BF58" s="104">
        <f>SUM('[3]SD-75 July 2018'!AY90)</f>
        <v>0</v>
      </c>
      <c r="BG58" s="210"/>
      <c r="BH58" s="104">
        <v>2</v>
      </c>
      <c r="BI58" s="104">
        <v>2</v>
      </c>
      <c r="BJ58" s="210"/>
      <c r="BK58" s="104">
        <f>SUM('[3]SD-75 July 2018'!BF90)</f>
        <v>0</v>
      </c>
      <c r="BL58" s="104">
        <v>1</v>
      </c>
      <c r="BM58" s="104">
        <f>SUM('[3]SD-75 July 2018'!BH90)</f>
        <v>0</v>
      </c>
      <c r="BN58" s="104">
        <v>1</v>
      </c>
      <c r="BO58" s="104">
        <v>1</v>
      </c>
      <c r="BP58" s="210"/>
      <c r="BQ58" s="104">
        <v>28</v>
      </c>
      <c r="BS58" s="104">
        <f>SUM('[3]SD-75 July 2018'!BR90)</f>
        <v>0</v>
      </c>
      <c r="BT58" s="104">
        <f>SUM('[3]SD-75 July 2018'!BS90)</f>
        <v>0</v>
      </c>
      <c r="BU58" s="104">
        <f>SUM('[3]SD-75 July 2018'!BT90)</f>
        <v>0</v>
      </c>
      <c r="BV58" s="104">
        <f>SUM('[3]SD-75 July 2018'!BV90)</f>
        <v>0</v>
      </c>
      <c r="BW58" s="104">
        <f>SUM('[3]SD-75 July 2018'!BW90)</f>
        <v>0</v>
      </c>
      <c r="BX58" s="66">
        <f>SUM('[3]SD-75 July 2018'!BY90)</f>
        <v>0</v>
      </c>
      <c r="BY58" s="9">
        <f>SUM('[3]SD-75 July 2018'!CA90)</f>
        <v>0</v>
      </c>
      <c r="BZ58" s="9">
        <f>SUM('[3]SD-75 July 2018'!CB90)</f>
        <v>0</v>
      </c>
      <c r="CA58" s="9">
        <f>SUM('[3]SD-75 July 2018'!CD90)</f>
        <v>0</v>
      </c>
      <c r="CB58" s="9">
        <f>SUM('[3]SD-75 July 2018'!CE90)</f>
        <v>0</v>
      </c>
      <c r="CC58" s="9">
        <f>SUM('[3]SD-75 July 2018'!BN90)</f>
        <v>0</v>
      </c>
      <c r="CD58" s="210"/>
    </row>
    <row r="59" spans="1:114" s="104" customFormat="1">
      <c r="A59" s="103"/>
      <c r="B59" s="104" t="s">
        <v>1440</v>
      </c>
      <c r="C59" s="22" t="s">
        <v>1610</v>
      </c>
      <c r="D59" s="104">
        <v>14</v>
      </c>
      <c r="E59" s="104">
        <v>675</v>
      </c>
      <c r="F59" s="104">
        <v>1509</v>
      </c>
      <c r="G59" s="104">
        <v>44</v>
      </c>
      <c r="H59" s="132">
        <v>3000</v>
      </c>
      <c r="I59" s="210"/>
      <c r="J59" s="104">
        <v>2</v>
      </c>
      <c r="K59" s="104">
        <v>7</v>
      </c>
      <c r="L59" s="104">
        <v>8</v>
      </c>
      <c r="M59" s="104">
        <v>26</v>
      </c>
      <c r="S59" s="210"/>
      <c r="T59" s="104">
        <v>37</v>
      </c>
      <c r="U59" s="104">
        <v>3</v>
      </c>
      <c r="V59" s="104">
        <f>SUM('[3]TN-1509 Jan 2020'!O1519)</f>
        <v>0</v>
      </c>
      <c r="W59" s="104">
        <f>SUM('[3]TN-1509 Jan 2020'!P1519)</f>
        <v>0</v>
      </c>
      <c r="X59" s="104">
        <v>3</v>
      </c>
      <c r="Z59" s="104">
        <f>SUM('[3]TN-1509 Jan 2020'!R1519)</f>
        <v>0</v>
      </c>
      <c r="AA59" s="210"/>
      <c r="AI59" s="210"/>
      <c r="AJ59" s="104">
        <v>64</v>
      </c>
      <c r="AK59" s="104">
        <v>37</v>
      </c>
      <c r="AL59" s="104">
        <v>16</v>
      </c>
      <c r="AM59" s="104">
        <v>19</v>
      </c>
      <c r="AN59" s="104">
        <v>54</v>
      </c>
      <c r="AO59" s="104">
        <v>150</v>
      </c>
      <c r="AP59" s="104">
        <v>313</v>
      </c>
      <c r="AQ59" s="104">
        <v>58</v>
      </c>
      <c r="AR59" s="104">
        <v>265</v>
      </c>
      <c r="AS59" s="104">
        <v>140</v>
      </c>
      <c r="AT59" s="104">
        <v>47</v>
      </c>
      <c r="AU59" s="104">
        <v>166</v>
      </c>
      <c r="AV59" s="104">
        <v>152</v>
      </c>
      <c r="AW59" s="104">
        <v>67</v>
      </c>
      <c r="AX59" s="104">
        <v>121</v>
      </c>
      <c r="AY59" s="104">
        <v>39</v>
      </c>
      <c r="AZ59" s="104">
        <v>85</v>
      </c>
      <c r="BA59" s="210"/>
      <c r="BB59" s="104">
        <f>SUM('[3]TN-1509 Jan 2020'!AU1519)</f>
        <v>0</v>
      </c>
      <c r="BC59" s="104">
        <v>35</v>
      </c>
      <c r="BD59" s="104">
        <v>3</v>
      </c>
      <c r="BE59" s="104">
        <v>6</v>
      </c>
      <c r="BF59" s="104">
        <f>SUM('[3]TN-1509 Jan 2020'!AY1519)</f>
        <v>0</v>
      </c>
      <c r="BG59" s="210"/>
      <c r="BH59" s="104">
        <v>44</v>
      </c>
      <c r="BI59" s="104">
        <v>17</v>
      </c>
      <c r="BJ59" s="210"/>
      <c r="BK59" s="104">
        <v>13</v>
      </c>
      <c r="BL59" s="104">
        <v>4</v>
      </c>
      <c r="BM59" s="104">
        <f>SUM('[3]TN-1509 Jan 2020'!BH1519)</f>
        <v>0</v>
      </c>
      <c r="BN59" s="104">
        <v>2</v>
      </c>
      <c r="BO59" s="104">
        <v>1</v>
      </c>
      <c r="BP59" s="210"/>
      <c r="BQ59" s="104">
        <v>1276</v>
      </c>
      <c r="BS59" s="104">
        <v>16</v>
      </c>
      <c r="BT59" s="104">
        <v>192</v>
      </c>
      <c r="BU59" s="104">
        <v>330600</v>
      </c>
      <c r="BV59" s="104">
        <v>218</v>
      </c>
      <c r="BW59" s="104">
        <v>293174</v>
      </c>
      <c r="BX59" s="104">
        <v>30</v>
      </c>
      <c r="BY59" s="104">
        <v>76</v>
      </c>
      <c r="BZ59" s="104">
        <v>96705</v>
      </c>
      <c r="CA59" s="104">
        <v>5</v>
      </c>
      <c r="CB59" s="104">
        <v>2048</v>
      </c>
      <c r="CC59" s="104">
        <v>9</v>
      </c>
      <c r="CD59" s="210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5"/>
      <c r="DI59" s="65"/>
      <c r="DJ59" s="65"/>
    </row>
    <row r="60" spans="1:114" s="104" customFormat="1">
      <c r="A60" s="103"/>
      <c r="B60" s="104" t="s">
        <v>1441</v>
      </c>
      <c r="C60" s="163" t="s">
        <v>1611</v>
      </c>
      <c r="D60" s="104">
        <v>30</v>
      </c>
      <c r="E60" s="104">
        <v>1741</v>
      </c>
      <c r="F60" s="104">
        <v>4319</v>
      </c>
      <c r="G60" s="104">
        <v>155</v>
      </c>
      <c r="H60" s="104">
        <v>2652</v>
      </c>
      <c r="I60" s="210"/>
      <c r="J60" s="104">
        <v>18</v>
      </c>
      <c r="K60" s="104">
        <v>13</v>
      </c>
      <c r="L60" s="104">
        <v>24</v>
      </c>
      <c r="M60" s="104">
        <v>92</v>
      </c>
      <c r="S60" s="210"/>
      <c r="T60" s="104">
        <v>109</v>
      </c>
      <c r="U60" s="104">
        <v>29</v>
      </c>
      <c r="V60" s="104">
        <v>2</v>
      </c>
      <c r="W60" s="104">
        <v>2</v>
      </c>
      <c r="X60" s="104">
        <v>5</v>
      </c>
      <c r="Z60" s="104">
        <f>SUM('[3]TX-4319 Sept 2018'!R4333)</f>
        <v>0</v>
      </c>
      <c r="AA60" s="210"/>
      <c r="AI60" s="210"/>
      <c r="AJ60" s="104">
        <v>509</v>
      </c>
      <c r="AK60" s="104">
        <v>97</v>
      </c>
      <c r="AL60" s="104">
        <v>26</v>
      </c>
      <c r="AM60" s="104">
        <v>78</v>
      </c>
      <c r="AN60" s="104">
        <v>188</v>
      </c>
      <c r="AO60" s="104">
        <v>448</v>
      </c>
      <c r="AP60" s="104">
        <v>894</v>
      </c>
      <c r="AQ60" s="104">
        <v>140</v>
      </c>
      <c r="AR60" s="104">
        <v>704</v>
      </c>
      <c r="AS60" s="104">
        <v>356</v>
      </c>
      <c r="AT60" s="104">
        <v>114</v>
      </c>
      <c r="AU60" s="104">
        <v>499</v>
      </c>
      <c r="AV60" s="104">
        <v>409</v>
      </c>
      <c r="AW60" s="104">
        <v>153</v>
      </c>
      <c r="AX60" s="104">
        <v>296</v>
      </c>
      <c r="AY60" s="104">
        <v>91</v>
      </c>
      <c r="AZ60" s="104">
        <v>227</v>
      </c>
      <c r="BA60" s="210"/>
      <c r="BB60" s="104">
        <v>8</v>
      </c>
      <c r="BC60" s="104">
        <v>114</v>
      </c>
      <c r="BD60" s="104">
        <v>16</v>
      </c>
      <c r="BE60" s="104">
        <v>18</v>
      </c>
      <c r="BF60" s="104">
        <v>3</v>
      </c>
      <c r="BG60" s="210"/>
      <c r="BH60" s="104">
        <v>155</v>
      </c>
      <c r="BI60" s="104">
        <v>46</v>
      </c>
      <c r="BJ60" s="210"/>
      <c r="BK60" s="104">
        <v>38</v>
      </c>
      <c r="BL60" s="104">
        <v>8</v>
      </c>
      <c r="BM60" s="104">
        <f>SUM('[3]TX-4319 Sept 2018'!BH4333)</f>
        <v>0</v>
      </c>
      <c r="BN60" s="104">
        <f>SUM('[3]TX-4319 Sept 2018'!BI4333)</f>
        <v>0</v>
      </c>
      <c r="BO60" s="104">
        <f>SUM('[3]TX-4319 Sept 2018'!BJ4333)</f>
        <v>0</v>
      </c>
      <c r="BP60" s="210"/>
      <c r="BQ60" s="104">
        <v>3396</v>
      </c>
      <c r="BS60" s="104">
        <v>12</v>
      </c>
      <c r="BT60" s="104">
        <v>210</v>
      </c>
      <c r="BU60" s="104">
        <v>693967</v>
      </c>
      <c r="BV60" s="104">
        <v>147</v>
      </c>
      <c r="BW60" s="104">
        <v>266307</v>
      </c>
      <c r="BX60" s="104">
        <v>19</v>
      </c>
      <c r="BY60" s="104">
        <v>26</v>
      </c>
      <c r="BZ60" s="104">
        <v>18143</v>
      </c>
      <c r="CA60" s="104">
        <v>4</v>
      </c>
      <c r="CB60" s="104">
        <v>2275</v>
      </c>
      <c r="CC60" s="104">
        <f>SUM('[3]TX-4319 Sept 2018'!BN4333)</f>
        <v>0</v>
      </c>
      <c r="CD60" s="210"/>
      <c r="DH60" s="66"/>
      <c r="DI60" s="66"/>
      <c r="DJ60" s="66"/>
    </row>
    <row r="61" spans="1:114" s="104" customFormat="1">
      <c r="A61" s="103"/>
      <c r="C61" s="164" t="s">
        <v>1612</v>
      </c>
      <c r="H61" s="104">
        <v>4354</v>
      </c>
      <c r="I61" s="210"/>
      <c r="S61" s="210"/>
      <c r="AA61" s="210"/>
      <c r="AI61" s="210"/>
      <c r="BA61" s="210"/>
      <c r="BG61" s="210"/>
      <c r="BJ61" s="210"/>
      <c r="BP61" s="210"/>
      <c r="CD61" s="210"/>
      <c r="DH61" s="66"/>
      <c r="DI61" s="66"/>
      <c r="DJ61" s="66"/>
    </row>
    <row r="62" spans="1:114" s="65" customFormat="1">
      <c r="A62" s="103"/>
      <c r="B62" s="104" t="s">
        <v>1442</v>
      </c>
      <c r="C62" s="22" t="s">
        <v>1592</v>
      </c>
      <c r="D62" s="104">
        <v>0</v>
      </c>
      <c r="E62" s="104">
        <v>11</v>
      </c>
      <c r="F62" s="104">
        <v>20</v>
      </c>
      <c r="G62" s="104">
        <v>1</v>
      </c>
      <c r="H62" s="104"/>
      <c r="I62" s="210"/>
      <c r="J62" s="104">
        <f>SUM('[3]UT-20 July 2018'!E29)</f>
        <v>0</v>
      </c>
      <c r="K62" s="104">
        <f>SUM('[3]UT-20 July 2018'!F29)</f>
        <v>0</v>
      </c>
      <c r="L62" s="104">
        <v>1</v>
      </c>
      <c r="M62" s="104">
        <f>SUM('[3]UT-20 July 2018'!H29)</f>
        <v>0</v>
      </c>
      <c r="N62" s="104"/>
      <c r="O62" s="104"/>
      <c r="P62" s="104"/>
      <c r="Q62" s="104"/>
      <c r="R62" s="104"/>
      <c r="S62" s="210"/>
      <c r="T62" s="104">
        <v>1</v>
      </c>
      <c r="U62" s="104">
        <f>SUM('[3]UT-20 July 2018'!N29)</f>
        <v>0</v>
      </c>
      <c r="V62" s="104">
        <f>SUM('[3]UT-20 July 2018'!O29)</f>
        <v>0</v>
      </c>
      <c r="W62" s="104">
        <f>SUM('[3]UT-20 July 2018'!P29)</f>
        <v>0</v>
      </c>
      <c r="X62" s="104">
        <f>SUM('[3]UT-20 July 2018'!Q29)</f>
        <v>0</v>
      </c>
      <c r="Y62" s="104"/>
      <c r="Z62" s="104">
        <f>SUM('[3]UT-20 July 2018'!R29)</f>
        <v>0</v>
      </c>
      <c r="AA62" s="210"/>
      <c r="AB62" s="104"/>
      <c r="AC62" s="104"/>
      <c r="AD62" s="104"/>
      <c r="AE62" s="104"/>
      <c r="AF62" s="104"/>
      <c r="AG62" s="104"/>
      <c r="AH62" s="104"/>
      <c r="AI62" s="210"/>
      <c r="AJ62" s="104">
        <v>2</v>
      </c>
      <c r="AK62" s="104">
        <v>1</v>
      </c>
      <c r="AL62" s="104">
        <f>SUM('[3]UT-20 July 2018'!W29)</f>
        <v>0</v>
      </c>
      <c r="AM62" s="104">
        <f>SUM('[3]UT-20 July 2018'!X29)</f>
        <v>0</v>
      </c>
      <c r="AN62" s="104">
        <v>1</v>
      </c>
      <c r="AO62" s="104">
        <v>3</v>
      </c>
      <c r="AP62" s="104">
        <v>6</v>
      </c>
      <c r="AQ62" s="104">
        <f>SUM('[3]UT-20 July 2018'!AB29)</f>
        <v>0</v>
      </c>
      <c r="AR62" s="104">
        <v>4</v>
      </c>
      <c r="AS62" s="104">
        <v>1</v>
      </c>
      <c r="AT62" s="104">
        <f>SUM('[3]UT-20 July 2018'!AE29)</f>
        <v>0</v>
      </c>
      <c r="AU62" s="104">
        <f>SUM('[3]UT-20 July 2018'!AF29)</f>
        <v>4</v>
      </c>
      <c r="AV62" s="104">
        <f>SUM('[3]UT-20 July 2018'!AG29)</f>
        <v>0</v>
      </c>
      <c r="AW62" s="104">
        <v>1</v>
      </c>
      <c r="AX62" s="104">
        <v>2</v>
      </c>
      <c r="AY62" s="104">
        <f>SUM('[3]UT-20 July 2018'!AJ29)</f>
        <v>0</v>
      </c>
      <c r="AZ62" s="104">
        <v>2</v>
      </c>
      <c r="BA62" s="210"/>
      <c r="BB62" s="104">
        <f>SUM('[3]UT-20 July 2018'!AU29)</f>
        <v>0</v>
      </c>
      <c r="BC62" s="104">
        <v>1</v>
      </c>
      <c r="BD62" s="104">
        <f>SUM('[3]UT-20 July 2018'!AW29)</f>
        <v>0</v>
      </c>
      <c r="BE62" s="104">
        <f>SUM('[3]UT-20 July 2018'!AX29)</f>
        <v>0</v>
      </c>
      <c r="BF62" s="104">
        <f>SUM('[3]UT-20 July 2018'!AY29)</f>
        <v>0</v>
      </c>
      <c r="BG62" s="210"/>
      <c r="BH62" s="104">
        <v>1</v>
      </c>
      <c r="BI62" s="104">
        <f>SUM('[3]UT-20 July 2018'!BD29)</f>
        <v>0</v>
      </c>
      <c r="BJ62" s="210"/>
      <c r="BK62" s="104">
        <f>SUM('[3]UT-20 July 2018'!BF29)</f>
        <v>0</v>
      </c>
      <c r="BL62" s="104">
        <f>SUM('[3]UT-20 July 2018'!BG29)</f>
        <v>0</v>
      </c>
      <c r="BM62" s="104">
        <f>SUM('[3]UT-20 July 2018'!BH29)</f>
        <v>0</v>
      </c>
      <c r="BN62" s="104">
        <f>SUM('[3]UT-20 July 2018'!BI29)</f>
        <v>0</v>
      </c>
      <c r="BO62" s="104">
        <f>SUM('[3]UT-20 July 2018'!BJ29)</f>
        <v>0</v>
      </c>
      <c r="BP62" s="210"/>
      <c r="BQ62" s="104">
        <f>SUM('[3]UT-20 July 2018'!BP29)</f>
        <v>20</v>
      </c>
      <c r="BR62" s="104"/>
      <c r="BS62" s="104">
        <f>SUM('[3]UT-20 July 2018'!BR29)</f>
        <v>0</v>
      </c>
      <c r="BT62" s="104">
        <f>SUM('[3]UT-20 July 2018'!BS29)</f>
        <v>0</v>
      </c>
      <c r="BU62" s="104">
        <f>SUM('[3]UT-20 July 2018'!BT29)</f>
        <v>0</v>
      </c>
      <c r="BV62" s="104">
        <f>SUM('[3]UT-20 July 2018'!BV29)</f>
        <v>0</v>
      </c>
      <c r="BW62" s="104">
        <f>SUM('[3]UT-20 July 2018'!BW29)</f>
        <v>0</v>
      </c>
      <c r="BX62" s="104">
        <f>SUM('[3]UT-20 July 2018'!BY29)</f>
        <v>0</v>
      </c>
      <c r="BY62" s="104">
        <f>SUM('[3]UT-20 July 2018'!CA29)</f>
        <v>0</v>
      </c>
      <c r="BZ62" s="104">
        <f>SUM('[3]UT-20 July 2018'!CB29)</f>
        <v>0</v>
      </c>
      <c r="CA62" s="104">
        <f>SUM('[3]UT-20 July 2018'!CD29)</f>
        <v>0</v>
      </c>
      <c r="CB62" s="104">
        <f>SUM('[3]UT-20 July 2018'!CE29)</f>
        <v>0</v>
      </c>
      <c r="CC62" s="104">
        <f>SUM('[3]UT-20 July 2018'!BN29)</f>
        <v>0</v>
      </c>
      <c r="CD62" s="210"/>
      <c r="CE62" s="104"/>
      <c r="CF62" s="104"/>
      <c r="CG62" s="104"/>
      <c r="CH62" s="104"/>
      <c r="CI62" s="104"/>
      <c r="CJ62" s="104"/>
      <c r="CK62" s="104"/>
      <c r="CL62" s="104"/>
      <c r="CM62" s="104"/>
      <c r="CN62" s="104"/>
      <c r="CO62" s="104"/>
      <c r="CP62" s="104"/>
      <c r="CQ62" s="104"/>
      <c r="CR62" s="104"/>
      <c r="CS62" s="104"/>
      <c r="CT62" s="104"/>
      <c r="CU62" s="104"/>
      <c r="CV62" s="104"/>
      <c r="CW62" s="104"/>
      <c r="CX62" s="104"/>
      <c r="CY62" s="104"/>
      <c r="CZ62" s="104"/>
      <c r="DA62" s="104"/>
      <c r="DB62" s="104"/>
      <c r="DC62" s="104"/>
      <c r="DD62" s="104"/>
      <c r="DE62" s="104"/>
      <c r="DF62" s="104"/>
      <c r="DG62" s="104"/>
      <c r="DH62" s="104"/>
      <c r="DI62" s="104"/>
      <c r="DJ62" s="104"/>
    </row>
    <row r="63" spans="1:114" s="104" customFormat="1">
      <c r="A63" s="103"/>
      <c r="B63" s="66" t="s">
        <v>1445</v>
      </c>
      <c r="C63" s="98" t="s">
        <v>1588</v>
      </c>
      <c r="D63" s="66">
        <v>7</v>
      </c>
      <c r="E63" s="104">
        <v>265</v>
      </c>
      <c r="F63" s="104">
        <v>872</v>
      </c>
      <c r="G63" s="104">
        <v>31</v>
      </c>
      <c r="H63" s="104">
        <v>707</v>
      </c>
      <c r="I63" s="210"/>
      <c r="J63" s="104">
        <v>2</v>
      </c>
      <c r="K63" s="104">
        <v>5</v>
      </c>
      <c r="L63" s="104">
        <v>6</v>
      </c>
      <c r="M63" s="104">
        <v>19</v>
      </c>
      <c r="S63" s="210"/>
      <c r="T63" s="104">
        <v>25</v>
      </c>
      <c r="U63" s="104">
        <v>5</v>
      </c>
      <c r="V63" s="104">
        <f>SUM('[3]VA-872 Nov 2019'!O880)</f>
        <v>0</v>
      </c>
      <c r="W63" s="104">
        <f>SUM('[3]VA-872 Nov 2019'!P880)</f>
        <v>0</v>
      </c>
      <c r="X63" s="104">
        <v>2</v>
      </c>
      <c r="Z63" s="104">
        <v>1</v>
      </c>
      <c r="AA63" s="210"/>
      <c r="AI63" s="210"/>
      <c r="AJ63" s="104">
        <v>49</v>
      </c>
      <c r="AK63" s="104">
        <v>45</v>
      </c>
      <c r="AL63" s="104">
        <v>4</v>
      </c>
      <c r="AM63" s="104">
        <v>8</v>
      </c>
      <c r="AN63" s="104">
        <v>23</v>
      </c>
      <c r="AO63" s="104">
        <v>133</v>
      </c>
      <c r="AP63" s="104">
        <v>192</v>
      </c>
      <c r="AQ63" s="104">
        <v>20</v>
      </c>
      <c r="AR63" s="104">
        <v>142</v>
      </c>
      <c r="AS63" s="104">
        <v>64</v>
      </c>
      <c r="AT63" s="104">
        <v>12</v>
      </c>
      <c r="AU63" s="104">
        <v>71</v>
      </c>
      <c r="AV63" s="104">
        <v>89</v>
      </c>
      <c r="AW63" s="104">
        <v>32</v>
      </c>
      <c r="AX63" s="104">
        <v>55</v>
      </c>
      <c r="AY63" s="104">
        <v>18</v>
      </c>
      <c r="AZ63" s="104">
        <v>33</v>
      </c>
      <c r="BA63" s="210"/>
      <c r="BB63" s="104">
        <v>2</v>
      </c>
      <c r="BC63" s="104">
        <v>23</v>
      </c>
      <c r="BD63" s="104">
        <v>2</v>
      </c>
      <c r="BE63" s="104">
        <v>4</v>
      </c>
      <c r="BF63" s="104">
        <f>SUM('[3]VA-872 Nov 2019'!AY880)</f>
        <v>0</v>
      </c>
      <c r="BG63" s="210"/>
      <c r="BH63" s="104">
        <v>31</v>
      </c>
      <c r="BI63" s="104">
        <v>13</v>
      </c>
      <c r="BJ63" s="210"/>
      <c r="BK63" s="104">
        <v>8</v>
      </c>
      <c r="BL63" s="104">
        <v>5</v>
      </c>
      <c r="BM63" s="104">
        <f>SUM('[3]VA-872 Nov 2019'!BH880)</f>
        <v>0</v>
      </c>
      <c r="BN63" s="104">
        <f>SUM('[3]VA-872 Nov 2019'!BI880)</f>
        <v>0</v>
      </c>
      <c r="BO63" s="104">
        <f>SUM('[3]VA-872 Nov 2019'!BJ880)</f>
        <v>0</v>
      </c>
      <c r="BP63" s="210"/>
      <c r="BQ63" s="104">
        <v>653</v>
      </c>
      <c r="BS63" s="104">
        <v>4</v>
      </c>
      <c r="BT63" s="104">
        <v>52</v>
      </c>
      <c r="BU63" s="104">
        <v>106627</v>
      </c>
      <c r="BV63" s="104">
        <v>53</v>
      </c>
      <c r="BW63" s="104">
        <v>110474</v>
      </c>
      <c r="BX63" s="104">
        <v>7</v>
      </c>
      <c r="BY63" s="104">
        <v>33</v>
      </c>
      <c r="BZ63" s="104">
        <v>46920</v>
      </c>
      <c r="CA63" s="66">
        <v>1</v>
      </c>
      <c r="CB63" s="66">
        <v>184</v>
      </c>
      <c r="CC63" s="66">
        <v>2</v>
      </c>
      <c r="CD63" s="210"/>
    </row>
    <row r="64" spans="1:114" s="104" customFormat="1">
      <c r="A64" s="103"/>
      <c r="B64" s="66"/>
      <c r="C64" s="98" t="s">
        <v>1613</v>
      </c>
      <c r="D64" s="66"/>
      <c r="H64" s="104">
        <v>1245</v>
      </c>
      <c r="I64" s="210"/>
      <c r="S64" s="210"/>
      <c r="AA64" s="210"/>
      <c r="AI64" s="210"/>
      <c r="BA64" s="210"/>
      <c r="BG64" s="210"/>
      <c r="BJ64" s="210"/>
      <c r="BP64" s="210"/>
      <c r="CA64" s="66"/>
      <c r="CB64" s="66"/>
      <c r="CC64" s="66"/>
      <c r="CD64" s="210"/>
    </row>
    <row r="65" spans="1:114" s="104" customFormat="1">
      <c r="A65" s="103"/>
      <c r="B65" s="104" t="s">
        <v>1446</v>
      </c>
      <c r="C65" s="22" t="s">
        <v>1607</v>
      </c>
      <c r="D65" s="104">
        <v>3</v>
      </c>
      <c r="E65" s="104">
        <v>94</v>
      </c>
      <c r="F65" s="104">
        <v>203</v>
      </c>
      <c r="G65" s="104">
        <v>6</v>
      </c>
      <c r="I65" s="210"/>
      <c r="J65" s="104">
        <f>SUM('[3]WA-203 October 2018'!E213)</f>
        <v>0</v>
      </c>
      <c r="K65" s="104">
        <v>1</v>
      </c>
      <c r="L65" s="104">
        <v>1</v>
      </c>
      <c r="M65" s="104">
        <v>4</v>
      </c>
      <c r="S65" s="210"/>
      <c r="T65" s="104">
        <v>6</v>
      </c>
      <c r="U65" s="104">
        <f>SUM('[3]WA-203 October 2018'!N213)</f>
        <v>0</v>
      </c>
      <c r="V65" s="104">
        <f>SUM('[3]WA-203 October 2018'!O213)</f>
        <v>0</v>
      </c>
      <c r="W65" s="104">
        <f>SUM('[3]WA-203 October 2018'!P213)</f>
        <v>0</v>
      </c>
      <c r="X65" s="104">
        <f>SUM('[3]WA-203 October 2018'!Q213)</f>
        <v>0</v>
      </c>
      <c r="Z65" s="104">
        <f>SUM('[3]WA-203 October 2018'!R213)</f>
        <v>0</v>
      </c>
      <c r="AA65" s="210"/>
      <c r="AI65" s="210"/>
      <c r="AJ65" s="104">
        <v>12</v>
      </c>
      <c r="AK65" s="104">
        <v>11</v>
      </c>
      <c r="AL65" s="104">
        <f>SUM('[3]WA-203 October 2018'!W213)</f>
        <v>0</v>
      </c>
      <c r="AM65" s="104">
        <v>2</v>
      </c>
      <c r="AN65" s="104">
        <v>5</v>
      </c>
      <c r="AO65" s="104">
        <v>48</v>
      </c>
      <c r="AP65" s="104">
        <v>43</v>
      </c>
      <c r="AQ65" s="104">
        <v>8</v>
      </c>
      <c r="AR65" s="104">
        <v>10</v>
      </c>
      <c r="AS65" s="104">
        <v>13</v>
      </c>
      <c r="AT65" s="104">
        <v>2</v>
      </c>
      <c r="AU65" s="104">
        <v>21</v>
      </c>
      <c r="AV65" s="104">
        <v>12</v>
      </c>
      <c r="AW65" s="104">
        <v>6</v>
      </c>
      <c r="AX65" s="104">
        <v>19</v>
      </c>
      <c r="AY65" s="104">
        <v>4</v>
      </c>
      <c r="AZ65" s="104">
        <v>13</v>
      </c>
      <c r="BA65" s="210"/>
      <c r="BB65" s="104">
        <v>1</v>
      </c>
      <c r="BC65" s="104">
        <v>3</v>
      </c>
      <c r="BD65" s="104">
        <v>2</v>
      </c>
      <c r="BE65" s="104">
        <f>SUM('[3]WA-203 October 2018'!AX213)</f>
        <v>0</v>
      </c>
      <c r="BF65" s="104">
        <f>SUM('[3]WA-203 October 2018'!AY213)</f>
        <v>0</v>
      </c>
      <c r="BG65" s="210"/>
      <c r="BH65" s="104">
        <v>6</v>
      </c>
      <c r="BI65" s="104">
        <v>2</v>
      </c>
      <c r="BJ65" s="210"/>
      <c r="BK65" s="104">
        <v>1</v>
      </c>
      <c r="BL65" s="104">
        <v>1</v>
      </c>
      <c r="BM65" s="104">
        <f>SUM('[3]WA-203 October 2018'!BH213)</f>
        <v>0</v>
      </c>
      <c r="BN65" s="104">
        <f>SUM('[3]WA-203 October 2018'!BI213)</f>
        <v>0</v>
      </c>
      <c r="BO65" s="104">
        <f>SUM('[3]WA-203 October 2018'!BJ213)</f>
        <v>0</v>
      </c>
      <c r="BP65" s="210"/>
      <c r="BQ65" s="104">
        <v>177</v>
      </c>
      <c r="BS65" s="104">
        <f>SUM('[3]WA-203 October 2018'!BR213)</f>
        <v>0</v>
      </c>
      <c r="BT65" s="104">
        <v>23</v>
      </c>
      <c r="BU65" s="104">
        <v>12112</v>
      </c>
      <c r="BV65" s="104">
        <v>78</v>
      </c>
      <c r="BW65" s="104">
        <v>78011</v>
      </c>
      <c r="BX65" s="104">
        <v>2</v>
      </c>
      <c r="BY65" s="9">
        <v>49</v>
      </c>
      <c r="BZ65" s="9">
        <v>35411</v>
      </c>
      <c r="CA65" s="9">
        <v>1</v>
      </c>
      <c r="CB65" s="9">
        <v>8</v>
      </c>
      <c r="CC65" s="9">
        <v>1</v>
      </c>
      <c r="CD65" s="210"/>
    </row>
    <row r="66" spans="1:114" s="104" customFormat="1">
      <c r="A66" s="103"/>
      <c r="B66" s="104" t="s">
        <v>1447</v>
      </c>
      <c r="C66" s="22" t="s">
        <v>1614</v>
      </c>
      <c r="D66" s="104">
        <v>0</v>
      </c>
      <c r="E66" s="104">
        <v>10</v>
      </c>
      <c r="F66" s="104">
        <v>241</v>
      </c>
      <c r="G66" s="104">
        <v>27</v>
      </c>
      <c r="H66" s="104">
        <v>241</v>
      </c>
      <c r="I66" s="210"/>
      <c r="J66" s="104">
        <f>SUM('[3]WV-27 July 2018'!E247)</f>
        <v>0</v>
      </c>
      <c r="K66" s="104">
        <f>SUM('[3]WV-27 July 2018'!F247)</f>
        <v>0</v>
      </c>
      <c r="L66" s="104">
        <f>SUM('[3]WV-27 July 2018'!G247)</f>
        <v>0</v>
      </c>
      <c r="M66" s="104">
        <v>1</v>
      </c>
      <c r="S66" s="210"/>
      <c r="T66" s="104">
        <v>1</v>
      </c>
      <c r="U66" s="104">
        <f>SUM('[3]WV-27 July 2018'!N247)</f>
        <v>0</v>
      </c>
      <c r="V66" s="104">
        <f>SUM('[3]WV-27 July 2018'!O247)</f>
        <v>0</v>
      </c>
      <c r="W66" s="104">
        <f>SUM('[3]WV-27 July 2018'!P247)</f>
        <v>0</v>
      </c>
      <c r="X66" s="104">
        <v>214</v>
      </c>
      <c r="Z66" s="104">
        <f>SUM('[3]WV-27 July 2018'!R247)</f>
        <v>0</v>
      </c>
      <c r="AA66" s="210"/>
      <c r="AI66" s="210"/>
      <c r="AJ66" s="104">
        <v>215</v>
      </c>
      <c r="AK66" s="104">
        <f>SUM('[3]WV-27 July 2018'!V247)</f>
        <v>0</v>
      </c>
      <c r="AL66" s="104">
        <f>SUM('[3]WV-27 July 2018'!W247)</f>
        <v>0</v>
      </c>
      <c r="AM66" s="104">
        <f>SUM('[3]WV-27 July 2018'!X247)</f>
        <v>0</v>
      </c>
      <c r="AN66" s="104">
        <v>1</v>
      </c>
      <c r="AO66" s="104">
        <v>6</v>
      </c>
      <c r="AP66" s="104">
        <v>7</v>
      </c>
      <c r="AQ66" s="104">
        <f>SUM('[3]WV-27 July 2018'!AB247)</f>
        <v>0</v>
      </c>
      <c r="AR66" s="104">
        <v>5</v>
      </c>
      <c r="AS66" s="104">
        <f>SUM('[3]WV-27 July 2018'!AD247)</f>
        <v>0</v>
      </c>
      <c r="AT66" s="104">
        <f>SUM('[3]WV-27 July 2018'!AE247)</f>
        <v>0</v>
      </c>
      <c r="AU66" s="104">
        <v>4</v>
      </c>
      <c r="AV66" s="104">
        <v>2</v>
      </c>
      <c r="AW66" s="104">
        <f>SUM('[3]WV-27 July 2018'!AH247)</f>
        <v>0</v>
      </c>
      <c r="AX66" s="104">
        <v>1</v>
      </c>
      <c r="AY66" s="104">
        <f>SUM('[3]WV-27 July 2018'!AJ247)</f>
        <v>0</v>
      </c>
      <c r="AZ66" s="104">
        <v>1</v>
      </c>
      <c r="BA66" s="210"/>
      <c r="BB66" s="104">
        <v>1</v>
      </c>
      <c r="BC66" s="104">
        <f>SUM('[3]WV-27 July 2018'!AV247)</f>
        <v>0</v>
      </c>
      <c r="BD66" s="104">
        <f>SUM('[3]WV-27 July 2018'!AW247)</f>
        <v>0</v>
      </c>
      <c r="BE66" s="104">
        <f>SUM('[3]WV-27 July 2018'!AX247)</f>
        <v>0</v>
      </c>
      <c r="BF66" s="104">
        <v>214</v>
      </c>
      <c r="BG66" s="210"/>
      <c r="BH66" s="104">
        <v>215</v>
      </c>
      <c r="BI66" s="104">
        <f>SUM('[3]WV-27 July 2018'!BD247)</f>
        <v>0</v>
      </c>
      <c r="BJ66" s="210"/>
      <c r="BK66" s="104">
        <f>SUM('[3]WV-27 July 2018'!BF247)</f>
        <v>0</v>
      </c>
      <c r="BL66" s="104">
        <f>SUM('[3]WV-27 July 2018'!BG247)</f>
        <v>0</v>
      </c>
      <c r="BM66" s="104">
        <f>SUM('[3]WV-27 July 2018'!BH247)</f>
        <v>0</v>
      </c>
      <c r="BN66" s="104">
        <f>SUM('[3]WV-27 July 2018'!BI247)</f>
        <v>0</v>
      </c>
      <c r="BO66" s="104">
        <f>SUM('[3]WV-27 July 2018'!BJ247)</f>
        <v>0</v>
      </c>
      <c r="BP66" s="210"/>
      <c r="BQ66" s="104">
        <v>27</v>
      </c>
      <c r="BS66" s="104">
        <f>SUM('[3]WV-27 July 2018'!BR247)</f>
        <v>0</v>
      </c>
      <c r="BT66" s="104">
        <f>SUM('[3]WV-27 July 2018'!BS247)</f>
        <v>0</v>
      </c>
      <c r="BU66" s="104">
        <f>SUM('[3]WV-27 July 2018'!BT247)</f>
        <v>0</v>
      </c>
      <c r="BV66" s="104">
        <f>SUM('[3]WV-27 July 2018'!BV247)</f>
        <v>0</v>
      </c>
      <c r="BW66" s="104">
        <f>SUM('[3]WV-27 July 2018'!BW247)</f>
        <v>0</v>
      </c>
      <c r="BX66" s="104">
        <f>SUM('[3]WV-27 July 2018'!BY247)</f>
        <v>0</v>
      </c>
      <c r="BY66" s="9">
        <f>SUM('[3]WV-27 July 2018'!CA247)</f>
        <v>0</v>
      </c>
      <c r="BZ66" s="9">
        <f>SUM('[3]WV-27 July 2018'!CB247)</f>
        <v>0</v>
      </c>
      <c r="CA66" s="9">
        <f>SUM('[3]WV-27 July 2018'!CD247)</f>
        <v>0</v>
      </c>
      <c r="CB66" s="9">
        <f>SUM('[3]WV-27 July 2018'!CE247)</f>
        <v>0</v>
      </c>
      <c r="CC66" s="9">
        <v>0</v>
      </c>
      <c r="CD66" s="210"/>
    </row>
    <row r="67" spans="1:114" s="65" customFormat="1">
      <c r="A67" s="103"/>
      <c r="B67" s="104" t="s">
        <v>1448</v>
      </c>
      <c r="C67" s="22" t="s">
        <v>1598</v>
      </c>
      <c r="D67" s="104">
        <v>0</v>
      </c>
      <c r="E67" s="104">
        <v>34</v>
      </c>
      <c r="F67" s="104">
        <v>133</v>
      </c>
      <c r="G67" s="104">
        <v>82</v>
      </c>
      <c r="H67" s="104"/>
      <c r="I67" s="210"/>
      <c r="J67" s="104">
        <f>SUM('[3]WI-52 November 2018'!E140)</f>
        <v>0</v>
      </c>
      <c r="K67" s="104">
        <f>SUM('[3]WI-52 November 2018'!F140)</f>
        <v>0</v>
      </c>
      <c r="L67" s="104">
        <f>SUM('[3]WI-52 November 2018'!G140)</f>
        <v>0</v>
      </c>
      <c r="M67" s="104">
        <v>2</v>
      </c>
      <c r="N67" s="104"/>
      <c r="O67" s="104"/>
      <c r="P67" s="104"/>
      <c r="Q67" s="104"/>
      <c r="R67" s="104"/>
      <c r="S67" s="210"/>
      <c r="T67" s="104">
        <v>1</v>
      </c>
      <c r="U67" s="104">
        <f>SUM('[3]WI-52 November 2018'!N140)</f>
        <v>0</v>
      </c>
      <c r="V67" s="104">
        <f>SUM('[3]WI-52 November 2018'!O140)</f>
        <v>0</v>
      </c>
      <c r="W67" s="104">
        <f>SUM('[3]WI-52 November 2018'!P140)</f>
        <v>0</v>
      </c>
      <c r="X67" s="104">
        <v>81</v>
      </c>
      <c r="Y67" s="104"/>
      <c r="Z67" s="104">
        <f>SUM('[3]WI-52 November 2018'!R140)</f>
        <v>0</v>
      </c>
      <c r="AA67" s="210"/>
      <c r="AB67" s="104"/>
      <c r="AC67" s="104"/>
      <c r="AD67" s="104"/>
      <c r="AE67" s="104"/>
      <c r="AF67" s="104"/>
      <c r="AG67" s="104"/>
      <c r="AH67" s="104"/>
      <c r="AI67" s="210"/>
      <c r="AJ67" s="104">
        <v>83</v>
      </c>
      <c r="AK67" s="104">
        <v>3</v>
      </c>
      <c r="AL67" s="104">
        <f>SUM('[3]WI-52 November 2018'!W140)</f>
        <v>0</v>
      </c>
      <c r="AM67" s="104">
        <v>1</v>
      </c>
      <c r="AN67" s="104">
        <v>4</v>
      </c>
      <c r="AO67" s="104">
        <v>7</v>
      </c>
      <c r="AP67" s="104">
        <v>10</v>
      </c>
      <c r="AQ67" s="104">
        <v>2</v>
      </c>
      <c r="AR67" s="104">
        <v>9</v>
      </c>
      <c r="AS67" s="104">
        <v>4</v>
      </c>
      <c r="AT67" s="104">
        <f>SUM('[3]WI-52 November 2018'!AE140)</f>
        <v>0</v>
      </c>
      <c r="AU67" s="104">
        <v>5</v>
      </c>
      <c r="AV67" s="104">
        <v>4</v>
      </c>
      <c r="AW67" s="104">
        <v>2</v>
      </c>
      <c r="AX67" s="104">
        <v>6</v>
      </c>
      <c r="AY67" s="104">
        <v>2</v>
      </c>
      <c r="AZ67" s="104">
        <v>1</v>
      </c>
      <c r="BA67" s="210"/>
      <c r="BB67" s="104">
        <f>SUM('[3]WI-52 November 2018'!AU140)</f>
        <v>0</v>
      </c>
      <c r="BC67" s="104">
        <v>1</v>
      </c>
      <c r="BD67" s="104">
        <f>SUM('[3]WI-52 November 2018'!AW140)</f>
        <v>0</v>
      </c>
      <c r="BE67" s="104">
        <f>SUM('[3]WI-52 November 2018'!AX140)</f>
        <v>0</v>
      </c>
      <c r="BF67" s="104">
        <v>81</v>
      </c>
      <c r="BG67" s="210"/>
      <c r="BH67" s="104">
        <v>82</v>
      </c>
      <c r="BI67" s="104">
        <v>1</v>
      </c>
      <c r="BJ67" s="210"/>
      <c r="BK67" s="104">
        <v>1</v>
      </c>
      <c r="BL67" s="104">
        <f>SUM('[3]WI-52 November 2018'!BG140)</f>
        <v>0</v>
      </c>
      <c r="BM67" s="104">
        <f>SUM('[3]WI-52 November 2018'!BH140)</f>
        <v>0</v>
      </c>
      <c r="BN67" s="104">
        <f>SUM('[3]WI-52 November 2018'!BI140)</f>
        <v>0</v>
      </c>
      <c r="BO67" s="104">
        <f>SUM('[3]WI-52 November 2018'!BJ140)</f>
        <v>0</v>
      </c>
      <c r="BP67" s="210"/>
      <c r="BQ67" s="104">
        <v>26</v>
      </c>
      <c r="BR67" s="104"/>
      <c r="BS67" s="104">
        <f>SUM('[3]WI-52 November 2018'!BR140)</f>
        <v>0</v>
      </c>
      <c r="BT67" s="104">
        <f>SUM('[3]WI-52 November 2018'!BS140)</f>
        <v>0</v>
      </c>
      <c r="BU67" s="104">
        <f>SUM('[3]WI-52 November 2018'!BT140)</f>
        <v>0</v>
      </c>
      <c r="BV67" s="104">
        <f>SUM('[3]WI-52 November 2018'!BV140)</f>
        <v>0</v>
      </c>
      <c r="BW67" s="104">
        <f>SUM('[3]WI-52 November 2018'!BW140)</f>
        <v>0</v>
      </c>
      <c r="BX67" s="104">
        <f>SUM('[3]WI-52 November 2018'!BY140)</f>
        <v>0</v>
      </c>
      <c r="BY67" s="104">
        <f>SUM('[3]WI-52 November 2018'!CA140)</f>
        <v>0</v>
      </c>
      <c r="BZ67" s="104">
        <f>SUM('[3]WI-52 November 2018'!CB140)</f>
        <v>0</v>
      </c>
      <c r="CA67" s="9">
        <f>SUM('[3]WI-52 November 2018'!CD140)</f>
        <v>0</v>
      </c>
      <c r="CB67" s="9">
        <f>SUM('[3]WI-52 November 2018'!CE140)</f>
        <v>0</v>
      </c>
      <c r="CC67" s="9">
        <f>SUM('[3]WI-52 November 2018'!BN140)</f>
        <v>0</v>
      </c>
      <c r="CD67" s="210"/>
      <c r="CE67" s="104"/>
      <c r="CF67" s="104"/>
      <c r="CG67" s="104"/>
      <c r="CH67" s="104"/>
      <c r="CI67" s="104"/>
      <c r="CJ67" s="104"/>
      <c r="CK67" s="104"/>
      <c r="CL67" s="104"/>
      <c r="CM67" s="104"/>
      <c r="CN67" s="104"/>
      <c r="CO67" s="104"/>
      <c r="CP67" s="104"/>
      <c r="CQ67" s="104"/>
      <c r="CR67" s="104"/>
      <c r="CS67" s="104"/>
      <c r="CT67" s="104"/>
      <c r="CU67" s="104"/>
      <c r="CV67" s="104"/>
      <c r="CW67" s="104"/>
      <c r="CX67" s="104"/>
      <c r="CY67" s="104"/>
      <c r="CZ67" s="104"/>
      <c r="DA67" s="104"/>
      <c r="DB67" s="104"/>
      <c r="DC67" s="104"/>
      <c r="DD67" s="104"/>
      <c r="DE67" s="104"/>
      <c r="DF67" s="104"/>
      <c r="DG67" s="104"/>
      <c r="DH67" s="104"/>
      <c r="DI67" s="104"/>
      <c r="DJ67" s="104"/>
    </row>
    <row r="68" spans="1:114" s="65" customFormat="1">
      <c r="A68" s="103"/>
      <c r="B68" s="104" t="s">
        <v>1449</v>
      </c>
      <c r="C68" s="22" t="s">
        <v>1615</v>
      </c>
      <c r="D68" s="104">
        <v>1</v>
      </c>
      <c r="E68" s="104">
        <v>12</v>
      </c>
      <c r="F68" s="104">
        <v>59</v>
      </c>
      <c r="G68" s="104">
        <v>45</v>
      </c>
      <c r="H68" s="104">
        <v>43</v>
      </c>
      <c r="I68" s="210"/>
      <c r="J68" s="104">
        <f>SUM('[3]WY-15 July 2018'!E67)</f>
        <v>0</v>
      </c>
      <c r="K68" s="104">
        <f>SUM('[3]WY-15 July 2018'!F67)</f>
        <v>0</v>
      </c>
      <c r="L68" s="104">
        <v>1</v>
      </c>
      <c r="M68" s="104">
        <f>SUM('[3]WY-15 July 2018'!H67)</f>
        <v>0</v>
      </c>
      <c r="N68" s="104"/>
      <c r="O68" s="104"/>
      <c r="P68" s="104"/>
      <c r="Q68" s="104"/>
      <c r="R68" s="104"/>
      <c r="S68" s="210"/>
      <c r="T68" s="104">
        <v>1</v>
      </c>
      <c r="U68" s="104">
        <f>SUM('[3]WY-15 July 2018'!N67)</f>
        <v>0</v>
      </c>
      <c r="V68" s="104">
        <f>SUM('[3]WY-15 July 2018'!O67)</f>
        <v>0</v>
      </c>
      <c r="W68" s="104">
        <f>SUM('[3]WY-15 July 2018'!P67)</f>
        <v>0</v>
      </c>
      <c r="X68" s="104">
        <v>44</v>
      </c>
      <c r="Y68" s="104"/>
      <c r="Z68" s="104">
        <f>SUM('[3]WY-15 July 2018'!R67)</f>
        <v>0</v>
      </c>
      <c r="AA68" s="210"/>
      <c r="AB68" s="104"/>
      <c r="AC68" s="104"/>
      <c r="AD68" s="104"/>
      <c r="AE68" s="104"/>
      <c r="AF68" s="104"/>
      <c r="AG68" s="104"/>
      <c r="AH68" s="104"/>
      <c r="AI68" s="210"/>
      <c r="AJ68" s="104">
        <v>46</v>
      </c>
      <c r="AK68" s="104">
        <f>SUM('[3]WY-15 July 2018'!V67)</f>
        <v>0</v>
      </c>
      <c r="AL68" s="104">
        <v>1</v>
      </c>
      <c r="AM68" s="104">
        <v>1</v>
      </c>
      <c r="AN68" s="104">
        <v>1</v>
      </c>
      <c r="AO68" s="104">
        <v>5</v>
      </c>
      <c r="AP68" s="104">
        <v>4</v>
      </c>
      <c r="AQ68" s="104">
        <f>SUM('[3]WY-15 July 2018'!AB67)</f>
        <v>0</v>
      </c>
      <c r="AR68" s="104">
        <v>2</v>
      </c>
      <c r="AS68" s="104">
        <f>SUM('[3]WY-15 July 2018'!AD67)</f>
        <v>2</v>
      </c>
      <c r="AT68" s="104">
        <f>SUM('[3]WY-15 July 2018'!AE67)</f>
        <v>0</v>
      </c>
      <c r="AU68" s="104">
        <v>1</v>
      </c>
      <c r="AV68" s="104">
        <v>2</v>
      </c>
      <c r="AW68" s="104">
        <v>3</v>
      </c>
      <c r="AX68" s="104">
        <v>0</v>
      </c>
      <c r="AY68" s="104">
        <f>SUM('[3]WY-15 July 2018'!AJ67)</f>
        <v>0</v>
      </c>
      <c r="AZ68" s="104">
        <v>2</v>
      </c>
      <c r="BA68" s="210"/>
      <c r="BB68" s="104">
        <f>SUM('[3]WY-15 July 2018'!AU67)</f>
        <v>0</v>
      </c>
      <c r="BC68" s="104">
        <v>1</v>
      </c>
      <c r="BD68" s="104">
        <f>SUM('[3]WY-15 July 2018'!AW67)</f>
        <v>0</v>
      </c>
      <c r="BE68" s="104">
        <f>SUM('[3]WY-15 July 2018'!AX67)</f>
        <v>0</v>
      </c>
      <c r="BF68" s="104">
        <v>44</v>
      </c>
      <c r="BG68" s="210"/>
      <c r="BH68" s="104">
        <v>45</v>
      </c>
      <c r="BI68" s="104">
        <f>SUM('[3]WY-15 July 2018'!BD67)</f>
        <v>0</v>
      </c>
      <c r="BJ68" s="210"/>
      <c r="BK68" s="104">
        <f>SUM('[3]WY-15 July 2018'!BF67)</f>
        <v>0</v>
      </c>
      <c r="BL68" s="104">
        <f>SUM('[3]WY-15 July 2018'!BG67)</f>
        <v>0</v>
      </c>
      <c r="BM68" s="104">
        <f>SUM('[3]WY-15 July 2018'!BH67)</f>
        <v>0</v>
      </c>
      <c r="BN68" s="104">
        <f>SUM('[3]WY-15 July 2018'!BI67)</f>
        <v>0</v>
      </c>
      <c r="BO68" s="104">
        <f>SUM('[3]WY-15 July 2018'!BJ67)</f>
        <v>0</v>
      </c>
      <c r="BP68" s="210"/>
      <c r="BQ68" s="104">
        <v>14</v>
      </c>
      <c r="BR68" s="104"/>
      <c r="BS68" s="104">
        <v>1</v>
      </c>
      <c r="BT68" s="104">
        <v>4</v>
      </c>
      <c r="BU68" s="104">
        <v>1544</v>
      </c>
      <c r="BV68" s="104">
        <v>2</v>
      </c>
      <c r="BW68" s="104">
        <v>1865</v>
      </c>
      <c r="BX68" s="104">
        <v>1</v>
      </c>
      <c r="BY68" s="66">
        <v>5</v>
      </c>
      <c r="BZ68" s="66">
        <v>2498</v>
      </c>
      <c r="CA68" s="66">
        <f>SUM('[3]WY-15 July 2018'!CD67)</f>
        <v>0</v>
      </c>
      <c r="CB68" s="66">
        <f>SUM('[3]WY-15 July 2018'!CE67)</f>
        <v>0</v>
      </c>
      <c r="CC68" s="66">
        <v>1</v>
      </c>
      <c r="CD68" s="210"/>
      <c r="CE68" s="104"/>
      <c r="CF68" s="104"/>
      <c r="CG68" s="104"/>
      <c r="CH68" s="104"/>
      <c r="CI68" s="104"/>
      <c r="CJ68" s="104"/>
      <c r="CK68" s="104"/>
      <c r="CL68" s="104"/>
      <c r="CM68" s="104"/>
      <c r="CN68" s="104"/>
      <c r="CO68" s="104"/>
      <c r="CP68" s="104"/>
      <c r="CQ68" s="104"/>
      <c r="CR68" s="104"/>
      <c r="CS68" s="104"/>
      <c r="CT68" s="104"/>
      <c r="CU68" s="104"/>
      <c r="CV68" s="104"/>
      <c r="CW68" s="104"/>
      <c r="CX68" s="104"/>
      <c r="CY68" s="104"/>
      <c r="CZ68" s="104"/>
      <c r="DA68" s="104"/>
      <c r="DB68" s="104"/>
      <c r="DC68" s="104"/>
      <c r="DD68" s="104"/>
      <c r="DE68" s="104"/>
      <c r="DF68" s="104"/>
      <c r="DG68" s="104"/>
      <c r="DH68" s="104"/>
      <c r="DI68" s="104"/>
      <c r="DJ68" s="104"/>
    </row>
    <row r="69" spans="1:114" s="65" customFormat="1">
      <c r="B69" s="129"/>
      <c r="C69" s="129"/>
      <c r="D69" s="104"/>
      <c r="E69" s="104"/>
      <c r="F69" s="104"/>
      <c r="G69" s="104"/>
      <c r="H69" s="104"/>
      <c r="I69" s="210"/>
      <c r="J69" s="104"/>
      <c r="K69" s="104"/>
      <c r="L69" s="104"/>
      <c r="M69" s="104"/>
      <c r="N69" s="104"/>
      <c r="O69" s="104"/>
      <c r="P69" s="104"/>
      <c r="Q69" s="104"/>
      <c r="R69" s="104"/>
      <c r="S69" s="210"/>
      <c r="T69" s="104"/>
      <c r="U69" s="104"/>
      <c r="V69" s="104"/>
      <c r="W69" s="104"/>
      <c r="X69" s="104"/>
      <c r="Y69" s="104"/>
      <c r="Z69" s="104"/>
      <c r="AA69" s="210"/>
      <c r="AB69" s="104"/>
      <c r="AC69" s="104"/>
      <c r="AD69" s="104"/>
      <c r="AE69" s="104"/>
      <c r="AF69" s="104"/>
      <c r="AG69" s="104"/>
      <c r="AH69" s="104"/>
      <c r="AI69" s="210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210"/>
      <c r="BB69" s="104"/>
      <c r="BC69" s="104"/>
      <c r="BD69" s="104"/>
      <c r="BE69" s="104"/>
      <c r="BF69" s="104"/>
      <c r="BG69" s="210"/>
      <c r="BH69" s="104"/>
      <c r="BI69" s="104"/>
      <c r="BJ69" s="210"/>
      <c r="BK69" s="104"/>
      <c r="BL69" s="104"/>
      <c r="BM69" s="104"/>
      <c r="BN69" s="104"/>
      <c r="BO69" s="104"/>
      <c r="BP69" s="210"/>
      <c r="BQ69" s="104"/>
      <c r="BR69" s="104"/>
      <c r="BS69" s="104"/>
      <c r="BT69" s="104"/>
      <c r="BU69" s="104"/>
      <c r="BV69" s="104"/>
      <c r="BW69" s="104"/>
      <c r="BX69" s="104"/>
      <c r="BY69" s="66"/>
      <c r="BZ69" s="104"/>
      <c r="CA69" s="66"/>
      <c r="CB69" s="104"/>
      <c r="CC69" s="104"/>
      <c r="CD69" s="210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  <c r="DG69" s="104"/>
      <c r="DH69" s="104"/>
      <c r="DI69" s="104"/>
      <c r="DJ69" s="104"/>
    </row>
    <row r="70" spans="1:114" s="104" customFormat="1">
      <c r="B70" s="57"/>
      <c r="C70" s="57"/>
      <c r="D70" s="66"/>
      <c r="G70" s="67"/>
      <c r="AJ70" s="67"/>
      <c r="AK70" s="67"/>
      <c r="AL70" s="67"/>
      <c r="AM70" s="67"/>
      <c r="AN70" s="67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H70" s="67"/>
      <c r="BI70" s="67"/>
      <c r="BK70" s="67"/>
      <c r="BL70" s="67"/>
      <c r="BM70" s="67"/>
      <c r="BN70" s="67"/>
      <c r="BO70" s="67"/>
      <c r="BY70" s="9"/>
      <c r="CA70" s="9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5"/>
      <c r="DI70" s="65"/>
      <c r="DJ70" s="65"/>
    </row>
    <row r="71" spans="1:114" s="104" customFormat="1">
      <c r="B71" s="129"/>
      <c r="C71" s="129"/>
      <c r="BY71" s="9"/>
      <c r="CA71" s="9"/>
    </row>
    <row r="72" spans="1:114" s="174" customFormat="1" ht="19">
      <c r="A72" s="172"/>
      <c r="B72" s="173" t="s">
        <v>1953</v>
      </c>
      <c r="C72" s="172"/>
      <c r="D72" s="182">
        <f>SUM(D23:D70)</f>
        <v>360</v>
      </c>
      <c r="E72" s="182">
        <f>SUM(E23:E70)</f>
        <v>9008</v>
      </c>
      <c r="F72" s="182">
        <f>SUM(F23:F70)</f>
        <v>25684</v>
      </c>
      <c r="G72" s="182">
        <f>SUM(G23:G70)</f>
        <v>5263</v>
      </c>
      <c r="H72" s="182">
        <f>SUM(H23:H70)</f>
        <v>43007</v>
      </c>
      <c r="I72" s="172"/>
      <c r="J72" s="182">
        <f t="shared" ref="J72:R72" si="5">SUM(J23:J70)</f>
        <v>3840</v>
      </c>
      <c r="K72" s="182">
        <f t="shared" si="5"/>
        <v>193</v>
      </c>
      <c r="L72" s="182">
        <f t="shared" si="5"/>
        <v>196</v>
      </c>
      <c r="M72" s="182">
        <f t="shared" si="5"/>
        <v>428</v>
      </c>
      <c r="N72" s="182">
        <f t="shared" si="5"/>
        <v>3</v>
      </c>
      <c r="O72" s="182">
        <f t="shared" si="5"/>
        <v>0</v>
      </c>
      <c r="P72" s="182">
        <f t="shared" si="5"/>
        <v>0</v>
      </c>
      <c r="Q72" s="182">
        <f t="shared" si="5"/>
        <v>0</v>
      </c>
      <c r="R72" s="182">
        <f t="shared" si="5"/>
        <v>0</v>
      </c>
      <c r="S72" s="172"/>
      <c r="T72" s="182">
        <f t="shared" ref="T72:Z72" si="6">SUM(T23:T70)</f>
        <v>1150</v>
      </c>
      <c r="U72" s="182">
        <f t="shared" si="6"/>
        <v>153</v>
      </c>
      <c r="V72" s="182">
        <f t="shared" si="6"/>
        <v>59</v>
      </c>
      <c r="W72" s="182">
        <f t="shared" si="6"/>
        <v>29</v>
      </c>
      <c r="X72" s="182">
        <f t="shared" si="6"/>
        <v>4363</v>
      </c>
      <c r="Y72" s="182">
        <f t="shared" si="6"/>
        <v>23</v>
      </c>
      <c r="Z72" s="182">
        <f t="shared" si="6"/>
        <v>8</v>
      </c>
      <c r="AA72" s="172"/>
      <c r="AB72" s="182">
        <f t="shared" ref="AB72:AH72" si="7">SUM(AB23:AB70)</f>
        <v>0</v>
      </c>
      <c r="AC72" s="182">
        <f t="shared" si="7"/>
        <v>6</v>
      </c>
      <c r="AD72" s="182">
        <f t="shared" si="7"/>
        <v>0</v>
      </c>
      <c r="AE72" s="182">
        <f t="shared" si="7"/>
        <v>2</v>
      </c>
      <c r="AF72" s="182">
        <f t="shared" si="7"/>
        <v>0</v>
      </c>
      <c r="AG72" s="182">
        <f t="shared" si="7"/>
        <v>0</v>
      </c>
      <c r="AH72" s="182">
        <f t="shared" si="7"/>
        <v>0</v>
      </c>
      <c r="AI72" s="172"/>
      <c r="AJ72" s="182">
        <f t="shared" ref="AJ72:AZ72" si="8">SUM(AJ23:AJ70)</f>
        <v>6430</v>
      </c>
      <c r="AK72" s="182">
        <f t="shared" si="8"/>
        <v>660</v>
      </c>
      <c r="AL72" s="182">
        <f t="shared" si="8"/>
        <v>195</v>
      </c>
      <c r="AM72" s="182">
        <f t="shared" si="8"/>
        <v>577</v>
      </c>
      <c r="AN72" s="182">
        <f t="shared" si="8"/>
        <v>1019</v>
      </c>
      <c r="AO72" s="182">
        <f t="shared" si="8"/>
        <v>2903</v>
      </c>
      <c r="AP72" s="182">
        <f t="shared" si="8"/>
        <v>5360</v>
      </c>
      <c r="AQ72" s="182">
        <f t="shared" si="8"/>
        <v>905</v>
      </c>
      <c r="AR72" s="182">
        <f t="shared" si="8"/>
        <v>3729</v>
      </c>
      <c r="AS72" s="182">
        <f t="shared" si="8"/>
        <v>2173</v>
      </c>
      <c r="AT72" s="182">
        <f t="shared" si="8"/>
        <v>638</v>
      </c>
      <c r="AU72" s="182">
        <f t="shared" si="8"/>
        <v>2430</v>
      </c>
      <c r="AV72" s="182">
        <f t="shared" si="8"/>
        <v>2395</v>
      </c>
      <c r="AW72" s="182">
        <f t="shared" si="8"/>
        <v>1013</v>
      </c>
      <c r="AX72" s="182">
        <f t="shared" si="8"/>
        <v>1655</v>
      </c>
      <c r="AY72" s="182">
        <f t="shared" si="8"/>
        <v>621</v>
      </c>
      <c r="AZ72" s="182">
        <f t="shared" si="8"/>
        <v>1206</v>
      </c>
      <c r="BA72" s="172"/>
      <c r="BB72" s="182">
        <f>SUM(BB23:BB70)</f>
        <v>18</v>
      </c>
      <c r="BC72" s="182">
        <f>SUM(BC23:BC70)</f>
        <v>539</v>
      </c>
      <c r="BD72" s="182">
        <f>SUM(BD23:BD70)</f>
        <v>108</v>
      </c>
      <c r="BE72" s="182">
        <f>SUM(BE23:BE70)</f>
        <v>86</v>
      </c>
      <c r="BF72" s="182">
        <f>SUM(BF23:BF70)</f>
        <v>5015</v>
      </c>
      <c r="BG72" s="172"/>
      <c r="BH72" s="182">
        <f>SUM(BH23:BH70)</f>
        <v>4051</v>
      </c>
      <c r="BI72" s="182">
        <f>SUM(BI23:BI70)</f>
        <v>269</v>
      </c>
      <c r="BJ72" s="172"/>
      <c r="BK72" s="182">
        <f>SUM(BK23:BK70)</f>
        <v>215</v>
      </c>
      <c r="BL72" s="182">
        <f>SUM(BL23:BL70)</f>
        <v>45</v>
      </c>
      <c r="BM72" s="182">
        <f>SUM(BM23:BM70)</f>
        <v>8</v>
      </c>
      <c r="BN72" s="182">
        <f>SUM(BN23:BN70)</f>
        <v>9</v>
      </c>
      <c r="BO72" s="182">
        <f>SUM(BO23:BO70)</f>
        <v>12</v>
      </c>
      <c r="BP72" s="172"/>
      <c r="BQ72" s="182">
        <f t="shared" ref="BQ72:CC72" si="9">SUM(BQ23:BQ70)</f>
        <v>18773</v>
      </c>
      <c r="BR72" s="182">
        <f t="shared" si="9"/>
        <v>94</v>
      </c>
      <c r="BS72" s="182">
        <f>SUM(BS23:BS70)</f>
        <v>68</v>
      </c>
      <c r="BT72" s="182">
        <f t="shared" si="9"/>
        <v>1280</v>
      </c>
      <c r="BU72" s="182">
        <f t="shared" si="9"/>
        <v>4613557</v>
      </c>
      <c r="BV72" s="182">
        <f t="shared" si="9"/>
        <v>1353</v>
      </c>
      <c r="BW72" s="182">
        <f t="shared" si="9"/>
        <v>2982796</v>
      </c>
      <c r="BX72" s="182">
        <f t="shared" si="9"/>
        <v>155</v>
      </c>
      <c r="BY72" s="182">
        <f t="shared" si="9"/>
        <v>488</v>
      </c>
      <c r="BZ72" s="182">
        <f t="shared" si="9"/>
        <v>1278559</v>
      </c>
      <c r="CA72" s="182">
        <f t="shared" si="9"/>
        <v>24</v>
      </c>
      <c r="CB72" s="182">
        <f t="shared" si="9"/>
        <v>7466</v>
      </c>
      <c r="CC72" s="182">
        <f t="shared" si="9"/>
        <v>79</v>
      </c>
      <c r="CD72" s="172"/>
    </row>
    <row r="73" spans="1:114" s="104" customFormat="1">
      <c r="B73" s="129"/>
      <c r="F73" s="104" t="s">
        <v>1616</v>
      </c>
      <c r="G73" s="104" t="s">
        <v>1617</v>
      </c>
      <c r="H73" s="132">
        <v>49000</v>
      </c>
      <c r="BU73" s="132"/>
      <c r="BW73" s="132"/>
      <c r="CA73" s="9"/>
    </row>
    <row r="74" spans="1:114" s="104" customFormat="1" ht="19">
      <c r="B74" s="129"/>
      <c r="C74" s="129"/>
      <c r="BQ74" s="129" t="s">
        <v>1481</v>
      </c>
      <c r="BR74" s="129"/>
      <c r="BU74" s="71">
        <f>SUM(BQ72, BR72, BU72, BW72, BX72, BZ72, CB72)</f>
        <v>8901400</v>
      </c>
      <c r="BY74" s="9"/>
      <c r="CA74" s="9"/>
    </row>
    <row r="75" spans="1:114" s="104" customFormat="1" ht="21">
      <c r="B75" s="165" t="s">
        <v>1480</v>
      </c>
      <c r="C75" s="165"/>
      <c r="BU75" s="135">
        <v>8901400</v>
      </c>
      <c r="CA75" s="9"/>
    </row>
    <row r="76" spans="1:114" s="104" customFormat="1">
      <c r="B76" s="129" t="s">
        <v>1618</v>
      </c>
      <c r="C76" s="129"/>
      <c r="BU76" s="129" t="s">
        <v>1484</v>
      </c>
    </row>
    <row r="77" spans="1:114" s="104" customFormat="1">
      <c r="B77" s="129"/>
      <c r="C77" s="129"/>
      <c r="BU77" s="129" t="s">
        <v>1485</v>
      </c>
    </row>
    <row r="78" spans="1:114" s="104" customFormat="1">
      <c r="B78" s="129"/>
      <c r="C78" s="129"/>
      <c r="BY78" s="9"/>
      <c r="CA78" s="9"/>
    </row>
    <row r="79" spans="1:114" s="104" customFormat="1">
      <c r="B79" s="165" t="s">
        <v>1486</v>
      </c>
      <c r="C79" s="165"/>
      <c r="D79" s="129"/>
      <c r="K79" s="165" t="s">
        <v>1619</v>
      </c>
      <c r="L79" s="166"/>
    </row>
    <row r="80" spans="1:114" s="104" customFormat="1">
      <c r="B80" s="129" t="s">
        <v>1487</v>
      </c>
      <c r="C80" s="129"/>
      <c r="D80" s="129" t="s">
        <v>1488</v>
      </c>
      <c r="K80" s="129" t="s">
        <v>1620</v>
      </c>
      <c r="P80" s="129" t="s">
        <v>1621</v>
      </c>
    </row>
    <row r="81" spans="2:22" s="104" customFormat="1">
      <c r="B81" s="129" t="s">
        <v>1489</v>
      </c>
      <c r="C81" s="129"/>
      <c r="D81" s="129" t="s">
        <v>1490</v>
      </c>
      <c r="K81" s="129" t="s">
        <v>1622</v>
      </c>
      <c r="P81" s="129" t="s">
        <v>1623</v>
      </c>
    </row>
    <row r="82" spans="2:22" s="104" customFormat="1">
      <c r="B82" s="129" t="s">
        <v>1491</v>
      </c>
      <c r="C82" s="129"/>
      <c r="D82" s="129" t="s">
        <v>1492</v>
      </c>
      <c r="K82" s="129" t="s">
        <v>1624</v>
      </c>
      <c r="P82" s="129" t="s">
        <v>1625</v>
      </c>
    </row>
    <row r="83" spans="2:22" s="104" customFormat="1">
      <c r="B83" s="129" t="s">
        <v>1493</v>
      </c>
      <c r="C83" s="129"/>
      <c r="D83" s="129" t="s">
        <v>1494</v>
      </c>
      <c r="K83" s="167" t="s">
        <v>1626</v>
      </c>
      <c r="P83" s="167" t="s">
        <v>1627</v>
      </c>
    </row>
    <row r="84" spans="2:22" s="104" customFormat="1">
      <c r="B84" s="129" t="s">
        <v>1495</v>
      </c>
      <c r="C84" s="129"/>
      <c r="D84" s="129" t="s">
        <v>1496</v>
      </c>
      <c r="K84" s="167" t="s">
        <v>1628</v>
      </c>
      <c r="P84" s="167" t="s">
        <v>1629</v>
      </c>
    </row>
    <row r="85" spans="2:22" s="104" customFormat="1">
      <c r="B85" s="129" t="s">
        <v>14</v>
      </c>
      <c r="C85" s="129"/>
      <c r="D85" s="129" t="s">
        <v>1497</v>
      </c>
      <c r="K85" s="168" t="s">
        <v>1630</v>
      </c>
      <c r="P85" s="167" t="s">
        <v>1631</v>
      </c>
    </row>
    <row r="86" spans="2:22" s="104" customFormat="1">
      <c r="B86" s="129" t="s">
        <v>1498</v>
      </c>
      <c r="C86" s="129"/>
      <c r="D86" s="129" t="s">
        <v>1499</v>
      </c>
    </row>
    <row r="87" spans="2:22" s="104" customFormat="1">
      <c r="B87" s="129" t="s">
        <v>230</v>
      </c>
      <c r="C87" s="129"/>
      <c r="D87" s="129" t="s">
        <v>1500</v>
      </c>
      <c r="K87" s="129" t="s">
        <v>113</v>
      </c>
      <c r="V87" s="132"/>
    </row>
    <row r="88" spans="2:22" s="104" customFormat="1">
      <c r="B88" s="129" t="s">
        <v>231</v>
      </c>
      <c r="C88" s="129"/>
      <c r="D88" s="129" t="s">
        <v>1501</v>
      </c>
      <c r="V88" s="132"/>
    </row>
    <row r="89" spans="2:22" s="104" customFormat="1">
      <c r="B89" s="129" t="s">
        <v>1502</v>
      </c>
      <c r="C89" s="129"/>
      <c r="D89" s="129" t="s">
        <v>1503</v>
      </c>
      <c r="K89" s="129" t="s">
        <v>109</v>
      </c>
      <c r="P89" s="129" t="s">
        <v>110</v>
      </c>
    </row>
    <row r="90" spans="2:22" s="104" customFormat="1">
      <c r="B90" s="129" t="s">
        <v>1504</v>
      </c>
      <c r="C90" s="129"/>
      <c r="D90" s="129" t="s">
        <v>1505</v>
      </c>
      <c r="K90" s="129"/>
      <c r="P90" s="129" t="s">
        <v>112</v>
      </c>
    </row>
    <row r="91" spans="2:22" s="104" customFormat="1">
      <c r="B91" s="129" t="s">
        <v>1506</v>
      </c>
      <c r="C91" s="129"/>
      <c r="D91" s="129" t="s">
        <v>1507</v>
      </c>
    </row>
    <row r="92" spans="2:22" s="104" customFormat="1">
      <c r="B92" s="129" t="s">
        <v>204</v>
      </c>
      <c r="C92" s="129"/>
      <c r="D92" s="129" t="s">
        <v>1508</v>
      </c>
    </row>
    <row r="93" spans="2:22" s="104" customFormat="1">
      <c r="B93" s="129" t="s">
        <v>1509</v>
      </c>
      <c r="C93" s="129"/>
      <c r="D93" s="129" t="s">
        <v>1510</v>
      </c>
    </row>
    <row r="94" spans="2:22" s="104" customFormat="1">
      <c r="B94" s="129" t="s">
        <v>1511</v>
      </c>
      <c r="C94" s="129"/>
      <c r="D94" s="129" t="s">
        <v>1512</v>
      </c>
    </row>
    <row r="95" spans="2:22" s="104" customFormat="1">
      <c r="B95" s="129" t="s">
        <v>238</v>
      </c>
      <c r="C95" s="129"/>
      <c r="D95" s="129" t="s">
        <v>1513</v>
      </c>
    </row>
    <row r="96" spans="2:22" s="104" customFormat="1">
      <c r="B96" s="129" t="s">
        <v>1514</v>
      </c>
      <c r="C96" s="129"/>
      <c r="D96" s="129" t="s">
        <v>1515</v>
      </c>
    </row>
    <row r="97" spans="2:79" s="104" customFormat="1">
      <c r="B97" s="129"/>
      <c r="C97" s="129"/>
      <c r="BY97" s="9"/>
      <c r="CA97" s="9"/>
    </row>
    <row r="98" spans="2:79" s="104" customFormat="1">
      <c r="B98" s="129"/>
      <c r="C98" s="129"/>
      <c r="BY98" s="9"/>
      <c r="CA98" s="9"/>
    </row>
    <row r="99" spans="2:79" s="104" customFormat="1">
      <c r="B99" s="165" t="s">
        <v>1516</v>
      </c>
      <c r="C99" s="165"/>
      <c r="K99" s="165" t="s">
        <v>1526</v>
      </c>
      <c r="L99" s="166"/>
    </row>
    <row r="100" spans="2:79" s="104" customFormat="1">
      <c r="B100" s="129" t="s">
        <v>1517</v>
      </c>
      <c r="C100" s="129"/>
      <c r="D100" s="129" t="s">
        <v>1518</v>
      </c>
      <c r="K100" s="129" t="s">
        <v>1527</v>
      </c>
    </row>
    <row r="101" spans="2:79" s="104" customFormat="1">
      <c r="B101" s="129" t="s">
        <v>21</v>
      </c>
      <c r="C101" s="129"/>
      <c r="D101" s="129" t="s">
        <v>1519</v>
      </c>
      <c r="K101" s="129" t="s">
        <v>1528</v>
      </c>
    </row>
    <row r="102" spans="2:79" s="104" customFormat="1">
      <c r="B102" s="129" t="s">
        <v>1520</v>
      </c>
      <c r="C102" s="129"/>
      <c r="D102" s="136" t="s">
        <v>1521</v>
      </c>
      <c r="K102" s="129" t="s">
        <v>1529</v>
      </c>
    </row>
    <row r="103" spans="2:79" s="104" customFormat="1">
      <c r="B103" s="129" t="s">
        <v>22</v>
      </c>
      <c r="C103" s="129"/>
      <c r="D103" s="129" t="s">
        <v>1522</v>
      </c>
      <c r="K103" s="129" t="s">
        <v>1530</v>
      </c>
    </row>
    <row r="104" spans="2:79" s="104" customFormat="1">
      <c r="B104" s="129" t="s">
        <v>1397</v>
      </c>
      <c r="C104" s="129"/>
      <c r="D104" s="129" t="s">
        <v>1523</v>
      </c>
    </row>
    <row r="105" spans="2:79" s="104" customFormat="1">
      <c r="B105" s="129" t="s">
        <v>23</v>
      </c>
      <c r="C105" s="129"/>
      <c r="D105" s="129" t="s">
        <v>1519</v>
      </c>
    </row>
    <row r="106" spans="2:79" s="104" customFormat="1">
      <c r="B106" s="129" t="s">
        <v>1524</v>
      </c>
      <c r="C106" s="129"/>
      <c r="D106" s="129" t="s">
        <v>1519</v>
      </c>
    </row>
    <row r="107" spans="2:79" s="104" customFormat="1">
      <c r="B107" s="129" t="s">
        <v>1632</v>
      </c>
      <c r="C107" s="129"/>
    </row>
    <row r="108" spans="2:79" s="104" customFormat="1">
      <c r="B108" s="129"/>
      <c r="C108" s="129"/>
      <c r="BY108" s="9"/>
      <c r="CA108" s="9"/>
    </row>
    <row r="109" spans="2:79" s="104" customFormat="1">
      <c r="B109" s="129"/>
      <c r="C109" s="1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4286-19BE-E849-91C4-FF46B84E4EE9}">
  <dimension ref="A1:AT66"/>
  <sheetViews>
    <sheetView workbookViewId="0">
      <selection activeCell="O35" sqref="O35"/>
    </sheetView>
  </sheetViews>
  <sheetFormatPr baseColWidth="10" defaultRowHeight="16"/>
  <cols>
    <col min="1" max="1" width="5.83203125" style="7" customWidth="1"/>
    <col min="2" max="2" width="17" style="7" customWidth="1"/>
    <col min="3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57.6640625" style="7" bestFit="1" customWidth="1"/>
    <col min="15" max="15" width="40.6640625" style="7" bestFit="1" customWidth="1"/>
    <col min="16" max="16" width="10.1640625" style="7" bestFit="1" customWidth="1"/>
    <col min="17" max="17" width="12.83203125" style="7" bestFit="1" customWidth="1"/>
    <col min="18" max="18" width="7.1640625" style="7" bestFit="1" customWidth="1"/>
    <col min="19" max="19" width="4.6640625" style="7" bestFit="1" customWidth="1"/>
    <col min="20" max="20" width="12.5" style="7" bestFit="1" customWidth="1"/>
    <col min="21" max="21" width="12.5" style="7" customWidth="1"/>
    <col min="22" max="22" width="5.83203125" style="7" customWidth="1"/>
    <col min="23" max="23" width="17.83203125" style="7" bestFit="1" customWidth="1"/>
    <col min="24" max="24" width="36.6640625" style="7" bestFit="1" customWidth="1"/>
    <col min="25" max="25" width="5.33203125" style="7" bestFit="1" customWidth="1"/>
    <col min="26" max="26" width="9.33203125" style="7" bestFit="1" customWidth="1"/>
    <col min="27" max="27" width="5.33203125" style="7" bestFit="1" customWidth="1"/>
    <col min="28" max="30" width="9.5" style="7" bestFit="1" customWidth="1"/>
    <col min="31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5.33203125" style="7" bestFit="1" customWidth="1"/>
    <col min="45" max="45" width="12.83203125" style="7" bestFit="1" customWidth="1"/>
    <col min="46" max="46" width="56.5" style="7" bestFit="1" customWidth="1"/>
    <col min="47" max="16384" width="10.83203125" style="7"/>
  </cols>
  <sheetData>
    <row r="1" spans="2:15" customFormat="1">
      <c r="C1" s="32"/>
      <c r="D1" s="32"/>
      <c r="G1" s="32"/>
    </row>
    <row r="2" spans="2:15" s="1" customFormat="1" ht="21">
      <c r="B2" s="1" t="s">
        <v>1636</v>
      </c>
      <c r="C2" s="33"/>
      <c r="D2" s="33"/>
      <c r="F2" s="1" t="s">
        <v>1645</v>
      </c>
      <c r="G2" s="33"/>
    </row>
    <row r="3" spans="2:15" s="1" customFormat="1" ht="21">
      <c r="C3" s="33"/>
      <c r="D3" s="33"/>
      <c r="G3" s="33"/>
    </row>
    <row r="4" spans="2:15" s="1" customFormat="1" ht="21">
      <c r="C4" s="33"/>
      <c r="D4" s="33"/>
      <c r="G4" s="33"/>
    </row>
    <row r="5" spans="2:15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</row>
    <row r="6" spans="2:15" s="4" customFormat="1">
      <c r="N6" s="55"/>
    </row>
    <row r="7" spans="2:15" ht="21">
      <c r="N7" s="82" t="s">
        <v>6</v>
      </c>
    </row>
    <row r="8" spans="2:15">
      <c r="B8" s="7" t="s">
        <v>1636</v>
      </c>
      <c r="C8" s="9"/>
      <c r="N8" s="7" t="s">
        <v>1726</v>
      </c>
    </row>
    <row r="9" spans="2:15">
      <c r="B9" s="7" t="s">
        <v>1637</v>
      </c>
      <c r="C9" s="9"/>
    </row>
    <row r="10" spans="2:15">
      <c r="C10" s="9"/>
    </row>
    <row r="11" spans="2:15">
      <c r="C11" s="9"/>
      <c r="N11" s="12" t="s">
        <v>1728</v>
      </c>
      <c r="O11" s="84" t="s">
        <v>1727</v>
      </c>
    </row>
    <row r="12" spans="2:15">
      <c r="B12" s="7" t="s">
        <v>1638</v>
      </c>
      <c r="C12" s="9">
        <v>450</v>
      </c>
      <c r="D12" s="7" t="s">
        <v>1639</v>
      </c>
      <c r="O12" s="7" t="s">
        <v>3183</v>
      </c>
    </row>
    <row r="13" spans="2:15">
      <c r="B13" s="7" t="s">
        <v>1640</v>
      </c>
      <c r="C13" s="9">
        <v>3026</v>
      </c>
    </row>
    <row r="14" spans="2:15">
      <c r="B14" s="7" t="s">
        <v>1641</v>
      </c>
      <c r="C14" s="9">
        <v>26</v>
      </c>
      <c r="D14" s="7" t="s">
        <v>1642</v>
      </c>
    </row>
    <row r="15" spans="2:15">
      <c r="B15" s="7" t="s">
        <v>1383</v>
      </c>
      <c r="C15" s="9">
        <v>39</v>
      </c>
    </row>
    <row r="17" spans="1:46" ht="21">
      <c r="B17" s="225" t="s">
        <v>1949</v>
      </c>
      <c r="C17" s="99">
        <v>401</v>
      </c>
      <c r="N17" s="207" t="s">
        <v>3094</v>
      </c>
    </row>
    <row r="18" spans="1:46">
      <c r="C18" s="9"/>
      <c r="N18" s="7" t="s">
        <v>1950</v>
      </c>
    </row>
    <row r="19" spans="1:46">
      <c r="B19" s="7" t="s">
        <v>1643</v>
      </c>
      <c r="C19" s="27" t="s">
        <v>1644</v>
      </c>
    </row>
    <row r="25" spans="1:46" s="16" customFormat="1" ht="21">
      <c r="A25" s="15"/>
      <c r="D25" s="15"/>
      <c r="E25" s="15"/>
      <c r="F25" s="1" t="s">
        <v>17</v>
      </c>
      <c r="G25" s="1"/>
      <c r="H25" s="1"/>
      <c r="I25" s="1"/>
      <c r="J25" s="1"/>
      <c r="K25" s="1"/>
      <c r="L25" s="1"/>
      <c r="M25" s="15"/>
      <c r="N25" s="17"/>
      <c r="O25" s="17"/>
      <c r="T25" s="15"/>
      <c r="U25" s="15"/>
      <c r="V25" s="15"/>
      <c r="X25" s="18"/>
      <c r="Y25" s="15"/>
      <c r="Z25" s="15"/>
      <c r="AA25" s="15"/>
      <c r="AB25" s="17"/>
      <c r="AC25" s="15"/>
      <c r="AD25" s="15"/>
      <c r="AE25" s="15"/>
      <c r="AF25" s="17"/>
      <c r="AG25" s="15"/>
      <c r="AH25" s="15"/>
      <c r="AI25" s="17"/>
      <c r="AJ25" s="15"/>
      <c r="AK25" s="17"/>
      <c r="AL25" s="15"/>
      <c r="AM25" s="15"/>
      <c r="AQ25" s="15"/>
      <c r="AR25" s="15"/>
    </row>
    <row r="26" spans="1:46" s="16" customFormat="1" ht="21">
      <c r="A26" s="15"/>
      <c r="B26" s="16" t="s">
        <v>18</v>
      </c>
      <c r="C26" s="16" t="s">
        <v>19</v>
      </c>
      <c r="D26" s="15"/>
      <c r="E26" s="15"/>
      <c r="F26" s="1" t="s">
        <v>20</v>
      </c>
      <c r="G26" s="1"/>
      <c r="H26" s="1"/>
      <c r="I26" s="1"/>
      <c r="J26" s="1"/>
      <c r="K26" s="1"/>
      <c r="L26" s="1"/>
      <c r="M26" s="15"/>
      <c r="N26" s="17"/>
      <c r="O26" s="17"/>
      <c r="T26" s="15"/>
      <c r="U26" s="15"/>
      <c r="V26" s="15"/>
      <c r="X26" s="18"/>
      <c r="Y26" s="15"/>
      <c r="Z26" s="15"/>
      <c r="AA26" s="15"/>
      <c r="AB26" s="17"/>
      <c r="AC26" s="15" t="s">
        <v>21</v>
      </c>
      <c r="AD26" s="15" t="s">
        <v>21</v>
      </c>
      <c r="AE26" s="15" t="s">
        <v>21</v>
      </c>
      <c r="AF26" s="17"/>
      <c r="AG26" s="15" t="s">
        <v>22</v>
      </c>
      <c r="AH26" s="15" t="s">
        <v>22</v>
      </c>
      <c r="AI26" s="17"/>
      <c r="AJ26" s="15"/>
      <c r="AK26" s="17"/>
      <c r="AL26" s="15" t="s">
        <v>23</v>
      </c>
      <c r="AM26" s="15" t="s">
        <v>23</v>
      </c>
      <c r="AN26" s="15" t="s">
        <v>24</v>
      </c>
      <c r="AO26" s="15"/>
      <c r="AP26" s="15"/>
      <c r="AQ26" s="15"/>
      <c r="AR26" s="15"/>
    </row>
    <row r="27" spans="1:46" s="20" customFormat="1" ht="22" thickBot="1">
      <c r="A27" s="19"/>
      <c r="B27" s="20" t="s">
        <v>25</v>
      </c>
      <c r="C27" s="20" t="s">
        <v>25</v>
      </c>
      <c r="D27" s="19"/>
      <c r="E27" s="19"/>
      <c r="F27" s="2" t="s">
        <v>26</v>
      </c>
      <c r="G27" s="2" t="s">
        <v>27</v>
      </c>
      <c r="H27" s="2" t="s">
        <v>28</v>
      </c>
      <c r="I27" s="2" t="s">
        <v>29</v>
      </c>
      <c r="J27" s="2" t="s">
        <v>14</v>
      </c>
      <c r="K27" s="2" t="s">
        <v>24</v>
      </c>
      <c r="L27" s="2" t="s">
        <v>30</v>
      </c>
      <c r="M27" s="19"/>
      <c r="N27" s="21" t="s">
        <v>31</v>
      </c>
      <c r="O27" s="21" t="s">
        <v>962</v>
      </c>
      <c r="P27" s="20" t="s">
        <v>32</v>
      </c>
      <c r="Q27" s="20" t="s">
        <v>33</v>
      </c>
      <c r="R27" s="20" t="s">
        <v>34</v>
      </c>
      <c r="S27" s="21" t="s">
        <v>35</v>
      </c>
      <c r="T27" s="21" t="s">
        <v>118</v>
      </c>
      <c r="U27" s="21" t="s">
        <v>119</v>
      </c>
      <c r="V27" s="19"/>
      <c r="W27" s="20" t="s">
        <v>37</v>
      </c>
      <c r="X27" s="21" t="s">
        <v>38</v>
      </c>
      <c r="Y27" s="19" t="s">
        <v>39</v>
      </c>
      <c r="Z27" s="21" t="s">
        <v>40</v>
      </c>
      <c r="AA27" s="19" t="s">
        <v>39</v>
      </c>
      <c r="AB27" s="21" t="s">
        <v>21</v>
      </c>
      <c r="AC27" s="19" t="s">
        <v>41</v>
      </c>
      <c r="AD27" s="19" t="s">
        <v>39</v>
      </c>
      <c r="AE27" s="19" t="s">
        <v>42</v>
      </c>
      <c r="AF27" s="21" t="s">
        <v>22</v>
      </c>
      <c r="AG27" s="19" t="s">
        <v>39</v>
      </c>
      <c r="AH27" s="19" t="s">
        <v>43</v>
      </c>
      <c r="AI27" s="21" t="s">
        <v>44</v>
      </c>
      <c r="AJ27" s="19" t="s">
        <v>39</v>
      </c>
      <c r="AK27" s="21" t="s">
        <v>23</v>
      </c>
      <c r="AL27" s="19" t="s">
        <v>39</v>
      </c>
      <c r="AM27" s="19" t="s">
        <v>42</v>
      </c>
      <c r="AN27" s="19" t="s">
        <v>45</v>
      </c>
      <c r="AO27" s="20" t="s">
        <v>39</v>
      </c>
      <c r="AP27" s="19" t="s">
        <v>42</v>
      </c>
      <c r="AQ27" s="19"/>
      <c r="AR27" s="19" t="s">
        <v>39</v>
      </c>
      <c r="AS27" s="20" t="s">
        <v>2</v>
      </c>
      <c r="AT27" s="20" t="s">
        <v>1383</v>
      </c>
    </row>
    <row r="28" spans="1:46">
      <c r="D28" s="9"/>
      <c r="E28" s="210"/>
      <c r="M28" s="210"/>
      <c r="V28" s="210"/>
      <c r="AQ28" s="210"/>
    </row>
    <row r="29" spans="1:46" s="22" customFormat="1">
      <c r="B29" s="22" t="s">
        <v>1765</v>
      </c>
      <c r="C29" s="22" t="s">
        <v>1763</v>
      </c>
      <c r="D29" s="23"/>
      <c r="E29" s="210"/>
      <c r="F29" s="23">
        <v>1</v>
      </c>
      <c r="G29" s="23"/>
      <c r="H29" s="23"/>
      <c r="I29" s="23"/>
      <c r="J29" s="23"/>
      <c r="K29" s="23"/>
      <c r="L29" s="23"/>
      <c r="M29" s="210"/>
      <c r="N29" s="22" t="s">
        <v>1647</v>
      </c>
      <c r="O29" s="22" t="s">
        <v>1646</v>
      </c>
      <c r="Q29" s="22" t="s">
        <v>1657</v>
      </c>
      <c r="R29" s="22" t="s">
        <v>300</v>
      </c>
      <c r="T29" s="22" t="s">
        <v>1735</v>
      </c>
      <c r="V29" s="210"/>
      <c r="W29" s="22" t="s">
        <v>1645</v>
      </c>
      <c r="X29" s="36" t="s">
        <v>1662</v>
      </c>
      <c r="Y29" s="23">
        <v>1</v>
      </c>
      <c r="AQ29" s="210"/>
    </row>
    <row r="30" spans="1:46" s="22" customFormat="1">
      <c r="B30" s="22" t="s">
        <v>1766</v>
      </c>
      <c r="C30" s="22" t="s">
        <v>1749</v>
      </c>
      <c r="D30" s="23"/>
      <c r="E30" s="210"/>
      <c r="F30" s="23">
        <v>1</v>
      </c>
      <c r="G30" s="23"/>
      <c r="H30" s="23"/>
      <c r="I30" s="23"/>
      <c r="J30" s="23"/>
      <c r="K30" s="23"/>
      <c r="L30" s="23">
        <v>1</v>
      </c>
      <c r="M30" s="210"/>
      <c r="N30" s="22" t="s">
        <v>1648</v>
      </c>
      <c r="Q30" s="22" t="s">
        <v>1658</v>
      </c>
      <c r="R30" s="22" t="s">
        <v>300</v>
      </c>
      <c r="T30" s="22" t="s">
        <v>1736</v>
      </c>
      <c r="V30" s="210"/>
      <c r="W30" s="22" t="s">
        <v>1645</v>
      </c>
      <c r="X30" s="36" t="s">
        <v>1649</v>
      </c>
      <c r="Y30" s="23">
        <v>1</v>
      </c>
      <c r="AQ30" s="210"/>
    </row>
    <row r="31" spans="1:46" s="22" customFormat="1">
      <c r="B31" s="22" t="s">
        <v>1767</v>
      </c>
      <c r="C31" s="22" t="s">
        <v>642</v>
      </c>
      <c r="D31" s="23"/>
      <c r="E31" s="210"/>
      <c r="F31" s="23">
        <v>1</v>
      </c>
      <c r="G31" s="23"/>
      <c r="H31" s="23"/>
      <c r="I31" s="23"/>
      <c r="J31" s="23"/>
      <c r="K31" s="23"/>
      <c r="L31" s="23">
        <v>1</v>
      </c>
      <c r="M31" s="210"/>
      <c r="N31" s="22" t="s">
        <v>1650</v>
      </c>
      <c r="Q31" s="22" t="s">
        <v>1657</v>
      </c>
      <c r="R31" s="22" t="s">
        <v>300</v>
      </c>
      <c r="T31" s="22" t="s">
        <v>1737</v>
      </c>
      <c r="V31" s="210"/>
      <c r="W31" s="22" t="s">
        <v>1645</v>
      </c>
      <c r="X31" s="36" t="s">
        <v>1663</v>
      </c>
      <c r="Y31" s="23">
        <v>1</v>
      </c>
      <c r="AQ31" s="210"/>
    </row>
    <row r="32" spans="1:46" s="22" customFormat="1">
      <c r="B32" s="22" t="s">
        <v>1768</v>
      </c>
      <c r="C32" s="22" t="s">
        <v>1764</v>
      </c>
      <c r="D32" s="23"/>
      <c r="E32" s="210"/>
      <c r="F32" s="23">
        <v>1</v>
      </c>
      <c r="G32" s="23"/>
      <c r="H32" s="23"/>
      <c r="I32" s="23"/>
      <c r="J32" s="23"/>
      <c r="K32" s="23"/>
      <c r="L32" s="23">
        <v>1</v>
      </c>
      <c r="M32" s="210"/>
      <c r="N32" s="22" t="s">
        <v>1651</v>
      </c>
      <c r="R32" s="22" t="s">
        <v>543</v>
      </c>
      <c r="T32" s="22" t="s">
        <v>1738</v>
      </c>
      <c r="V32" s="210"/>
      <c r="W32" s="22" t="s">
        <v>1645</v>
      </c>
      <c r="X32" s="36" t="s">
        <v>1664</v>
      </c>
      <c r="Y32" s="23">
        <v>1</v>
      </c>
      <c r="AQ32" s="210"/>
    </row>
    <row r="33" spans="2:46" s="22" customFormat="1">
      <c r="B33" s="22" t="s">
        <v>1769</v>
      </c>
      <c r="C33" s="22" t="s">
        <v>1291</v>
      </c>
      <c r="D33" s="23"/>
      <c r="E33" s="210"/>
      <c r="F33" s="23">
        <v>1</v>
      </c>
      <c r="G33" s="23"/>
      <c r="H33" s="23"/>
      <c r="I33" s="23"/>
      <c r="J33" s="23"/>
      <c r="K33" s="23"/>
      <c r="L33" s="23">
        <v>1</v>
      </c>
      <c r="M33" s="210"/>
      <c r="N33" s="22" t="s">
        <v>1652</v>
      </c>
      <c r="Q33" s="22" t="s">
        <v>1656</v>
      </c>
      <c r="R33" s="22" t="s">
        <v>300</v>
      </c>
      <c r="T33" s="22" t="s">
        <v>1739</v>
      </c>
      <c r="V33" s="210"/>
      <c r="W33" s="22" t="s">
        <v>1645</v>
      </c>
      <c r="X33" s="36" t="s">
        <v>1665</v>
      </c>
      <c r="Y33" s="23">
        <v>1</v>
      </c>
      <c r="AQ33" s="210"/>
    </row>
    <row r="34" spans="2:46" s="22" customFormat="1">
      <c r="B34" s="22" t="s">
        <v>384</v>
      </c>
      <c r="C34" s="22" t="s">
        <v>1310</v>
      </c>
      <c r="D34" s="23"/>
      <c r="E34" s="210"/>
      <c r="F34" s="23"/>
      <c r="G34" s="23"/>
      <c r="H34" s="23"/>
      <c r="I34" s="23"/>
      <c r="J34" s="23"/>
      <c r="K34" s="23"/>
      <c r="L34" s="23"/>
      <c r="M34" s="210"/>
      <c r="N34" s="22" t="s">
        <v>1653</v>
      </c>
      <c r="Q34" s="22" t="s">
        <v>1655</v>
      </c>
      <c r="R34" s="22" t="s">
        <v>300</v>
      </c>
      <c r="T34" s="22" t="s">
        <v>1740</v>
      </c>
      <c r="V34" s="210"/>
      <c r="W34" s="22" t="s">
        <v>1645</v>
      </c>
      <c r="X34" s="36" t="s">
        <v>1654</v>
      </c>
      <c r="Y34" s="23">
        <v>1</v>
      </c>
      <c r="AQ34" s="210"/>
    </row>
    <row r="35" spans="2:46" s="22" customFormat="1">
      <c r="D35" s="23"/>
      <c r="E35" s="210"/>
      <c r="F35" s="23"/>
      <c r="G35" s="23"/>
      <c r="H35" s="23"/>
      <c r="I35" s="23"/>
      <c r="J35" s="23"/>
      <c r="K35" s="25"/>
      <c r="L35" s="23"/>
      <c r="M35" s="210"/>
      <c r="V35" s="210"/>
      <c r="AQ35" s="210"/>
    </row>
    <row r="36" spans="2:46">
      <c r="D36" s="9"/>
      <c r="G36" s="9"/>
    </row>
    <row r="39" spans="2:46" ht="19">
      <c r="N39" s="86" t="s">
        <v>1659</v>
      </c>
    </row>
    <row r="40" spans="2:46">
      <c r="B40" s="95" t="s">
        <v>3089</v>
      </c>
      <c r="C40" s="22"/>
      <c r="D40" s="22"/>
      <c r="E40" s="210"/>
      <c r="F40" s="22"/>
      <c r="G40" s="22"/>
      <c r="H40" s="22"/>
      <c r="I40" s="22"/>
      <c r="J40" s="22"/>
      <c r="K40" s="22"/>
      <c r="L40" s="22"/>
      <c r="M40" s="210"/>
      <c r="N40" s="95" t="s">
        <v>3090</v>
      </c>
      <c r="V40" s="210"/>
      <c r="AQ40" s="210"/>
    </row>
    <row r="41" spans="2:46" s="22" customFormat="1">
      <c r="B41" s="22" t="s">
        <v>1302</v>
      </c>
      <c r="C41" s="22" t="s">
        <v>1747</v>
      </c>
      <c r="E41" s="210"/>
      <c r="J41" s="23">
        <v>1</v>
      </c>
      <c r="M41" s="210"/>
      <c r="N41" s="22" t="s">
        <v>1660</v>
      </c>
      <c r="O41" s="22" t="s">
        <v>1666</v>
      </c>
      <c r="V41" s="210"/>
      <c r="X41" s="36" t="s">
        <v>1661</v>
      </c>
      <c r="Y41" s="23">
        <v>1</v>
      </c>
      <c r="AQ41" s="210"/>
      <c r="AR41" s="23">
        <v>5</v>
      </c>
      <c r="AS41" s="22" t="s">
        <v>1734</v>
      </c>
      <c r="AT41" s="22" t="s">
        <v>252</v>
      </c>
    </row>
    <row r="42" spans="2:46" s="22" customFormat="1">
      <c r="B42" s="22" t="s">
        <v>366</v>
      </c>
      <c r="C42" s="22" t="s">
        <v>1748</v>
      </c>
      <c r="E42" s="210"/>
      <c r="J42" s="23">
        <v>1</v>
      </c>
      <c r="M42" s="210"/>
      <c r="N42" s="22" t="s">
        <v>1660</v>
      </c>
      <c r="O42" s="22" t="s">
        <v>1668</v>
      </c>
      <c r="V42" s="210"/>
      <c r="X42" s="36" t="s">
        <v>1667</v>
      </c>
      <c r="Y42" s="23">
        <v>1</v>
      </c>
      <c r="AQ42" s="210"/>
      <c r="AR42" s="23">
        <v>17</v>
      </c>
      <c r="AS42" s="22" t="s">
        <v>1734</v>
      </c>
      <c r="AT42" s="22" t="s">
        <v>1675</v>
      </c>
    </row>
    <row r="43" spans="2:46" s="22" customFormat="1">
      <c r="B43" s="22" t="s">
        <v>1770</v>
      </c>
      <c r="C43" s="22" t="s">
        <v>1749</v>
      </c>
      <c r="E43" s="210"/>
      <c r="J43" s="23">
        <v>1</v>
      </c>
      <c r="M43" s="210"/>
      <c r="N43" s="22" t="s">
        <v>1660</v>
      </c>
      <c r="O43" s="22" t="s">
        <v>1670</v>
      </c>
      <c r="V43" s="210"/>
      <c r="X43" s="36" t="s">
        <v>1669</v>
      </c>
      <c r="Y43" s="23">
        <v>1</v>
      </c>
      <c r="AQ43" s="210"/>
      <c r="AR43" s="23">
        <v>14</v>
      </c>
      <c r="AS43" s="22" t="s">
        <v>1734</v>
      </c>
      <c r="AT43" s="22" t="s">
        <v>1674</v>
      </c>
    </row>
    <row r="44" spans="2:46" s="22" customFormat="1">
      <c r="B44" s="22" t="s">
        <v>514</v>
      </c>
      <c r="C44" s="22" t="s">
        <v>1750</v>
      </c>
      <c r="E44" s="210"/>
      <c r="J44" s="23">
        <v>1</v>
      </c>
      <c r="M44" s="210"/>
      <c r="N44" s="22" t="s">
        <v>1660</v>
      </c>
      <c r="O44" s="22" t="s">
        <v>1672</v>
      </c>
      <c r="V44" s="210"/>
      <c r="X44" s="36" t="s">
        <v>1671</v>
      </c>
      <c r="Y44" s="23">
        <v>1</v>
      </c>
      <c r="AQ44" s="210"/>
      <c r="AR44" s="23">
        <v>20</v>
      </c>
      <c r="AS44" s="22" t="s">
        <v>1734</v>
      </c>
      <c r="AT44" s="22" t="s">
        <v>1673</v>
      </c>
    </row>
    <row r="45" spans="2:46" s="22" customFormat="1">
      <c r="B45" s="22" t="s">
        <v>778</v>
      </c>
      <c r="C45" s="22" t="s">
        <v>1751</v>
      </c>
      <c r="E45" s="210"/>
      <c r="J45" s="23">
        <v>1</v>
      </c>
      <c r="M45" s="210"/>
      <c r="N45" s="22" t="s">
        <v>1660</v>
      </c>
      <c r="O45" s="22" t="s">
        <v>1677</v>
      </c>
      <c r="V45" s="210"/>
      <c r="X45" s="36" t="s">
        <v>1676</v>
      </c>
      <c r="Y45" s="23">
        <v>1</v>
      </c>
      <c r="AQ45" s="210"/>
      <c r="AR45" s="23">
        <v>25</v>
      </c>
      <c r="AS45" s="22" t="s">
        <v>1734</v>
      </c>
      <c r="AT45" s="22" t="s">
        <v>551</v>
      </c>
    </row>
    <row r="46" spans="2:46" s="22" customFormat="1">
      <c r="B46" s="22" t="s">
        <v>1741</v>
      </c>
      <c r="C46" s="22" t="s">
        <v>1752</v>
      </c>
      <c r="E46" s="210"/>
      <c r="J46" s="23">
        <v>1</v>
      </c>
      <c r="M46" s="210"/>
      <c r="N46" s="22" t="s">
        <v>1660</v>
      </c>
      <c r="O46" s="22" t="s">
        <v>1679</v>
      </c>
      <c r="V46" s="210"/>
      <c r="X46" s="36" t="s">
        <v>1678</v>
      </c>
      <c r="Y46" s="23">
        <v>1</v>
      </c>
      <c r="AQ46" s="210"/>
      <c r="AR46" s="23">
        <v>14</v>
      </c>
      <c r="AS46" s="22" t="s">
        <v>1734</v>
      </c>
      <c r="AT46" s="22" t="s">
        <v>1680</v>
      </c>
    </row>
    <row r="47" spans="2:46" s="22" customFormat="1">
      <c r="B47" s="22" t="s">
        <v>1307</v>
      </c>
      <c r="C47" s="22" t="s">
        <v>1753</v>
      </c>
      <c r="E47" s="210"/>
      <c r="J47" s="23">
        <v>1</v>
      </c>
      <c r="M47" s="210"/>
      <c r="N47" s="22" t="s">
        <v>1660</v>
      </c>
      <c r="O47" s="22" t="s">
        <v>1683</v>
      </c>
      <c r="V47" s="210"/>
      <c r="X47" s="36" t="s">
        <v>1682</v>
      </c>
      <c r="Y47" s="23">
        <v>1</v>
      </c>
      <c r="AQ47" s="210"/>
      <c r="AR47" s="23">
        <v>16</v>
      </c>
      <c r="AS47" s="22" t="s">
        <v>1734</v>
      </c>
      <c r="AT47" s="22" t="s">
        <v>1681</v>
      </c>
    </row>
    <row r="48" spans="2:46" s="22" customFormat="1">
      <c r="B48" s="22" t="s">
        <v>415</v>
      </c>
      <c r="C48" s="22" t="s">
        <v>1754</v>
      </c>
      <c r="E48" s="210"/>
      <c r="J48" s="23">
        <v>1</v>
      </c>
      <c r="M48" s="210"/>
      <c r="N48" s="22" t="s">
        <v>1660</v>
      </c>
      <c r="O48" s="22" t="s">
        <v>1684</v>
      </c>
      <c r="V48" s="210"/>
      <c r="X48" s="36" t="s">
        <v>1686</v>
      </c>
      <c r="Y48" s="23">
        <v>1</v>
      </c>
      <c r="AQ48" s="210"/>
      <c r="AR48" s="23">
        <v>17</v>
      </c>
      <c r="AS48" s="22" t="s">
        <v>1734</v>
      </c>
      <c r="AT48" s="22" t="s">
        <v>1685</v>
      </c>
    </row>
    <row r="49" spans="1:46" s="22" customFormat="1">
      <c r="B49" s="22" t="s">
        <v>1742</v>
      </c>
      <c r="C49" s="22" t="s">
        <v>1291</v>
      </c>
      <c r="E49" s="210"/>
      <c r="J49" s="23">
        <v>1</v>
      </c>
      <c r="M49" s="210"/>
      <c r="N49" s="22" t="s">
        <v>1660</v>
      </c>
      <c r="O49" s="22" t="s">
        <v>1688</v>
      </c>
      <c r="V49" s="210"/>
      <c r="X49" s="36" t="s">
        <v>1687</v>
      </c>
      <c r="Y49" s="23">
        <v>1</v>
      </c>
      <c r="AQ49" s="210"/>
      <c r="AR49" s="23">
        <v>11</v>
      </c>
      <c r="AS49" s="22" t="s">
        <v>1734</v>
      </c>
      <c r="AT49" s="22" t="s">
        <v>269</v>
      </c>
    </row>
    <row r="50" spans="1:46" s="22" customFormat="1">
      <c r="B50" s="22" t="s">
        <v>1743</v>
      </c>
      <c r="C50" s="22" t="s">
        <v>1755</v>
      </c>
      <c r="E50" s="210"/>
      <c r="J50" s="23">
        <v>1</v>
      </c>
      <c r="M50" s="210"/>
      <c r="N50" s="22" t="s">
        <v>1660</v>
      </c>
      <c r="O50" s="22" t="s">
        <v>1689</v>
      </c>
      <c r="V50" s="210"/>
      <c r="X50" s="36" t="s">
        <v>1691</v>
      </c>
      <c r="Y50" s="23">
        <v>1</v>
      </c>
      <c r="AQ50" s="210"/>
      <c r="AR50" s="23">
        <v>12</v>
      </c>
      <c r="AS50" s="22" t="s">
        <v>1734</v>
      </c>
      <c r="AT50" s="22" t="s">
        <v>1690</v>
      </c>
    </row>
    <row r="51" spans="1:46" s="22" customFormat="1">
      <c r="B51" s="22" t="s">
        <v>1744</v>
      </c>
      <c r="C51" s="22" t="s">
        <v>1756</v>
      </c>
      <c r="E51" s="210"/>
      <c r="J51" s="23">
        <v>1</v>
      </c>
      <c r="M51" s="210"/>
      <c r="N51" s="22" t="s">
        <v>1660</v>
      </c>
      <c r="O51" s="22" t="s">
        <v>1692</v>
      </c>
      <c r="V51" s="210"/>
      <c r="X51" s="36" t="s">
        <v>1693</v>
      </c>
      <c r="Y51" s="23">
        <v>1</v>
      </c>
      <c r="AQ51" s="210"/>
      <c r="AR51" s="23">
        <v>17</v>
      </c>
      <c r="AS51" s="22" t="s">
        <v>1734</v>
      </c>
      <c r="AT51" s="22" t="s">
        <v>1694</v>
      </c>
    </row>
    <row r="52" spans="1:46" s="22" customFormat="1">
      <c r="B52" s="22" t="s">
        <v>1745</v>
      </c>
      <c r="C52" s="22" t="s">
        <v>1757</v>
      </c>
      <c r="E52" s="210"/>
      <c r="J52" s="23">
        <v>1</v>
      </c>
      <c r="M52" s="210"/>
      <c r="N52" s="22" t="s">
        <v>1660</v>
      </c>
      <c r="O52" s="22" t="s">
        <v>1696</v>
      </c>
      <c r="V52" s="210"/>
      <c r="X52" s="36" t="s">
        <v>1695</v>
      </c>
      <c r="Y52" s="23">
        <v>1</v>
      </c>
      <c r="AQ52" s="210"/>
      <c r="AR52" s="23">
        <v>23</v>
      </c>
      <c r="AS52" s="22" t="s">
        <v>1734</v>
      </c>
      <c r="AT52" s="22" t="s">
        <v>446</v>
      </c>
    </row>
    <row r="53" spans="1:46" s="22" customFormat="1">
      <c r="B53" s="22" t="s">
        <v>247</v>
      </c>
      <c r="C53" s="22" t="s">
        <v>1758</v>
      </c>
      <c r="E53" s="210"/>
      <c r="J53" s="23">
        <v>1</v>
      </c>
      <c r="M53" s="210"/>
      <c r="N53" s="22" t="s">
        <v>1660</v>
      </c>
      <c r="O53" s="22" t="s">
        <v>1699</v>
      </c>
      <c r="V53" s="210"/>
      <c r="X53" s="36" t="s">
        <v>1698</v>
      </c>
      <c r="Y53" s="23">
        <v>1</v>
      </c>
      <c r="AQ53" s="210"/>
      <c r="AR53" s="23">
        <v>13</v>
      </c>
      <c r="AS53" s="22" t="s">
        <v>1734</v>
      </c>
      <c r="AT53" s="22" t="s">
        <v>1697</v>
      </c>
    </row>
    <row r="54" spans="1:46" s="22" customFormat="1">
      <c r="B54" s="22" t="s">
        <v>180</v>
      </c>
      <c r="C54" s="22" t="s">
        <v>1759</v>
      </c>
      <c r="E54" s="210"/>
      <c r="J54" s="23">
        <v>1</v>
      </c>
      <c r="M54" s="210"/>
      <c r="N54" s="22" t="s">
        <v>1660</v>
      </c>
      <c r="O54" s="22" t="s">
        <v>1700</v>
      </c>
      <c r="V54" s="210"/>
      <c r="X54" s="36" t="s">
        <v>1702</v>
      </c>
      <c r="Y54" s="23">
        <v>1</v>
      </c>
      <c r="AQ54" s="210"/>
      <c r="AR54" s="23">
        <v>15</v>
      </c>
      <c r="AS54" s="22" t="s">
        <v>1734</v>
      </c>
      <c r="AT54" s="22" t="s">
        <v>1701</v>
      </c>
    </row>
    <row r="55" spans="1:46" s="22" customFormat="1">
      <c r="B55" s="22" t="s">
        <v>294</v>
      </c>
      <c r="C55" s="22" t="s">
        <v>1760</v>
      </c>
      <c r="E55" s="210"/>
      <c r="J55" s="23">
        <v>1</v>
      </c>
      <c r="M55" s="210"/>
      <c r="N55" s="22" t="s">
        <v>1660</v>
      </c>
      <c r="O55" s="22" t="s">
        <v>1703</v>
      </c>
      <c r="V55" s="210"/>
      <c r="X55" s="36" t="s">
        <v>1705</v>
      </c>
      <c r="Y55" s="23">
        <v>1</v>
      </c>
      <c r="AQ55" s="210"/>
      <c r="AR55" s="23">
        <v>32</v>
      </c>
      <c r="AS55" s="22" t="s">
        <v>1734</v>
      </c>
      <c r="AT55" s="22" t="s">
        <v>1704</v>
      </c>
    </row>
    <row r="56" spans="1:46" s="22" customFormat="1">
      <c r="B56" s="22" t="s">
        <v>843</v>
      </c>
      <c r="C56" s="22" t="s">
        <v>1761</v>
      </c>
      <c r="E56" s="210"/>
      <c r="J56" s="23">
        <v>1</v>
      </c>
      <c r="M56" s="210"/>
      <c r="N56" s="22" t="s">
        <v>1660</v>
      </c>
      <c r="O56" s="22" t="s">
        <v>1706</v>
      </c>
      <c r="V56" s="210"/>
      <c r="X56" s="36" t="s">
        <v>1708</v>
      </c>
      <c r="Y56" s="23">
        <v>1</v>
      </c>
      <c r="AQ56" s="210"/>
      <c r="AR56" s="23">
        <v>34</v>
      </c>
      <c r="AS56" s="22" t="s">
        <v>1734</v>
      </c>
      <c r="AT56" s="22" t="s">
        <v>1707</v>
      </c>
    </row>
    <row r="57" spans="1:46" s="22" customFormat="1">
      <c r="B57" s="22" t="s">
        <v>1746</v>
      </c>
      <c r="C57" s="22" t="s">
        <v>1762</v>
      </c>
      <c r="E57" s="210"/>
      <c r="J57" s="23">
        <v>1</v>
      </c>
      <c r="M57" s="210"/>
      <c r="N57" s="22" t="s">
        <v>1660</v>
      </c>
      <c r="O57" s="22" t="s">
        <v>1711</v>
      </c>
      <c r="V57" s="210"/>
      <c r="X57" s="36" t="s">
        <v>1710</v>
      </c>
      <c r="Y57" s="23">
        <v>1</v>
      </c>
      <c r="AQ57" s="210"/>
      <c r="AR57" s="23">
        <v>33</v>
      </c>
      <c r="AS57" s="22" t="s">
        <v>1734</v>
      </c>
      <c r="AT57" s="22" t="s">
        <v>1709</v>
      </c>
    </row>
    <row r="58" spans="1:46" s="22" customFormat="1">
      <c r="B58" s="22" t="s">
        <v>1729</v>
      </c>
      <c r="C58" s="22" t="s">
        <v>1730</v>
      </c>
      <c r="E58" s="210"/>
      <c r="J58" s="23">
        <v>1</v>
      </c>
      <c r="M58" s="210"/>
      <c r="N58" s="22" t="s">
        <v>1660</v>
      </c>
      <c r="O58" s="22" t="s">
        <v>1712</v>
      </c>
      <c r="V58" s="210"/>
      <c r="X58" s="36" t="s">
        <v>1713</v>
      </c>
      <c r="Y58" s="23">
        <v>1</v>
      </c>
      <c r="AQ58" s="210"/>
      <c r="AR58" s="23">
        <v>17</v>
      </c>
      <c r="AS58" s="22" t="s">
        <v>1734</v>
      </c>
      <c r="AT58" s="22" t="s">
        <v>586</v>
      </c>
    </row>
    <row r="59" spans="1:46" s="22" customFormat="1">
      <c r="B59" s="22" t="s">
        <v>1716</v>
      </c>
      <c r="C59" s="22" t="s">
        <v>1731</v>
      </c>
      <c r="E59" s="210"/>
      <c r="J59" s="23">
        <v>1</v>
      </c>
      <c r="M59" s="210"/>
      <c r="N59" s="22" t="s">
        <v>1660</v>
      </c>
      <c r="O59" s="22" t="s">
        <v>1717</v>
      </c>
      <c r="V59" s="210"/>
      <c r="X59" s="36" t="s">
        <v>1715</v>
      </c>
      <c r="Y59" s="23">
        <v>1</v>
      </c>
      <c r="AQ59" s="210"/>
      <c r="AR59" s="23">
        <v>22</v>
      </c>
      <c r="AS59" s="22" t="s">
        <v>1734</v>
      </c>
      <c r="AT59" s="22" t="s">
        <v>1714</v>
      </c>
    </row>
    <row r="60" spans="1:46" s="22" customFormat="1">
      <c r="B60" s="22" t="s">
        <v>598</v>
      </c>
      <c r="C60" s="22" t="s">
        <v>275</v>
      </c>
      <c r="E60" s="210"/>
      <c r="J60" s="23">
        <v>1</v>
      </c>
      <c r="M60" s="210"/>
      <c r="N60" s="22" t="s">
        <v>1660</v>
      </c>
      <c r="O60" s="22" t="s">
        <v>1718</v>
      </c>
      <c r="V60" s="210"/>
      <c r="X60" s="36" t="s">
        <v>1719</v>
      </c>
      <c r="Y60" s="23">
        <v>1</v>
      </c>
      <c r="AQ60" s="210"/>
      <c r="AR60" s="23">
        <v>37</v>
      </c>
      <c r="AS60" s="22" t="s">
        <v>1734</v>
      </c>
      <c r="AT60" s="22" t="s">
        <v>56</v>
      </c>
    </row>
    <row r="61" spans="1:46" s="22" customFormat="1">
      <c r="B61" s="22" t="s">
        <v>514</v>
      </c>
      <c r="C61" s="22" t="s">
        <v>1732</v>
      </c>
      <c r="E61" s="210"/>
      <c r="J61" s="23">
        <v>1</v>
      </c>
      <c r="M61" s="210"/>
      <c r="N61" s="22" t="s">
        <v>1660</v>
      </c>
      <c r="O61" s="22" t="s">
        <v>1721</v>
      </c>
      <c r="V61" s="210"/>
      <c r="X61" s="36" t="s">
        <v>1722</v>
      </c>
      <c r="Y61" s="23">
        <v>1</v>
      </c>
      <c r="AQ61" s="210"/>
      <c r="AR61" s="23">
        <v>14</v>
      </c>
      <c r="AS61" s="22" t="s">
        <v>1734</v>
      </c>
      <c r="AT61" s="22" t="s">
        <v>1720</v>
      </c>
    </row>
    <row r="62" spans="1:46" s="22" customFormat="1">
      <c r="B62" s="22" t="s">
        <v>255</v>
      </c>
      <c r="C62" s="22" t="s">
        <v>1733</v>
      </c>
      <c r="E62" s="210"/>
      <c r="J62" s="23">
        <v>1</v>
      </c>
      <c r="M62" s="210"/>
      <c r="N62" s="22" t="s">
        <v>1660</v>
      </c>
      <c r="O62" s="22" t="s">
        <v>1724</v>
      </c>
      <c r="V62" s="210"/>
      <c r="X62" s="36" t="s">
        <v>1725</v>
      </c>
      <c r="Y62" s="23">
        <v>1</v>
      </c>
      <c r="AQ62" s="210"/>
      <c r="AR62" s="23">
        <v>17</v>
      </c>
      <c r="AS62" s="22" t="s">
        <v>1734</v>
      </c>
      <c r="AT62" s="22" t="s">
        <v>1723</v>
      </c>
    </row>
    <row r="63" spans="1:46" s="22" customFormat="1">
      <c r="AR63" s="23"/>
    </row>
    <row r="64" spans="1:46" s="88" customFormat="1" ht="19">
      <c r="A64" s="87"/>
      <c r="B64" s="87" t="s">
        <v>684</v>
      </c>
      <c r="C64" s="87"/>
      <c r="D64" s="87"/>
      <c r="E64" s="87"/>
      <c r="F64" s="87">
        <f t="shared" ref="F64:L64" si="0">SUM(F41:F63)</f>
        <v>0</v>
      </c>
      <c r="G64" s="87">
        <f t="shared" si="0"/>
        <v>0</v>
      </c>
      <c r="H64" s="87">
        <f t="shared" si="0"/>
        <v>0</v>
      </c>
      <c r="I64" s="87">
        <f t="shared" si="0"/>
        <v>0</v>
      </c>
      <c r="J64" s="87">
        <f t="shared" si="0"/>
        <v>22</v>
      </c>
      <c r="K64" s="87">
        <f t="shared" si="0"/>
        <v>0</v>
      </c>
      <c r="L64" s="87">
        <f t="shared" si="0"/>
        <v>0</v>
      </c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>
        <f>SUM(Y29:Y62)</f>
        <v>28</v>
      </c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8">
        <f>SUM(AR41:AR63)</f>
        <v>425</v>
      </c>
    </row>
    <row r="65" s="22" customFormat="1"/>
    <row r="66" s="22" customFormat="1"/>
  </sheetData>
  <hyperlinks>
    <hyperlink ref="X29" r:id="rId1" display="mailto:dana@eco-pres.org" xr:uid="{B849F053-190C-EC4F-AD5D-6F2D7BBA77AC}"/>
    <hyperlink ref="X30" r:id="rId2" display="mailto:robyn@eco-pres.org" xr:uid="{9736B8F6-5670-D54C-B0BA-7950F83CD64A}"/>
    <hyperlink ref="X31" r:id="rId3" display="mailto:kim@eco-pres.org" xr:uid="{0289B11E-5332-C547-91F5-FE8003ABB370}"/>
    <hyperlink ref="X32" r:id="rId4" display="mailto:jen@eco-pres.org" xr:uid="{B099DC44-E0D9-5042-A4E1-514E8BB7E62F}"/>
    <hyperlink ref="X33" r:id="rId5" display="mailto:lisa@eco-pres.org" xr:uid="{9A752BD2-FE19-144F-98E8-822D8787722E}"/>
    <hyperlink ref="X34" r:id="rId6" display="mailto:mark@flourishinstitute.online" xr:uid="{0ADA6D38-66E8-EA48-9704-BD897A6D5C55}"/>
    <hyperlink ref="X41" r:id="rId7" display="mailto:alaskamod@ecopresbytery.org" xr:uid="{138DB031-E709-8B44-A50A-AB5750D59F3D}"/>
    <hyperlink ref="X42" r:id="rId8" display="mailto:bluewatermod@ecopresbytery.org" xr:uid="{882DDD21-8A60-1C49-B702-055B879AC19B}"/>
    <hyperlink ref="X43" r:id="rId9" display="mailto:cornerstonemod@ecopresbytery.org" xr:uid="{B4AECC40-722F-FC48-9D40-1C60EBBE4B56}"/>
    <hyperlink ref="X44" r:id="rId10" display="mailto:eastcentralmod@ecopresbytery.org" xr:uid="{2B7F9D1F-E502-BA44-859E-C1A804623FFE}"/>
    <hyperlink ref="X45" r:id="rId11" display="mailto:floridamod@ecopresbytery.org" xr:uid="{B90B7AE8-7901-234F-B232-F5CFD04F954F}"/>
    <hyperlink ref="X46" r:id="rId12" display="mailto:greatlakesmod@ecopresbytery.org" xr:uid="{9EE746BC-F54B-F24F-AAA4-1CB9F1C119F4}"/>
    <hyperlink ref="X47" r:id="rId13" display="mailto:harvestmod@ecopresbytery.org" xr:uid="{2AB5426F-0299-C34F-B812-11913C9DC9DE}"/>
    <hyperlink ref="X48" r:id="rId14" display="mailto:heritagemod@ecopresbytery.org" xr:uid="{D1C3AD1F-329E-A641-BB35-AFCEC4C8B298}"/>
    <hyperlink ref="X49" r:id="rId15" display="mailto:hopemod@ecopresbytery.org" xr:uid="{E1DCB29A-8E95-E746-BDDC-D53F4F1299C1}"/>
    <hyperlink ref="X50" r:id="rId16" display="mailto:midamericamod@ecopresbytery.org" xr:uid="{596C507E-02D3-9045-9B47-A8BF031644BF}"/>
    <hyperlink ref="X51" r:id="rId17" display="mailto:missionmod@ecopresbytery.org" xr:uid="{7B325C1A-9B4E-0D4C-BD73-5171504CADDA}"/>
    <hyperlink ref="X52" r:id="rId18" display="mailto:northcarolinamod@ecopresbytery.org" xr:uid="{FE85B981-3E68-AC41-BB78-37B6ECAFA7DC}"/>
    <hyperlink ref="X53" r:id="rId19" display="mailto:northeastcoastmod@ecopresbytery.org" xr:uid="{CB5A1EFD-43C5-CA4F-B36C-EE61284C4791}"/>
    <hyperlink ref="X54" r:id="rId20" display="mailto:northerncaliforniamod@ecopresbytery.org" xr:uid="{B896EB8C-DD82-EB46-BCC3-3FADAAD7D41C}"/>
    <hyperlink ref="X55" r:id="rId21" display="mailto:northwestmod@ecopresbytery.org" xr:uid="{A92F45D0-115C-934A-AA56-939EFAF51C33}"/>
    <hyperlink ref="X56" r:id="rId22" display="mailto:riversoflifemod@ecopresbytery.org" xr:uid="{B525FE75-7887-E34E-AAC7-23689AB850C9}"/>
    <hyperlink ref="X57" r:id="rId23" display="mailto:southmod@ecopresbytery.org" xr:uid="{70477DE4-4721-7F42-A9A2-63DF82F5ED25}"/>
    <hyperlink ref="X58" r:id="rId24" display="mailto:southcarolinamod@ecopresbytery.org" xr:uid="{45DD0ABD-74DB-434B-A924-50A06E27B7B3}"/>
    <hyperlink ref="X59" r:id="rId25" display="mailto:southerncaliforniamod@ecopresbytery.org" xr:uid="{79AB8B2E-846F-F34B-92EF-CD38A8E2C5BE}"/>
    <hyperlink ref="X60" r:id="rId26" display="mailto:texasmod@ecopresbytery.org" xr:uid="{64F32151-C04E-554E-85D7-C9A82B786CC1}"/>
    <hyperlink ref="X61" r:id="rId27" display="mailto:uppermidwestmod@ecopresbytery.org" xr:uid="{1AC7A72D-816C-B04C-9549-DFFF07727D3E}"/>
    <hyperlink ref="X62" r:id="rId28" display="mailto:westmod@ecopresbytery.org" xr:uid="{15BD68E0-D5D1-CE4F-8773-6443ECFC9CE7}"/>
  </hyperlinks>
  <pageMargins left="0.7" right="0.7" top="0.75" bottom="0.75" header="0.3" footer="0.3"/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FF11-23BE-E44E-B335-C6956DA43DF6}">
  <dimension ref="A1:CO114"/>
  <sheetViews>
    <sheetView workbookViewId="0">
      <selection activeCell="A6" sqref="A6"/>
    </sheetView>
  </sheetViews>
  <sheetFormatPr baseColWidth="10" defaultRowHeight="16"/>
  <cols>
    <col min="2" max="2" width="15.83203125" customWidth="1"/>
    <col min="3" max="3" width="15.33203125" customWidth="1"/>
    <col min="4" max="4" width="6.1640625" bestFit="1" customWidth="1"/>
    <col min="5" max="5" width="5.83203125" bestFit="1" customWidth="1"/>
    <col min="6" max="6" width="8.5" bestFit="1" customWidth="1"/>
    <col min="7" max="7" width="5.83203125" customWidth="1"/>
    <col min="9" max="9" width="8.33203125" bestFit="1" customWidth="1"/>
    <col min="10" max="10" width="9.33203125" bestFit="1" customWidth="1"/>
    <col min="11" max="11" width="9.33203125" customWidth="1"/>
    <col min="12" max="12" width="5.83203125" customWidth="1"/>
    <col min="13" max="13" width="6.83203125" customWidth="1"/>
    <col min="14" max="14" width="5.6640625" bestFit="1" customWidth="1"/>
    <col min="15" max="15" width="6.1640625" bestFit="1" customWidth="1"/>
    <col min="16" max="16" width="5.6640625" bestFit="1" customWidth="1"/>
    <col min="17" max="17" width="9" bestFit="1" customWidth="1"/>
    <col min="18" max="18" width="7.6640625" bestFit="1" customWidth="1"/>
    <col min="19" max="19" width="5.83203125" customWidth="1"/>
    <col min="20" max="20" width="14.5" bestFit="1" customWidth="1"/>
    <col min="21" max="21" width="7.6640625" bestFit="1" customWidth="1"/>
    <col min="22" max="22" width="8.5" bestFit="1" customWidth="1"/>
    <col min="23" max="23" width="9.1640625" bestFit="1" customWidth="1"/>
    <col min="24" max="24" width="12" bestFit="1" customWidth="1"/>
    <col min="25" max="26" width="13.33203125" bestFit="1" customWidth="1"/>
    <col min="27" max="27" width="9" bestFit="1" customWidth="1"/>
    <col min="28" max="28" width="9.1640625" bestFit="1" customWidth="1"/>
    <col min="29" max="29" width="5" bestFit="1" customWidth="1"/>
    <col min="30" max="30" width="13.5" bestFit="1" customWidth="1"/>
    <col min="31" max="31" width="11.5" bestFit="1" customWidth="1"/>
    <col min="32" max="32" width="9.33203125" bestFit="1" customWidth="1"/>
    <col min="33" max="33" width="9.6640625" bestFit="1" customWidth="1"/>
    <col min="34" max="34" width="12.33203125" bestFit="1" customWidth="1"/>
    <col min="35" max="35" width="4.83203125" bestFit="1" customWidth="1"/>
    <col min="36" max="36" width="9.5" bestFit="1" customWidth="1"/>
    <col min="37" max="37" width="5.83203125" customWidth="1"/>
    <col min="39" max="39" width="5" bestFit="1" customWidth="1"/>
    <col min="40" max="40" width="4.83203125" bestFit="1" customWidth="1"/>
    <col min="41" max="41" width="4.1640625" bestFit="1" customWidth="1"/>
    <col min="42" max="42" width="9" bestFit="1" customWidth="1"/>
    <col min="43" max="43" width="5.83203125" customWidth="1"/>
    <col min="44" max="45" width="8.5" bestFit="1" customWidth="1"/>
    <col min="46" max="46" width="5.83203125" customWidth="1"/>
    <col min="47" max="47" width="9.5" customWidth="1"/>
    <col min="48" max="49" width="9.5" bestFit="1" customWidth="1"/>
    <col min="50" max="50" width="8.6640625" bestFit="1" customWidth="1"/>
    <col min="51" max="51" width="7.6640625" bestFit="1" customWidth="1"/>
    <col min="52" max="52" width="5.83203125" customWidth="1"/>
    <col min="53" max="53" width="15.6640625" bestFit="1" customWidth="1"/>
    <col min="54" max="55" width="7.1640625" bestFit="1" customWidth="1"/>
    <col min="56" max="56" width="11.83203125" customWidth="1"/>
    <col min="57" max="58" width="9" bestFit="1" customWidth="1"/>
    <col min="59" max="59" width="5.6640625" bestFit="1" customWidth="1"/>
    <col min="60" max="61" width="9.5" bestFit="1" customWidth="1"/>
    <col min="62" max="62" width="6.33203125" bestFit="1" customWidth="1"/>
    <col min="63" max="63" width="9.1640625" bestFit="1" customWidth="1"/>
    <col min="64" max="64" width="11.1640625" bestFit="1" customWidth="1"/>
    <col min="65" max="65" width="5.83203125" customWidth="1"/>
  </cols>
  <sheetData>
    <row r="1" spans="1:93" s="101" customFormat="1">
      <c r="B1" s="102"/>
    </row>
    <row r="2" spans="1:93" s="101" customFormat="1" ht="19">
      <c r="B2" s="169" t="s">
        <v>1636</v>
      </c>
    </row>
    <row r="3" spans="1:93" s="101" customFormat="1">
      <c r="B3" s="102" t="s">
        <v>1381</v>
      </c>
    </row>
    <row r="4" spans="1:93" s="101" customFormat="1">
      <c r="B4" s="140" t="s">
        <v>1533</v>
      </c>
    </row>
    <row r="5" spans="1:93" s="101" customFormat="1">
      <c r="B5" s="140"/>
    </row>
    <row r="6" spans="1:93" s="101" customFormat="1">
      <c r="B6" s="102"/>
    </row>
    <row r="7" spans="1:93" s="42" customFormat="1">
      <c r="B7" s="41"/>
      <c r="C7" s="42" t="s">
        <v>191</v>
      </c>
      <c r="M7" s="41" t="s">
        <v>192</v>
      </c>
      <c r="T7" s="41" t="s">
        <v>1384</v>
      </c>
      <c r="U7" s="41"/>
      <c r="V7" s="41"/>
      <c r="W7" s="41"/>
      <c r="X7" s="41"/>
      <c r="AL7" s="41" t="s">
        <v>1385</v>
      </c>
      <c r="AS7" s="42" t="s">
        <v>124</v>
      </c>
      <c r="AU7" s="41" t="s">
        <v>1386</v>
      </c>
      <c r="BA7" s="42" t="s">
        <v>1388</v>
      </c>
      <c r="BL7" s="42" t="s">
        <v>1535</v>
      </c>
    </row>
    <row r="8" spans="1:93" s="42" customFormat="1">
      <c r="B8" s="41"/>
      <c r="C8" s="42" t="s">
        <v>1389</v>
      </c>
      <c r="D8" s="42" t="s">
        <v>191</v>
      </c>
      <c r="E8" s="42" t="s">
        <v>124</v>
      </c>
      <c r="F8" s="42" t="s">
        <v>124</v>
      </c>
      <c r="H8" s="43" t="s">
        <v>194</v>
      </c>
      <c r="I8" s="39"/>
      <c r="J8" s="39"/>
      <c r="K8" s="39"/>
      <c r="M8" s="44" t="s">
        <v>20</v>
      </c>
      <c r="N8" s="44"/>
      <c r="O8" s="44"/>
      <c r="P8" s="44"/>
      <c r="Q8" s="44"/>
      <c r="R8" s="44"/>
      <c r="T8" s="42" t="s">
        <v>195</v>
      </c>
      <c r="U8" s="42" t="s">
        <v>196</v>
      </c>
      <c r="V8" s="42" t="s">
        <v>197</v>
      </c>
      <c r="W8" s="42" t="s">
        <v>198</v>
      </c>
      <c r="X8" s="42" t="s">
        <v>199</v>
      </c>
      <c r="Y8" s="42" t="s">
        <v>14</v>
      </c>
      <c r="Z8" s="42" t="s">
        <v>200</v>
      </c>
      <c r="AC8" s="42" t="s">
        <v>201</v>
      </c>
      <c r="AD8" s="42" t="s">
        <v>202</v>
      </c>
      <c r="AE8" s="42" t="s">
        <v>203</v>
      </c>
      <c r="AF8" s="42" t="s">
        <v>204</v>
      </c>
      <c r="AH8" s="42" t="s">
        <v>205</v>
      </c>
      <c r="AJ8" s="42" t="s">
        <v>206</v>
      </c>
      <c r="AL8" s="41" t="s">
        <v>207</v>
      </c>
      <c r="AR8" s="42" t="s">
        <v>124</v>
      </c>
      <c r="AS8" s="42" t="s">
        <v>1391</v>
      </c>
      <c r="AU8" s="46" t="s">
        <v>209</v>
      </c>
      <c r="AV8" s="46" t="s">
        <v>210</v>
      </c>
      <c r="AW8" s="46" t="s">
        <v>211</v>
      </c>
      <c r="AX8" s="46" t="s">
        <v>212</v>
      </c>
      <c r="AY8" s="46" t="s">
        <v>213</v>
      </c>
      <c r="BA8" s="42" t="s">
        <v>1517</v>
      </c>
      <c r="BB8" s="42" t="s">
        <v>21</v>
      </c>
      <c r="BC8" s="42" t="s">
        <v>21</v>
      </c>
      <c r="BD8" s="42" t="s">
        <v>21</v>
      </c>
      <c r="BE8" s="42" t="s">
        <v>22</v>
      </c>
      <c r="BF8" s="42" t="s">
        <v>22</v>
      </c>
      <c r="BH8" s="42" t="s">
        <v>23</v>
      </c>
      <c r="BI8" s="42" t="s">
        <v>23</v>
      </c>
      <c r="BJ8" s="42" t="s">
        <v>24</v>
      </c>
      <c r="BK8" s="42" t="s">
        <v>24</v>
      </c>
      <c r="BL8" s="42" t="s">
        <v>1387</v>
      </c>
    </row>
    <row r="9" spans="1:93" s="53" customFormat="1" ht="17" thickBot="1">
      <c r="A9" s="53" t="s">
        <v>214</v>
      </c>
      <c r="B9" s="53" t="s">
        <v>34</v>
      </c>
      <c r="C9" s="53" t="s">
        <v>1393</v>
      </c>
      <c r="D9" s="53" t="s">
        <v>216</v>
      </c>
      <c r="E9" s="53" t="s">
        <v>216</v>
      </c>
      <c r="F9" s="53" t="s">
        <v>2</v>
      </c>
      <c r="H9" s="49" t="s">
        <v>217</v>
      </c>
      <c r="I9" s="48" t="s">
        <v>218</v>
      </c>
      <c r="J9" s="48" t="s">
        <v>1539</v>
      </c>
      <c r="K9" s="48" t="s">
        <v>1633</v>
      </c>
      <c r="M9" s="51" t="s">
        <v>26</v>
      </c>
      <c r="N9" s="51" t="s">
        <v>27</v>
      </c>
      <c r="O9" s="51" t="s">
        <v>28</v>
      </c>
      <c r="P9" s="51" t="s">
        <v>29</v>
      </c>
      <c r="Q9" s="51" t="s">
        <v>14</v>
      </c>
      <c r="R9" s="51" t="s">
        <v>30</v>
      </c>
      <c r="T9" s="53" t="s">
        <v>225</v>
      </c>
      <c r="U9" s="53" t="s">
        <v>226</v>
      </c>
      <c r="V9" s="53" t="s">
        <v>226</v>
      </c>
      <c r="W9" s="53" t="s">
        <v>215</v>
      </c>
      <c r="X9" s="53" t="s">
        <v>227</v>
      </c>
      <c r="Y9" s="53" t="s">
        <v>228</v>
      </c>
      <c r="Z9" s="53" t="s">
        <v>229</v>
      </c>
      <c r="AA9" s="53" t="s">
        <v>230</v>
      </c>
      <c r="AB9" s="53" t="s">
        <v>231</v>
      </c>
      <c r="AC9" s="53" t="s">
        <v>232</v>
      </c>
      <c r="AD9" s="53" t="s">
        <v>233</v>
      </c>
      <c r="AE9" s="53" t="s">
        <v>234</v>
      </c>
      <c r="AF9" s="53" t="s">
        <v>235</v>
      </c>
      <c r="AG9" s="53" t="s">
        <v>236</v>
      </c>
      <c r="AH9" s="53" t="s">
        <v>237</v>
      </c>
      <c r="AI9" s="53" t="s">
        <v>238</v>
      </c>
      <c r="AJ9" s="53" t="s">
        <v>239</v>
      </c>
      <c r="AL9" s="53" t="s">
        <v>240</v>
      </c>
      <c r="AM9" s="53" t="s">
        <v>241</v>
      </c>
      <c r="AN9" s="53" t="s">
        <v>242</v>
      </c>
      <c r="AO9" s="53" t="s">
        <v>243</v>
      </c>
      <c r="AP9" s="53" t="s">
        <v>14</v>
      </c>
      <c r="AR9" s="53" t="s">
        <v>2</v>
      </c>
      <c r="AS9" s="53" t="s">
        <v>2</v>
      </c>
      <c r="AU9" s="53" t="s">
        <v>244</v>
      </c>
      <c r="AV9" s="53" t="s">
        <v>244</v>
      </c>
      <c r="AW9" s="53" t="s">
        <v>244</v>
      </c>
      <c r="AX9" s="53" t="s">
        <v>34</v>
      </c>
      <c r="AY9" s="53" t="s">
        <v>196</v>
      </c>
      <c r="BA9" s="53" t="s">
        <v>39</v>
      </c>
      <c r="BB9" s="53" t="s">
        <v>39</v>
      </c>
      <c r="BC9" s="53" t="s">
        <v>1396</v>
      </c>
      <c r="BD9" s="53" t="s">
        <v>42</v>
      </c>
      <c r="BE9" s="53" t="s">
        <v>39</v>
      </c>
      <c r="BF9" s="53" t="s">
        <v>43</v>
      </c>
      <c r="BG9" s="53" t="s">
        <v>1397</v>
      </c>
      <c r="BH9" s="53" t="s">
        <v>39</v>
      </c>
      <c r="BI9" s="53" t="s">
        <v>42</v>
      </c>
      <c r="BJ9" s="53" t="s">
        <v>45</v>
      </c>
      <c r="BK9" s="53" t="s">
        <v>42</v>
      </c>
      <c r="BL9" s="53" t="s">
        <v>1543</v>
      </c>
    </row>
    <row r="10" spans="1:93" s="66" customFormat="1">
      <c r="A10" s="104"/>
      <c r="B10" s="66" t="s">
        <v>1398</v>
      </c>
      <c r="C10" s="104">
        <v>0</v>
      </c>
      <c r="D10" s="104">
        <f>SUM('[4]Alabama-clean 7'!C14)</f>
        <v>0</v>
      </c>
      <c r="E10" s="104">
        <v>7</v>
      </c>
      <c r="F10" s="104">
        <f t="shared" ref="F10:F48" si="0">SUM(AR10)</f>
        <v>4</v>
      </c>
      <c r="G10" s="210"/>
      <c r="H10" s="104">
        <v>4</v>
      </c>
      <c r="I10" s="104">
        <v>0</v>
      </c>
      <c r="J10" s="104">
        <v>0</v>
      </c>
      <c r="K10" s="104">
        <v>0</v>
      </c>
      <c r="L10" s="210"/>
      <c r="M10" s="104">
        <v>1</v>
      </c>
      <c r="N10" s="104">
        <v>0</v>
      </c>
      <c r="O10" s="104">
        <v>0</v>
      </c>
      <c r="P10" s="104">
        <v>0</v>
      </c>
      <c r="Q10" s="104">
        <v>3</v>
      </c>
      <c r="R10" s="104">
        <v>0</v>
      </c>
      <c r="S10" s="210"/>
      <c r="T10" s="66">
        <v>4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1</v>
      </c>
      <c r="AA10" s="66">
        <v>0</v>
      </c>
      <c r="AB10" s="66">
        <v>1</v>
      </c>
      <c r="AC10" s="66">
        <v>0</v>
      </c>
      <c r="AD10" s="66">
        <v>0</v>
      </c>
      <c r="AE10" s="66">
        <v>0</v>
      </c>
      <c r="AF10" s="66">
        <v>1</v>
      </c>
      <c r="AG10" s="66">
        <v>9</v>
      </c>
      <c r="AH10" s="66">
        <v>0</v>
      </c>
      <c r="AI10" s="66">
        <v>0</v>
      </c>
      <c r="AJ10" s="66">
        <v>0</v>
      </c>
      <c r="AK10" s="210"/>
      <c r="AL10" s="104">
        <v>0</v>
      </c>
      <c r="AM10" s="104">
        <v>0</v>
      </c>
      <c r="AN10" s="104">
        <v>0</v>
      </c>
      <c r="AO10" s="104">
        <v>0</v>
      </c>
      <c r="AP10" s="104">
        <v>4</v>
      </c>
      <c r="AQ10" s="210"/>
      <c r="AR10" s="104">
        <v>4</v>
      </c>
      <c r="AS10" s="104">
        <v>0</v>
      </c>
      <c r="AT10" s="210"/>
      <c r="AU10" s="104">
        <v>0</v>
      </c>
      <c r="AV10" s="104">
        <v>0</v>
      </c>
      <c r="AW10" s="104">
        <v>0</v>
      </c>
      <c r="AX10" s="104">
        <v>0</v>
      </c>
      <c r="AY10" s="104">
        <v>0</v>
      </c>
      <c r="AZ10" s="210"/>
      <c r="BA10" s="66">
        <v>4</v>
      </c>
      <c r="BB10" s="66">
        <v>1</v>
      </c>
      <c r="BC10" s="104">
        <v>0</v>
      </c>
      <c r="BD10" s="66">
        <v>564</v>
      </c>
      <c r="BE10" s="66">
        <v>0</v>
      </c>
      <c r="BF10" s="66">
        <v>0</v>
      </c>
      <c r="BG10" s="66">
        <v>0</v>
      </c>
      <c r="BH10" s="66">
        <v>0</v>
      </c>
      <c r="BI10" s="66">
        <v>0</v>
      </c>
      <c r="BJ10" s="104">
        <v>0</v>
      </c>
      <c r="BK10" s="104">
        <v>0</v>
      </c>
      <c r="BL10" s="104">
        <v>0</v>
      </c>
      <c r="BM10" s="210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</row>
    <row r="11" spans="1:93" s="104" customFormat="1">
      <c r="B11" s="66" t="s">
        <v>1399</v>
      </c>
      <c r="C11" s="104">
        <v>0</v>
      </c>
      <c r="D11" s="104">
        <v>3</v>
      </c>
      <c r="E11" s="104">
        <v>17</v>
      </c>
      <c r="F11" s="104">
        <f t="shared" si="0"/>
        <v>6</v>
      </c>
      <c r="G11" s="210"/>
      <c r="H11" s="104">
        <v>6</v>
      </c>
      <c r="I11" s="104">
        <v>0</v>
      </c>
      <c r="J11" s="104">
        <v>0</v>
      </c>
      <c r="K11" s="104">
        <v>0</v>
      </c>
      <c r="L11" s="210"/>
      <c r="M11" s="104">
        <v>6</v>
      </c>
      <c r="N11" s="104">
        <f>SUM('[4]Alaska-clean18'!N26)</f>
        <v>0</v>
      </c>
      <c r="O11" s="104">
        <f>SUM('[4]Alaska-clean18'!O26)</f>
        <v>0</v>
      </c>
      <c r="P11" s="104">
        <v>1</v>
      </c>
      <c r="Q11" s="104">
        <f>SUM('[4]Alaska-clean18'!Q26)</f>
        <v>0</v>
      </c>
      <c r="R11" s="104">
        <f>SUM('[4]Alaska-clean18'!R26)</f>
        <v>0</v>
      </c>
      <c r="S11" s="210"/>
      <c r="T11" s="104">
        <v>7</v>
      </c>
      <c r="U11" s="104">
        <f>SUM('[4]Alaska-clean18'!V26)</f>
        <v>0</v>
      </c>
      <c r="V11" s="104">
        <f>SUM('[4]Alaska-clean18'!W26)</f>
        <v>0</v>
      </c>
      <c r="W11" s="104">
        <f>SUM('[4]Alaska-clean18'!X26)</f>
        <v>0</v>
      </c>
      <c r="X11" s="104">
        <f>SUM('[4]Alaska-clean18'!Y26)</f>
        <v>0</v>
      </c>
      <c r="Y11" s="104">
        <v>4</v>
      </c>
      <c r="Z11" s="104">
        <v>1</v>
      </c>
      <c r="AA11" s="104">
        <v>1</v>
      </c>
      <c r="AB11" s="104">
        <v>2</v>
      </c>
      <c r="AC11" s="104">
        <v>1</v>
      </c>
      <c r="AD11" s="104">
        <f>SUM('[4]Alaska-clean18'!AE26)</f>
        <v>0</v>
      </c>
      <c r="AE11" s="104">
        <f>SUM('[4]Alaska-clean18'!AF26)</f>
        <v>0</v>
      </c>
      <c r="AF11" s="104">
        <f>SUM('[4]Alaska-clean18'!AG26)</f>
        <v>0</v>
      </c>
      <c r="AG11" s="104">
        <f>SUM('[4]Alaska-clean18'!AH26)</f>
        <v>0</v>
      </c>
      <c r="AH11" s="104">
        <f>SUM('[4]Alaska-clean18'!AI26)</f>
        <v>0</v>
      </c>
      <c r="AI11" s="104">
        <f>SUM('[4]Alaska-clean18'!AJ26)</f>
        <v>0</v>
      </c>
      <c r="AJ11" s="104">
        <f>SUM('[4]Alaska-clean18'!AK26)</f>
        <v>0</v>
      </c>
      <c r="AK11" s="210"/>
      <c r="AL11" s="104">
        <v>6</v>
      </c>
      <c r="AM11" s="104">
        <f>SUM('[4]Alaska-clean18'!AV26)</f>
        <v>0</v>
      </c>
      <c r="AN11" s="104">
        <f>SUM('[4]Alaska-clean18'!AW26)</f>
        <v>0</v>
      </c>
      <c r="AO11" s="104">
        <f>SUM('[4]Alaska-clean18'!AX26)</f>
        <v>0</v>
      </c>
      <c r="AP11" s="104">
        <f>SUM('[4]Alaska-clean18'!AY26)</f>
        <v>0</v>
      </c>
      <c r="AQ11" s="210"/>
      <c r="AR11" s="104">
        <v>6</v>
      </c>
      <c r="AS11" s="104">
        <f>SUM('[4]Alaska-clean18'!BD26)</f>
        <v>0</v>
      </c>
      <c r="AT11" s="210"/>
      <c r="AU11" s="104">
        <f>SUM('[4]Alaska-clean18'!BF26)</f>
        <v>0</v>
      </c>
      <c r="AV11" s="104">
        <f>SUM('[4]Alaska-clean18'!BG26)</f>
        <v>0</v>
      </c>
      <c r="AW11" s="104">
        <f>SUM('[4]Alaska-clean18'!BH26)</f>
        <v>0</v>
      </c>
      <c r="AX11" s="104">
        <f>SUM('[4]Alaska-clean18'!BI26)</f>
        <v>0</v>
      </c>
      <c r="AY11" s="104">
        <f>SUM('[4]Alaska-clean18'!BJ26)</f>
        <v>0</v>
      </c>
      <c r="AZ11" s="210"/>
      <c r="BA11" s="104">
        <v>11</v>
      </c>
      <c r="BB11" s="104">
        <f>SUM('[4]Alaska-clean18'!BS26)</f>
        <v>0</v>
      </c>
      <c r="BC11" s="104">
        <f>SUM('[4]Alaska-clean18'!BR26)</f>
        <v>0</v>
      </c>
      <c r="BD11" s="104">
        <f>SUM('[4]Alaska-clean18'!BT26)</f>
        <v>0</v>
      </c>
      <c r="BE11" s="104">
        <f>SUM('[4]Alaska-clean18'!BV26)</f>
        <v>0</v>
      </c>
      <c r="BF11" s="104">
        <f>SUM('[4]Alaska-clean18'!BW26)</f>
        <v>0</v>
      </c>
      <c r="BG11" s="104">
        <f>SUM('[4]Alaska-clean18'!BY26)</f>
        <v>0</v>
      </c>
      <c r="BH11" s="66">
        <f>SUM('[4]Alaska-clean18'!CA26)</f>
        <v>0</v>
      </c>
      <c r="BI11" s="66">
        <f>SUM('[4]Alaska-clean18'!CB26)</f>
        <v>0</v>
      </c>
      <c r="BJ11" s="66">
        <f>SUM('[4]Alaska-clean18'!CD26)</f>
        <v>0</v>
      </c>
      <c r="BK11" s="104">
        <f>SUM('[4]Alaska-clean18'!CE26)</f>
        <v>0</v>
      </c>
      <c r="BL11" s="104">
        <f>SUM('[4]Alaska-clean18'!BN26)</f>
        <v>0</v>
      </c>
      <c r="BM11" s="210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</row>
    <row r="12" spans="1:93" s="66" customFormat="1">
      <c r="A12" s="104"/>
      <c r="B12" s="66" t="s">
        <v>1400</v>
      </c>
      <c r="C12" s="66">
        <v>1</v>
      </c>
      <c r="D12" s="66">
        <v>13</v>
      </c>
      <c r="E12" s="66">
        <v>70</v>
      </c>
      <c r="F12" s="104">
        <f t="shared" si="0"/>
        <v>11</v>
      </c>
      <c r="G12" s="210"/>
      <c r="H12" s="66">
        <v>6</v>
      </c>
      <c r="I12" s="66">
        <v>4</v>
      </c>
      <c r="J12" s="66">
        <v>1</v>
      </c>
      <c r="K12" s="66">
        <v>0</v>
      </c>
      <c r="L12" s="210"/>
      <c r="M12" s="66">
        <v>9</v>
      </c>
      <c r="N12" s="66">
        <v>0</v>
      </c>
      <c r="O12" s="66">
        <v>0</v>
      </c>
      <c r="P12" s="66">
        <v>0</v>
      </c>
      <c r="Q12" s="66">
        <v>2</v>
      </c>
      <c r="R12" s="66">
        <v>1</v>
      </c>
      <c r="S12" s="210"/>
      <c r="T12" s="104">
        <v>12</v>
      </c>
      <c r="U12" s="104">
        <v>0</v>
      </c>
      <c r="V12" s="104">
        <v>0</v>
      </c>
      <c r="W12" s="104">
        <v>0</v>
      </c>
      <c r="X12" s="104">
        <v>0</v>
      </c>
      <c r="Y12" s="104">
        <v>6</v>
      </c>
      <c r="Z12" s="104">
        <v>2</v>
      </c>
      <c r="AA12" s="104">
        <v>0</v>
      </c>
      <c r="AB12" s="104">
        <v>2</v>
      </c>
      <c r="AC12" s="104">
        <v>3</v>
      </c>
      <c r="AD12" s="104">
        <v>0</v>
      </c>
      <c r="AE12" s="104">
        <v>0</v>
      </c>
      <c r="AF12" s="104">
        <v>2</v>
      </c>
      <c r="AG12" s="104">
        <v>0</v>
      </c>
      <c r="AH12" s="104">
        <v>0</v>
      </c>
      <c r="AI12" s="104">
        <v>0</v>
      </c>
      <c r="AJ12" s="104">
        <v>0</v>
      </c>
      <c r="AK12" s="210"/>
      <c r="AL12" s="66">
        <v>0</v>
      </c>
      <c r="AM12" s="66">
        <v>0</v>
      </c>
      <c r="AN12" s="66">
        <v>0</v>
      </c>
      <c r="AO12" s="66">
        <v>0</v>
      </c>
      <c r="AP12" s="66">
        <v>11</v>
      </c>
      <c r="AQ12" s="210"/>
      <c r="AR12" s="104">
        <v>11</v>
      </c>
      <c r="AS12" s="104">
        <v>0</v>
      </c>
      <c r="AT12" s="210"/>
      <c r="AU12" s="104">
        <v>0</v>
      </c>
      <c r="AV12" s="104">
        <v>0</v>
      </c>
      <c r="AW12" s="104">
        <v>0</v>
      </c>
      <c r="AX12" s="104">
        <v>0</v>
      </c>
      <c r="AY12" s="104">
        <v>0</v>
      </c>
      <c r="AZ12" s="210"/>
      <c r="BA12" s="104">
        <v>46</v>
      </c>
      <c r="BB12" s="104">
        <v>1</v>
      </c>
      <c r="BC12" s="104">
        <v>0</v>
      </c>
      <c r="BD12" s="104">
        <v>318</v>
      </c>
      <c r="BE12" s="104">
        <v>1</v>
      </c>
      <c r="BF12" s="104">
        <v>118</v>
      </c>
      <c r="BG12" s="104">
        <v>0</v>
      </c>
      <c r="BH12" s="66">
        <v>1</v>
      </c>
      <c r="BI12" s="66">
        <v>543</v>
      </c>
      <c r="BJ12" s="66">
        <v>1</v>
      </c>
      <c r="BK12" s="66">
        <v>9</v>
      </c>
      <c r="BL12" s="66">
        <v>0</v>
      </c>
      <c r="BM12" s="210"/>
    </row>
    <row r="13" spans="1:93" s="108" customFormat="1">
      <c r="A13" s="104"/>
      <c r="B13" s="108" t="s">
        <v>1401</v>
      </c>
      <c r="C13" s="108">
        <f>SUM('[4]Arkansas-clean 3'!B14)</f>
        <v>0</v>
      </c>
      <c r="D13" s="108">
        <f>SUM('[4]Arkansas-clean 3'!C14)</f>
        <v>0</v>
      </c>
      <c r="E13" s="108">
        <v>3</v>
      </c>
      <c r="F13" s="104">
        <f t="shared" si="0"/>
        <v>1</v>
      </c>
      <c r="G13" s="210"/>
      <c r="H13" s="108">
        <v>1</v>
      </c>
      <c r="I13" s="108">
        <v>0</v>
      </c>
      <c r="J13" s="108">
        <v>0</v>
      </c>
      <c r="K13" s="108">
        <v>0</v>
      </c>
      <c r="L13" s="210"/>
      <c r="M13" s="108">
        <v>1</v>
      </c>
      <c r="N13" s="108">
        <f>SUM('[4]Arkansas-clean 3'!N14)</f>
        <v>0</v>
      </c>
      <c r="O13" s="108">
        <f>SUM('[4]Arkansas-clean 3'!O14)</f>
        <v>0</v>
      </c>
      <c r="P13" s="108">
        <f>SUM('[4]Arkansas-clean 3'!P14)</f>
        <v>0</v>
      </c>
      <c r="Q13" s="108">
        <f>SUM('[4]Arkansas-clean 3'!Q14)</f>
        <v>0</v>
      </c>
      <c r="R13" s="108">
        <f>SUM('[4]Arkansas-clean 3'!R14)</f>
        <v>0</v>
      </c>
      <c r="S13" s="210"/>
      <c r="T13" s="108">
        <v>1</v>
      </c>
      <c r="U13" s="108">
        <f>SUM('[4]Arkansas-clean 3'!V14)</f>
        <v>0</v>
      </c>
      <c r="V13" s="108">
        <f>SUM('[4]Arkansas-clean 3'!W14)</f>
        <v>0</v>
      </c>
      <c r="W13" s="108">
        <f>SUM('[4]Arkansas-clean 3'!X14)</f>
        <v>0</v>
      </c>
      <c r="X13" s="108">
        <f>SUM('[4]Arkansas-clean 3'!Y14)</f>
        <v>0</v>
      </c>
      <c r="Y13" s="108">
        <v>2</v>
      </c>
      <c r="Z13" s="108">
        <f>SUM('[4]Arkansas-clean 3'!AA14)</f>
        <v>0</v>
      </c>
      <c r="AA13" s="108">
        <f>SUM('[4]Arkansas-clean 3'!AB14)</f>
        <v>0</v>
      </c>
      <c r="AB13" s="108">
        <f>SUM('[4]Arkansas-clean 3'!AC14)</f>
        <v>0</v>
      </c>
      <c r="AC13" s="108">
        <f>SUM('[4]Arkansas-clean 3'!AD14)</f>
        <v>0</v>
      </c>
      <c r="AD13" s="108">
        <f>SUM('[4]Arkansas-clean 3'!AE14)</f>
        <v>0</v>
      </c>
      <c r="AE13" s="108">
        <f>SUM('[4]Arkansas-clean 3'!AF14)</f>
        <v>0</v>
      </c>
      <c r="AF13" s="108">
        <f>SUM('[4]Arkansas-clean 3'!AG14)</f>
        <v>0</v>
      </c>
      <c r="AG13" s="108">
        <f>SUM('[4]Arkansas-clean 3'!AH14)</f>
        <v>0</v>
      </c>
      <c r="AH13" s="108">
        <f>SUM('[4]Arkansas-clean 3'!AI14)</f>
        <v>0</v>
      </c>
      <c r="AI13" s="108">
        <f>SUM('[4]Arkansas-clean 3'!AJ14)</f>
        <v>0</v>
      </c>
      <c r="AJ13" s="108">
        <f>SUM('[4]Arkansas-clean 3'!AK14)</f>
        <v>0</v>
      </c>
      <c r="AK13" s="210"/>
      <c r="AL13" s="108">
        <v>1</v>
      </c>
      <c r="AM13" s="108">
        <f>SUM('[4]Arkansas-clean 3'!AV14)</f>
        <v>0</v>
      </c>
      <c r="AN13" s="108">
        <f>SUM('[4]Arkansas-clean 3'!AW14)</f>
        <v>0</v>
      </c>
      <c r="AO13" s="108">
        <f>SUM('[4]Arkansas-clean 3'!AX14)</f>
        <v>0</v>
      </c>
      <c r="AP13" s="108">
        <f>SUM('[4]Arkansas-clean 3'!AY14)</f>
        <v>0</v>
      </c>
      <c r="AQ13" s="210"/>
      <c r="AR13" s="108">
        <v>1</v>
      </c>
      <c r="AS13" s="108">
        <f>SUM('[4]Arkansas-clean 3'!BD14)</f>
        <v>0</v>
      </c>
      <c r="AT13" s="210"/>
      <c r="AU13" s="108">
        <f>SUM('[4]Arkansas-clean 3'!BF14)</f>
        <v>0</v>
      </c>
      <c r="AV13" s="108">
        <f>SUM('[4]Arkansas-clean 3'!BG14)</f>
        <v>0</v>
      </c>
      <c r="AW13" s="108">
        <f>SUM('[4]Arkansas-clean 3'!BH14)</f>
        <v>0</v>
      </c>
      <c r="AX13" s="108">
        <f>SUM('[4]Arkansas-clean 3'!BI14)</f>
        <v>0</v>
      </c>
      <c r="AY13" s="108">
        <f>SUM('[4]Arkansas-clean 3'!BJ14)</f>
        <v>0</v>
      </c>
      <c r="AZ13" s="210"/>
      <c r="BA13" s="108">
        <v>1</v>
      </c>
      <c r="BB13" s="108">
        <f>SUM('[4]Arkansas-clean 3'!BS14)</f>
        <v>0</v>
      </c>
      <c r="BC13" s="104">
        <f>SUM('[4]Arkansas-clean 3'!BR14)</f>
        <v>0</v>
      </c>
      <c r="BD13" s="108">
        <f>SUM('[4]Arkansas-clean 3'!BT14)</f>
        <v>0</v>
      </c>
      <c r="BE13" s="108">
        <v>0</v>
      </c>
      <c r="BF13" s="108">
        <v>0</v>
      </c>
      <c r="BG13" s="108">
        <v>0</v>
      </c>
      <c r="BH13" s="108">
        <v>0</v>
      </c>
      <c r="BI13" s="108">
        <v>0</v>
      </c>
      <c r="BJ13" s="109">
        <v>0</v>
      </c>
      <c r="BK13" s="108">
        <v>0</v>
      </c>
      <c r="BL13" s="108">
        <v>0</v>
      </c>
      <c r="BM13" s="210"/>
    </row>
    <row r="14" spans="1:93" s="108" customFormat="1">
      <c r="A14" s="104"/>
      <c r="B14" s="109" t="s">
        <v>1402</v>
      </c>
      <c r="C14" s="170">
        <v>10</v>
      </c>
      <c r="D14" s="109">
        <v>201</v>
      </c>
      <c r="E14" s="109">
        <v>657</v>
      </c>
      <c r="F14" s="104">
        <f t="shared" si="0"/>
        <v>64</v>
      </c>
      <c r="G14" s="210"/>
      <c r="H14" s="109">
        <v>26</v>
      </c>
      <c r="I14" s="109">
        <v>19</v>
      </c>
      <c r="J14" s="109">
        <v>9</v>
      </c>
      <c r="K14" s="170">
        <v>6</v>
      </c>
      <c r="L14" s="210"/>
      <c r="M14" s="109">
        <v>43</v>
      </c>
      <c r="N14" s="109">
        <v>1</v>
      </c>
      <c r="O14" s="109">
        <f>SUM('[4]California-clean 657'!O666)</f>
        <v>0</v>
      </c>
      <c r="P14" s="109">
        <v>11</v>
      </c>
      <c r="Q14" s="109">
        <v>10</v>
      </c>
      <c r="R14" s="109">
        <v>2</v>
      </c>
      <c r="S14" s="210"/>
      <c r="T14" s="109">
        <v>76</v>
      </c>
      <c r="U14" s="109">
        <v>5</v>
      </c>
      <c r="V14" s="109">
        <v>2</v>
      </c>
      <c r="W14" s="109">
        <v>11</v>
      </c>
      <c r="X14" s="109">
        <v>9</v>
      </c>
      <c r="Y14" s="109">
        <v>79</v>
      </c>
      <c r="Z14" s="109">
        <v>171</v>
      </c>
      <c r="AA14" s="109">
        <v>21</v>
      </c>
      <c r="AB14" s="109">
        <v>95</v>
      </c>
      <c r="AC14" s="109">
        <v>69</v>
      </c>
      <c r="AD14" s="109">
        <v>12</v>
      </c>
      <c r="AE14" s="109">
        <v>32</v>
      </c>
      <c r="AF14" s="109">
        <v>80</v>
      </c>
      <c r="AG14" s="109">
        <v>24</v>
      </c>
      <c r="AH14" s="109">
        <v>23</v>
      </c>
      <c r="AI14" s="109">
        <v>15</v>
      </c>
      <c r="AJ14" s="109">
        <v>13</v>
      </c>
      <c r="AK14" s="210"/>
      <c r="AL14" s="109">
        <f>SUM('[4]California-clean 657'!AU666)</f>
        <v>0</v>
      </c>
      <c r="AM14" s="109">
        <f>SUM('[4]California-clean 657'!AV666)</f>
        <v>0</v>
      </c>
      <c r="AN14" s="109">
        <v>1</v>
      </c>
      <c r="AO14" s="109">
        <f>SUM('[4]California-clean 657'!AX666)</f>
        <v>0</v>
      </c>
      <c r="AP14" s="109">
        <v>63</v>
      </c>
      <c r="AQ14" s="210"/>
      <c r="AR14" s="171">
        <v>64</v>
      </c>
      <c r="AS14" s="108">
        <v>1</v>
      </c>
      <c r="AT14" s="210"/>
      <c r="AU14" s="108">
        <f>SUM('[4]California-clean 657'!BF666)</f>
        <v>0</v>
      </c>
      <c r="AV14" s="171">
        <v>1</v>
      </c>
      <c r="AW14" s="108">
        <f>SUM('[4]California-clean 657'!BH666)</f>
        <v>0</v>
      </c>
      <c r="AX14" s="54">
        <f>SUM('[4]California-clean 657'!BI666)</f>
        <v>0</v>
      </c>
      <c r="AY14" s="108">
        <f>SUM('[4]California-clean 657'!BJ666)</f>
        <v>0</v>
      </c>
      <c r="AZ14" s="210"/>
      <c r="BA14" s="109">
        <v>394</v>
      </c>
      <c r="BB14" s="109">
        <f>SUM('[4]California-clean 657'!BS666)</f>
        <v>0</v>
      </c>
      <c r="BC14" s="104">
        <f>SUM('[4]California-clean 657'!BR666)</f>
        <v>0</v>
      </c>
      <c r="BD14" s="109">
        <f>SUM('[4]California-clean 657'!BT666)</f>
        <v>0</v>
      </c>
      <c r="BE14" s="109">
        <f>SUM('[4]California-clean 657'!BV666)</f>
        <v>0</v>
      </c>
      <c r="BF14" s="109">
        <f>SUM('[4]California-clean 657'!BW666)</f>
        <v>0</v>
      </c>
      <c r="BG14" s="109">
        <v>2</v>
      </c>
      <c r="BH14" s="109">
        <f>SUM('[4]California-clean 657'!CA666)</f>
        <v>0</v>
      </c>
      <c r="BI14" s="109">
        <f>SUM('[4]California-clean 657'!CB666)</f>
        <v>0</v>
      </c>
      <c r="BJ14" s="109">
        <f>SUM('[4]California-clean 657'!CD666)</f>
        <v>0</v>
      </c>
      <c r="BK14" s="109">
        <f>SUM('[4]California-clean 657'!CE666)</f>
        <v>0</v>
      </c>
      <c r="BL14" s="108">
        <f>SUM('[4]California-clean 657'!BN666)</f>
        <v>0</v>
      </c>
      <c r="BM14" s="210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</row>
    <row r="15" spans="1:93" s="104" customFormat="1">
      <c r="B15" s="104" t="s">
        <v>1403</v>
      </c>
      <c r="C15" s="104">
        <v>3</v>
      </c>
      <c r="D15" s="104">
        <v>47</v>
      </c>
      <c r="E15" s="104">
        <v>117</v>
      </c>
      <c r="F15" s="104">
        <f t="shared" si="0"/>
        <v>11</v>
      </c>
      <c r="G15" s="210"/>
      <c r="H15" s="104">
        <v>8</v>
      </c>
      <c r="I15" s="104">
        <v>1</v>
      </c>
      <c r="J15" s="104">
        <v>0</v>
      </c>
      <c r="K15" s="104">
        <v>2</v>
      </c>
      <c r="L15" s="210"/>
      <c r="M15" s="104">
        <v>5</v>
      </c>
      <c r="N15" s="104">
        <f>SUM('[4]Colorado-clean 117'!N123)</f>
        <v>0</v>
      </c>
      <c r="O15" s="104">
        <f>SUM('[4]Colorado-clean 117'!O123)</f>
        <v>0</v>
      </c>
      <c r="P15" s="104">
        <f>SUM('[4]Colorado-clean 117'!P123)</f>
        <v>0</v>
      </c>
      <c r="Q15" s="104">
        <v>3</v>
      </c>
      <c r="R15" s="104">
        <v>2</v>
      </c>
      <c r="S15" s="210"/>
      <c r="T15" s="104">
        <v>15</v>
      </c>
      <c r="U15" s="104">
        <f>SUM('[4]Colorado-clean 117'!V123)</f>
        <v>0</v>
      </c>
      <c r="V15" s="104">
        <f>SUM('[4]Colorado-clean 117'!W123)</f>
        <v>0</v>
      </c>
      <c r="W15" s="104">
        <v>1</v>
      </c>
      <c r="X15" s="104">
        <v>7</v>
      </c>
      <c r="Y15" s="104">
        <v>14</v>
      </c>
      <c r="Z15" s="104">
        <v>25</v>
      </c>
      <c r="AA15" s="104">
        <v>10</v>
      </c>
      <c r="AB15" s="104">
        <v>16</v>
      </c>
      <c r="AC15" s="104">
        <v>9</v>
      </c>
      <c r="AD15" s="104">
        <v>5</v>
      </c>
      <c r="AE15" s="104">
        <v>12</v>
      </c>
      <c r="AF15" s="104">
        <v>14</v>
      </c>
      <c r="AG15" s="104">
        <v>5</v>
      </c>
      <c r="AH15" s="104">
        <v>6</v>
      </c>
      <c r="AI15" s="104">
        <v>12</v>
      </c>
      <c r="AJ15" s="104">
        <v>4</v>
      </c>
      <c r="AK15" s="210"/>
      <c r="AL15" s="104">
        <f>SUM('[4]Colorado-clean 117'!AU123)</f>
        <v>0</v>
      </c>
      <c r="AM15" s="104">
        <f>SUM('[4]Colorado-clean 117'!AV123)</f>
        <v>0</v>
      </c>
      <c r="AN15" s="104">
        <f>SUM('[4]Colorado-clean 117'!AW123)</f>
        <v>0</v>
      </c>
      <c r="AO15" s="104">
        <f>SUM('[4]Colorado-clean 117'!AX123)</f>
        <v>0</v>
      </c>
      <c r="AP15" s="104">
        <v>11</v>
      </c>
      <c r="AQ15" s="210"/>
      <c r="AR15" s="104">
        <v>11</v>
      </c>
      <c r="AS15" s="104">
        <f>SUM('[4]Colorado-clean 117'!BD123)</f>
        <v>0</v>
      </c>
      <c r="AT15" s="210"/>
      <c r="AU15" s="104">
        <f>SUM('[4]Colorado-clean 117'!BF123)</f>
        <v>0</v>
      </c>
      <c r="AV15" s="104">
        <f>SUM('[4]Colorado-clean 117'!BG123)</f>
        <v>0</v>
      </c>
      <c r="AW15" s="104">
        <f>SUM('[4]Colorado-clean 117'!BH123)</f>
        <v>0</v>
      </c>
      <c r="AX15" s="104">
        <f>SUM('[4]Colorado-clean 117'!BI123)</f>
        <v>0</v>
      </c>
      <c r="AY15" s="104">
        <f>SUM('[4]Colorado-clean 117'!BJ123)</f>
        <v>0</v>
      </c>
      <c r="AZ15" s="210"/>
      <c r="BA15" s="104">
        <v>95</v>
      </c>
      <c r="BB15" s="104">
        <v>1</v>
      </c>
      <c r="BC15" s="104">
        <f>SUM('[4]Colorado-clean 117'!BR123)</f>
        <v>0</v>
      </c>
      <c r="BD15" s="104">
        <v>237</v>
      </c>
      <c r="BE15" s="104">
        <v>1</v>
      </c>
      <c r="BF15" s="104">
        <v>1</v>
      </c>
      <c r="BG15" s="104">
        <f>SUM('[4]Colorado-clean 117'!BY123)</f>
        <v>0</v>
      </c>
      <c r="BH15" s="66">
        <v>0</v>
      </c>
      <c r="BI15" s="104">
        <v>0</v>
      </c>
      <c r="BJ15" s="66">
        <v>0</v>
      </c>
      <c r="BK15" s="104">
        <v>0</v>
      </c>
      <c r="BL15" s="104">
        <v>0</v>
      </c>
      <c r="BM15" s="210"/>
    </row>
    <row r="16" spans="1:93" s="104" customFormat="1">
      <c r="B16" s="104" t="s">
        <v>1404</v>
      </c>
      <c r="C16" s="104">
        <f>SUM('[4]Connecticut-clean 10'!B16)</f>
        <v>0</v>
      </c>
      <c r="D16" s="104">
        <v>4</v>
      </c>
      <c r="E16" s="104">
        <v>10</v>
      </c>
      <c r="F16" s="104">
        <f t="shared" si="0"/>
        <v>2</v>
      </c>
      <c r="G16" s="210"/>
      <c r="H16" s="104">
        <v>1</v>
      </c>
      <c r="I16" s="104">
        <v>1</v>
      </c>
      <c r="J16" s="104">
        <v>0</v>
      </c>
      <c r="K16" s="104">
        <v>0</v>
      </c>
      <c r="L16" s="210"/>
      <c r="M16" s="104">
        <v>1</v>
      </c>
      <c r="N16" s="104">
        <v>0</v>
      </c>
      <c r="O16" s="104">
        <v>0</v>
      </c>
      <c r="P16" s="104">
        <v>0</v>
      </c>
      <c r="Q16" s="104">
        <v>1</v>
      </c>
      <c r="R16" s="104">
        <v>0</v>
      </c>
      <c r="S16" s="210"/>
      <c r="T16" s="104">
        <v>2</v>
      </c>
      <c r="U16" s="104">
        <v>0</v>
      </c>
      <c r="V16" s="104">
        <v>0</v>
      </c>
      <c r="W16" s="104">
        <v>0</v>
      </c>
      <c r="X16" s="104">
        <v>0</v>
      </c>
      <c r="Y16" s="104">
        <v>2</v>
      </c>
      <c r="Z16" s="104">
        <v>3</v>
      </c>
      <c r="AA16" s="104">
        <v>0</v>
      </c>
      <c r="AB16" s="104">
        <v>1</v>
      </c>
      <c r="AC16" s="104">
        <v>1</v>
      </c>
      <c r="AD16" s="104">
        <v>0</v>
      </c>
      <c r="AE16" s="104">
        <v>0</v>
      </c>
      <c r="AF16" s="104">
        <v>1</v>
      </c>
      <c r="AG16" s="104">
        <v>0</v>
      </c>
      <c r="AH16" s="104">
        <v>0</v>
      </c>
      <c r="AI16" s="104">
        <v>0</v>
      </c>
      <c r="AJ16" s="104">
        <v>0</v>
      </c>
      <c r="AK16" s="210"/>
      <c r="AL16" s="104">
        <v>0</v>
      </c>
      <c r="AM16" s="104">
        <v>0</v>
      </c>
      <c r="AN16" s="104">
        <v>0</v>
      </c>
      <c r="AO16" s="104">
        <v>0</v>
      </c>
      <c r="AP16" s="104">
        <v>2</v>
      </c>
      <c r="AQ16" s="210"/>
      <c r="AR16" s="104">
        <v>2</v>
      </c>
      <c r="AS16" s="104">
        <v>0</v>
      </c>
      <c r="AT16" s="210"/>
      <c r="AU16" s="104">
        <v>0</v>
      </c>
      <c r="AV16" s="104">
        <v>0</v>
      </c>
      <c r="AW16" s="104">
        <v>0</v>
      </c>
      <c r="AX16" s="104">
        <v>0</v>
      </c>
      <c r="AY16" s="104">
        <v>0</v>
      </c>
      <c r="AZ16" s="210"/>
      <c r="BA16" s="104">
        <v>0</v>
      </c>
      <c r="BB16" s="104">
        <v>0</v>
      </c>
      <c r="BC16" s="104">
        <v>0</v>
      </c>
      <c r="BD16" s="104">
        <v>0</v>
      </c>
      <c r="BE16" s="104">
        <v>0</v>
      </c>
      <c r="BF16" s="104">
        <v>0</v>
      </c>
      <c r="BG16" s="104">
        <v>0</v>
      </c>
      <c r="BH16" s="9">
        <v>0</v>
      </c>
      <c r="BI16" s="104">
        <v>0</v>
      </c>
      <c r="BJ16" s="9">
        <v>0</v>
      </c>
      <c r="BK16" s="104">
        <v>0</v>
      </c>
      <c r="BL16" s="104">
        <v>0</v>
      </c>
      <c r="BM16" s="210"/>
    </row>
    <row r="17" spans="1:93" s="104" customFormat="1">
      <c r="B17" s="104" t="s">
        <v>1405</v>
      </c>
      <c r="C17" s="104">
        <f>SUM('[4]Delaware-clean 14'!B23)</f>
        <v>0</v>
      </c>
      <c r="D17" s="104">
        <v>1</v>
      </c>
      <c r="E17" s="104">
        <v>14</v>
      </c>
      <c r="F17" s="104">
        <f t="shared" si="0"/>
        <v>2</v>
      </c>
      <c r="G17" s="210"/>
      <c r="H17" s="104">
        <f>SUM('[4]Delaware-clean 14'!E23)</f>
        <v>0</v>
      </c>
      <c r="I17" s="104">
        <v>2</v>
      </c>
      <c r="J17" s="104">
        <v>0</v>
      </c>
      <c r="K17" s="104">
        <v>0</v>
      </c>
      <c r="L17" s="210"/>
      <c r="M17" s="104">
        <v>2</v>
      </c>
      <c r="N17" s="104">
        <v>0</v>
      </c>
      <c r="O17" s="104">
        <v>0</v>
      </c>
      <c r="P17" s="104">
        <v>0</v>
      </c>
      <c r="Q17" s="104">
        <v>0</v>
      </c>
      <c r="R17" s="104">
        <v>0</v>
      </c>
      <c r="S17" s="210"/>
      <c r="T17" s="104">
        <v>2</v>
      </c>
      <c r="U17" s="104">
        <v>0</v>
      </c>
      <c r="V17" s="104">
        <v>0</v>
      </c>
      <c r="W17" s="104">
        <v>0</v>
      </c>
      <c r="X17" s="104">
        <v>1</v>
      </c>
      <c r="Y17" s="104">
        <v>1</v>
      </c>
      <c r="Z17" s="104">
        <v>3</v>
      </c>
      <c r="AA17" s="104">
        <v>1</v>
      </c>
      <c r="AB17" s="104">
        <v>4</v>
      </c>
      <c r="AC17" s="104">
        <v>3</v>
      </c>
      <c r="AD17" s="104">
        <v>0</v>
      </c>
      <c r="AE17" s="104">
        <v>1</v>
      </c>
      <c r="AF17" s="104">
        <v>3</v>
      </c>
      <c r="AG17" s="104">
        <v>0</v>
      </c>
      <c r="AH17" s="104">
        <v>0</v>
      </c>
      <c r="AI17" s="104">
        <v>1</v>
      </c>
      <c r="AJ17" s="104">
        <v>0</v>
      </c>
      <c r="AK17" s="210"/>
      <c r="AL17" s="104">
        <v>0</v>
      </c>
      <c r="AM17" s="104">
        <v>0</v>
      </c>
      <c r="AN17" s="104">
        <v>0</v>
      </c>
      <c r="AO17" s="104">
        <v>0</v>
      </c>
      <c r="AP17" s="104">
        <v>2</v>
      </c>
      <c r="AQ17" s="210"/>
      <c r="AR17" s="104">
        <v>2</v>
      </c>
      <c r="AS17" s="104">
        <v>0</v>
      </c>
      <c r="AT17" s="210"/>
      <c r="AU17" s="104">
        <v>0</v>
      </c>
      <c r="AV17" s="104">
        <v>0</v>
      </c>
      <c r="AW17" s="104">
        <v>0</v>
      </c>
      <c r="AX17" s="104">
        <v>0</v>
      </c>
      <c r="AY17" s="104">
        <v>0</v>
      </c>
      <c r="AZ17" s="210"/>
      <c r="BA17" s="104">
        <v>6</v>
      </c>
      <c r="BB17" s="104">
        <v>0</v>
      </c>
      <c r="BC17" s="104">
        <v>0</v>
      </c>
      <c r="BD17" s="104">
        <v>0</v>
      </c>
      <c r="BE17" s="104">
        <v>0</v>
      </c>
      <c r="BF17" s="104">
        <v>0</v>
      </c>
      <c r="BG17" s="104">
        <v>0</v>
      </c>
      <c r="BH17" s="66">
        <v>0</v>
      </c>
      <c r="BI17" s="66">
        <v>0</v>
      </c>
      <c r="BJ17" s="66">
        <v>0</v>
      </c>
      <c r="BK17" s="66">
        <v>0</v>
      </c>
      <c r="BL17" s="66">
        <v>0</v>
      </c>
      <c r="BM17" s="210"/>
    </row>
    <row r="18" spans="1:93" s="104" customFormat="1">
      <c r="B18" s="66" t="s">
        <v>1407</v>
      </c>
      <c r="C18" s="104">
        <v>4</v>
      </c>
      <c r="D18" s="104">
        <v>48</v>
      </c>
      <c r="E18" s="104">
        <v>159</v>
      </c>
      <c r="F18" s="104">
        <f t="shared" si="0"/>
        <v>24</v>
      </c>
      <c r="G18" s="210"/>
      <c r="H18" s="104">
        <v>11</v>
      </c>
      <c r="I18" s="104">
        <v>8</v>
      </c>
      <c r="J18" s="104">
        <v>1</v>
      </c>
      <c r="K18" s="104">
        <v>2</v>
      </c>
      <c r="L18" s="210"/>
      <c r="M18" s="104">
        <v>16</v>
      </c>
      <c r="N18" s="104">
        <v>0</v>
      </c>
      <c r="O18" s="104">
        <v>1</v>
      </c>
      <c r="P18" s="104">
        <v>0</v>
      </c>
      <c r="Q18" s="104">
        <v>6</v>
      </c>
      <c r="R18" s="104">
        <v>0</v>
      </c>
      <c r="S18" s="210"/>
      <c r="T18" s="104">
        <v>25</v>
      </c>
      <c r="U18" s="104">
        <v>1</v>
      </c>
      <c r="V18" s="104">
        <v>1</v>
      </c>
      <c r="W18" s="104">
        <v>2</v>
      </c>
      <c r="X18" s="104">
        <v>6</v>
      </c>
      <c r="Y18" s="104">
        <v>20</v>
      </c>
      <c r="Z18" s="104">
        <v>29</v>
      </c>
      <c r="AA18" s="104">
        <v>2</v>
      </c>
      <c r="AB18" s="104">
        <v>23</v>
      </c>
      <c r="AC18" s="104">
        <v>18</v>
      </c>
      <c r="AD18" s="104">
        <v>7</v>
      </c>
      <c r="AE18" s="104">
        <v>10</v>
      </c>
      <c r="AF18" s="104">
        <v>22</v>
      </c>
      <c r="AG18" s="104">
        <v>3</v>
      </c>
      <c r="AH18" s="104">
        <v>8</v>
      </c>
      <c r="AI18" s="104">
        <v>2</v>
      </c>
      <c r="AJ18" s="104">
        <v>2</v>
      </c>
      <c r="AK18" s="210"/>
      <c r="AL18" s="104">
        <v>0</v>
      </c>
      <c r="AM18" s="104">
        <v>0</v>
      </c>
      <c r="AN18" s="104">
        <v>0</v>
      </c>
      <c r="AO18" s="104">
        <v>0</v>
      </c>
      <c r="AP18" s="104">
        <v>24</v>
      </c>
      <c r="AQ18" s="210"/>
      <c r="AR18" s="104">
        <v>24</v>
      </c>
      <c r="AS18" s="104">
        <v>0</v>
      </c>
      <c r="AT18" s="210"/>
      <c r="AU18" s="104">
        <v>0</v>
      </c>
      <c r="AV18" s="104">
        <v>0</v>
      </c>
      <c r="AW18" s="104">
        <v>0</v>
      </c>
      <c r="AX18" s="104">
        <v>0</v>
      </c>
      <c r="AY18" s="104">
        <v>0</v>
      </c>
      <c r="AZ18" s="210"/>
      <c r="BA18" s="104">
        <v>101</v>
      </c>
      <c r="BB18" s="104">
        <v>1</v>
      </c>
      <c r="BC18" s="104">
        <v>0</v>
      </c>
      <c r="BD18" s="23">
        <v>11</v>
      </c>
      <c r="BE18" s="104">
        <v>5</v>
      </c>
      <c r="BF18" s="104">
        <v>2962</v>
      </c>
      <c r="BG18" s="104">
        <v>1</v>
      </c>
      <c r="BH18" s="104">
        <v>0</v>
      </c>
      <c r="BI18" s="104">
        <v>0</v>
      </c>
      <c r="BJ18" s="9">
        <v>0</v>
      </c>
      <c r="BK18" s="9">
        <v>0</v>
      </c>
      <c r="BL18" s="9">
        <v>0</v>
      </c>
      <c r="BM18" s="210"/>
      <c r="CM18" s="66"/>
      <c r="CN18" s="66"/>
      <c r="CO18" s="66"/>
    </row>
    <row r="19" spans="1:93" s="104" customFormat="1">
      <c r="B19" s="66" t="s">
        <v>1408</v>
      </c>
      <c r="C19" s="66">
        <v>1</v>
      </c>
      <c r="D19" s="104">
        <v>32</v>
      </c>
      <c r="E19" s="104">
        <v>114</v>
      </c>
      <c r="F19" s="104">
        <f t="shared" si="0"/>
        <v>22</v>
      </c>
      <c r="G19" s="210"/>
      <c r="H19" s="104">
        <v>10</v>
      </c>
      <c r="I19" s="104">
        <v>10</v>
      </c>
      <c r="J19" s="104">
        <v>0</v>
      </c>
      <c r="K19" s="104">
        <v>0</v>
      </c>
      <c r="L19" s="210"/>
      <c r="M19" s="104">
        <v>14</v>
      </c>
      <c r="N19" s="104">
        <v>0</v>
      </c>
      <c r="O19" s="104">
        <v>0</v>
      </c>
      <c r="P19" s="104">
        <v>1</v>
      </c>
      <c r="Q19" s="104">
        <v>8</v>
      </c>
      <c r="R19" s="104">
        <v>0</v>
      </c>
      <c r="S19" s="210"/>
      <c r="T19" s="9">
        <v>24</v>
      </c>
      <c r="U19" s="9">
        <v>0</v>
      </c>
      <c r="V19" s="9">
        <v>0</v>
      </c>
      <c r="W19" s="9">
        <v>0</v>
      </c>
      <c r="X19" s="9">
        <v>1</v>
      </c>
      <c r="Y19" s="9">
        <v>13</v>
      </c>
      <c r="Z19" s="9">
        <v>21</v>
      </c>
      <c r="AA19" s="9">
        <v>3</v>
      </c>
      <c r="AB19" s="9">
        <v>16</v>
      </c>
      <c r="AC19" s="9">
        <v>6</v>
      </c>
      <c r="AD19" s="9">
        <v>1</v>
      </c>
      <c r="AE19" s="9">
        <v>2</v>
      </c>
      <c r="AF19" s="9">
        <v>21</v>
      </c>
      <c r="AG19" s="9">
        <v>2</v>
      </c>
      <c r="AH19" s="9">
        <v>6</v>
      </c>
      <c r="AI19" s="9">
        <v>3</v>
      </c>
      <c r="AJ19" s="9">
        <f>SUM('[4]Georgia-clean 114'!AK122)</f>
        <v>0</v>
      </c>
      <c r="AK19" s="210"/>
      <c r="AL19" s="104">
        <v>0</v>
      </c>
      <c r="AM19" s="104">
        <v>0</v>
      </c>
      <c r="AN19" s="104">
        <v>0</v>
      </c>
      <c r="AO19" s="104">
        <v>0</v>
      </c>
      <c r="AP19" s="104">
        <v>22</v>
      </c>
      <c r="AQ19" s="210"/>
      <c r="AR19" s="104">
        <v>22</v>
      </c>
      <c r="AS19" s="104">
        <v>0</v>
      </c>
      <c r="AT19" s="210"/>
      <c r="AU19" s="104">
        <v>0</v>
      </c>
      <c r="AV19" s="104">
        <v>0</v>
      </c>
      <c r="AW19" s="104">
        <v>0</v>
      </c>
      <c r="AX19" s="104">
        <v>0</v>
      </c>
      <c r="AY19" s="104">
        <v>0</v>
      </c>
      <c r="AZ19" s="210"/>
      <c r="BA19" s="9">
        <v>27</v>
      </c>
      <c r="BB19" s="9">
        <v>0</v>
      </c>
      <c r="BC19" s="104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210"/>
      <c r="CM19" s="66"/>
      <c r="CN19" s="66"/>
      <c r="CO19" s="66"/>
    </row>
    <row r="20" spans="1:93" s="104" customFormat="1">
      <c r="B20" s="104" t="s">
        <v>93</v>
      </c>
      <c r="C20" s="104">
        <f>SUM('[4]Hawaii-clean 28'!B34)</f>
        <v>0</v>
      </c>
      <c r="D20" s="104">
        <v>9</v>
      </c>
      <c r="E20" s="104">
        <v>28</v>
      </c>
      <c r="F20" s="104">
        <f t="shared" si="0"/>
        <v>1</v>
      </c>
      <c r="G20" s="210"/>
      <c r="H20" s="104">
        <v>0</v>
      </c>
      <c r="I20" s="104">
        <v>0</v>
      </c>
      <c r="J20" s="104">
        <v>0</v>
      </c>
      <c r="K20" s="104">
        <v>1</v>
      </c>
      <c r="L20" s="210"/>
      <c r="M20" s="104">
        <v>1</v>
      </c>
      <c r="N20" s="104">
        <v>0</v>
      </c>
      <c r="O20" s="104">
        <v>0</v>
      </c>
      <c r="P20" s="104">
        <v>0</v>
      </c>
      <c r="Q20" s="104">
        <v>0</v>
      </c>
      <c r="R20" s="104">
        <v>0</v>
      </c>
      <c r="S20" s="210"/>
      <c r="T20" s="104">
        <v>2</v>
      </c>
      <c r="U20" s="104">
        <v>0</v>
      </c>
      <c r="V20" s="104">
        <v>0</v>
      </c>
      <c r="W20" s="104">
        <v>1</v>
      </c>
      <c r="X20" s="104">
        <v>1</v>
      </c>
      <c r="Y20" s="104">
        <v>6</v>
      </c>
      <c r="Z20" s="104">
        <v>6</v>
      </c>
      <c r="AA20" s="104">
        <v>1</v>
      </c>
      <c r="AB20" s="104">
        <v>3</v>
      </c>
      <c r="AC20" s="104">
        <v>2</v>
      </c>
      <c r="AD20" s="104">
        <v>1</v>
      </c>
      <c r="AE20" s="104">
        <v>1</v>
      </c>
      <c r="AF20" s="104">
        <v>3</v>
      </c>
      <c r="AG20" s="104">
        <v>0</v>
      </c>
      <c r="AH20" s="104">
        <v>2</v>
      </c>
      <c r="AI20" s="104">
        <v>1</v>
      </c>
      <c r="AJ20" s="104">
        <v>0</v>
      </c>
      <c r="AK20" s="210"/>
      <c r="AL20" s="104">
        <v>0</v>
      </c>
      <c r="AM20" s="104">
        <v>0</v>
      </c>
      <c r="AN20" s="104">
        <v>0</v>
      </c>
      <c r="AO20" s="104">
        <v>0</v>
      </c>
      <c r="AP20" s="104">
        <v>1</v>
      </c>
      <c r="AQ20" s="210"/>
      <c r="AR20" s="104">
        <v>1</v>
      </c>
      <c r="AS20" s="104">
        <v>0</v>
      </c>
      <c r="AT20" s="210"/>
      <c r="AU20" s="104">
        <v>0</v>
      </c>
      <c r="AV20" s="104">
        <v>0</v>
      </c>
      <c r="AW20" s="104">
        <v>0</v>
      </c>
      <c r="AX20" s="104">
        <v>0</v>
      </c>
      <c r="AY20" s="104">
        <v>0</v>
      </c>
      <c r="AZ20" s="210"/>
      <c r="BA20" s="104">
        <v>0</v>
      </c>
      <c r="BB20" s="104">
        <v>0</v>
      </c>
      <c r="BC20" s="104">
        <v>0</v>
      </c>
      <c r="BD20" s="104">
        <v>0</v>
      </c>
      <c r="BE20" s="104">
        <v>0</v>
      </c>
      <c r="BF20" s="104">
        <v>0</v>
      </c>
      <c r="BG20" s="104">
        <v>0</v>
      </c>
      <c r="BH20" s="104">
        <v>0</v>
      </c>
      <c r="BI20" s="104">
        <v>0</v>
      </c>
      <c r="BJ20" s="9">
        <v>0</v>
      </c>
      <c r="BK20" s="9">
        <v>0</v>
      </c>
      <c r="BL20" s="9">
        <v>0</v>
      </c>
      <c r="BM20" s="210"/>
    </row>
    <row r="21" spans="1:93" s="65" customFormat="1">
      <c r="A21" s="104"/>
      <c r="B21" s="104" t="s">
        <v>1409</v>
      </c>
      <c r="C21" s="104">
        <v>3</v>
      </c>
      <c r="D21" s="104">
        <v>8</v>
      </c>
      <c r="E21" s="104">
        <v>24</v>
      </c>
      <c r="F21" s="104">
        <f t="shared" si="0"/>
        <v>4</v>
      </c>
      <c r="G21" s="210"/>
      <c r="H21" s="104">
        <v>3</v>
      </c>
      <c r="I21" s="104">
        <v>1</v>
      </c>
      <c r="J21" s="104">
        <v>1</v>
      </c>
      <c r="K21" s="104">
        <v>0</v>
      </c>
      <c r="L21" s="210"/>
      <c r="M21" s="104">
        <v>3</v>
      </c>
      <c r="N21" s="104">
        <f>SUM('[4]Idaho-clean 24'!N30)</f>
        <v>0</v>
      </c>
      <c r="O21" s="104">
        <f>SUM('[4]Idaho-clean 24'!O30)</f>
        <v>0</v>
      </c>
      <c r="P21" s="104">
        <v>1</v>
      </c>
      <c r="Q21" s="104">
        <v>1</v>
      </c>
      <c r="R21" s="104">
        <f>SUM('[4]Idaho-clean 24'!R30)</f>
        <v>0</v>
      </c>
      <c r="S21" s="210"/>
      <c r="T21" s="104">
        <v>5</v>
      </c>
      <c r="U21" s="104">
        <f>SUM('[4]Idaho-clean 24'!V30)</f>
        <v>0</v>
      </c>
      <c r="V21" s="104">
        <f>SUM('[4]Idaho-clean 24'!W30)</f>
        <v>0</v>
      </c>
      <c r="W21" s="104">
        <f>SUM('[4]Idaho-clean 24'!X30)</f>
        <v>0</v>
      </c>
      <c r="X21" s="104">
        <f>SUM('[4]Idaho-clean 24'!Y30)</f>
        <v>0</v>
      </c>
      <c r="Y21" s="104">
        <v>3</v>
      </c>
      <c r="Z21" s="104">
        <v>5</v>
      </c>
      <c r="AA21" s="104">
        <f>SUM('[4]Idaho-clean 24'!AB30)</f>
        <v>0</v>
      </c>
      <c r="AB21" s="104">
        <v>4</v>
      </c>
      <c r="AC21" s="104">
        <v>2</v>
      </c>
      <c r="AD21" s="104">
        <f>SUM('[4]Idaho-clean 24'!AE30)</f>
        <v>0</v>
      </c>
      <c r="AE21" s="104">
        <f>SUM('[4]Idaho-clean 24'!AF30)</f>
        <v>0</v>
      </c>
      <c r="AF21" s="104">
        <v>6</v>
      </c>
      <c r="AG21" s="104">
        <f>SUM('[4]Idaho-clean 24'!AH30)</f>
        <v>0</v>
      </c>
      <c r="AH21" s="104">
        <f>SUM('[4]Idaho-clean 24'!AI30)</f>
        <v>0</v>
      </c>
      <c r="AI21" s="104">
        <f>SUM('[4]Idaho-clean 24'!AJ30)</f>
        <v>0</v>
      </c>
      <c r="AJ21" s="104">
        <f>SUM('[4]Idaho-clean 24'!AK30)</f>
        <v>0</v>
      </c>
      <c r="AK21" s="210"/>
      <c r="AL21" s="104">
        <v>4</v>
      </c>
      <c r="AM21" s="104">
        <f>SUM('[4]Idaho-clean 24'!AV30)</f>
        <v>0</v>
      </c>
      <c r="AN21" s="104">
        <v>0</v>
      </c>
      <c r="AO21" s="104">
        <v>0</v>
      </c>
      <c r="AP21" s="104">
        <v>0</v>
      </c>
      <c r="AQ21" s="210"/>
      <c r="AR21" s="104">
        <v>4</v>
      </c>
      <c r="AS21" s="104">
        <v>0</v>
      </c>
      <c r="AT21" s="210"/>
      <c r="AU21" s="104">
        <v>0</v>
      </c>
      <c r="AV21" s="104">
        <v>0</v>
      </c>
      <c r="AW21" s="104">
        <v>0</v>
      </c>
      <c r="AX21" s="104">
        <v>0</v>
      </c>
      <c r="AY21" s="104">
        <v>0</v>
      </c>
      <c r="AZ21" s="210"/>
      <c r="BA21" s="104">
        <v>14</v>
      </c>
      <c r="BB21" s="104">
        <v>0</v>
      </c>
      <c r="BC21" s="104">
        <v>0</v>
      </c>
      <c r="BD21" s="104">
        <v>0</v>
      </c>
      <c r="BE21" s="104">
        <v>0</v>
      </c>
      <c r="BF21" s="104">
        <v>0</v>
      </c>
      <c r="BG21" s="104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210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</row>
    <row r="22" spans="1:93" s="104" customFormat="1">
      <c r="B22" s="104" t="s">
        <v>1410</v>
      </c>
      <c r="C22" s="104">
        <v>2</v>
      </c>
      <c r="D22" s="104">
        <v>5</v>
      </c>
      <c r="E22" s="104">
        <v>67</v>
      </c>
      <c r="F22" s="104">
        <f t="shared" si="0"/>
        <v>11</v>
      </c>
      <c r="G22" s="210"/>
      <c r="H22" s="104">
        <v>5</v>
      </c>
      <c r="I22" s="104">
        <v>2</v>
      </c>
      <c r="J22" s="104">
        <v>2</v>
      </c>
      <c r="K22" s="104">
        <f>SUM('[4]Illinois-clean 67'!H73)</f>
        <v>0</v>
      </c>
      <c r="L22" s="210"/>
      <c r="M22" s="104">
        <v>4</v>
      </c>
      <c r="N22" s="104">
        <v>0</v>
      </c>
      <c r="O22" s="104">
        <v>0</v>
      </c>
      <c r="P22" s="104">
        <v>1</v>
      </c>
      <c r="Q22" s="104">
        <v>4</v>
      </c>
      <c r="R22" s="104">
        <v>0</v>
      </c>
      <c r="S22" s="210"/>
      <c r="T22" s="104">
        <v>12</v>
      </c>
      <c r="U22" s="104">
        <v>0</v>
      </c>
      <c r="V22" s="104">
        <v>0</v>
      </c>
      <c r="W22" s="104">
        <v>0</v>
      </c>
      <c r="X22" s="104">
        <v>2</v>
      </c>
      <c r="Y22" s="104">
        <v>0</v>
      </c>
      <c r="Z22" s="104">
        <v>6</v>
      </c>
      <c r="AA22" s="104">
        <v>1</v>
      </c>
      <c r="AB22" s="104">
        <v>2</v>
      </c>
      <c r="AC22" s="104">
        <v>4</v>
      </c>
      <c r="AD22" s="104">
        <v>0</v>
      </c>
      <c r="AE22" s="104">
        <v>1</v>
      </c>
      <c r="AF22" s="104">
        <v>4</v>
      </c>
      <c r="AG22" s="104">
        <v>0</v>
      </c>
      <c r="AH22" s="104">
        <v>2</v>
      </c>
      <c r="AI22" s="104">
        <v>1</v>
      </c>
      <c r="AJ22" s="104">
        <v>0</v>
      </c>
      <c r="AK22" s="210"/>
      <c r="AL22" s="104">
        <f>SUM('[4]Illinois-clean 67'!AT73)</f>
        <v>0</v>
      </c>
      <c r="AM22" s="104">
        <v>0</v>
      </c>
      <c r="AN22" s="104">
        <v>0</v>
      </c>
      <c r="AO22" s="104">
        <v>0</v>
      </c>
      <c r="AP22" s="104">
        <v>11</v>
      </c>
      <c r="AQ22" s="210"/>
      <c r="AR22" s="104">
        <v>11</v>
      </c>
      <c r="AS22" s="104">
        <v>0</v>
      </c>
      <c r="AT22" s="210"/>
      <c r="AU22" s="104">
        <v>0</v>
      </c>
      <c r="AV22" s="104">
        <v>0</v>
      </c>
      <c r="AW22" s="104">
        <v>0</v>
      </c>
      <c r="AX22" s="104">
        <v>0</v>
      </c>
      <c r="AY22" s="104">
        <v>0</v>
      </c>
      <c r="AZ22" s="210"/>
      <c r="BA22" s="104">
        <v>33</v>
      </c>
      <c r="BB22" s="104">
        <v>0</v>
      </c>
      <c r="BC22" s="104">
        <v>0</v>
      </c>
      <c r="BD22" s="104">
        <v>0</v>
      </c>
      <c r="BE22" s="104">
        <v>0</v>
      </c>
      <c r="BF22" s="104">
        <v>0</v>
      </c>
      <c r="BG22" s="104">
        <v>0</v>
      </c>
      <c r="BH22" s="104">
        <v>0</v>
      </c>
      <c r="BI22" s="104">
        <v>0</v>
      </c>
      <c r="BJ22" s="104">
        <v>0</v>
      </c>
      <c r="BK22" s="104">
        <v>0</v>
      </c>
      <c r="BL22" s="104">
        <v>0</v>
      </c>
      <c r="BM22" s="210"/>
      <c r="CM22" s="66"/>
      <c r="CN22" s="66"/>
      <c r="CO22" s="66"/>
    </row>
    <row r="23" spans="1:93" s="104" customFormat="1">
      <c r="B23" s="104" t="s">
        <v>1411</v>
      </c>
      <c r="C23" s="104">
        <f>SUM('[4]Indiana-clean 7'!B17)</f>
        <v>0</v>
      </c>
      <c r="D23" s="104">
        <v>1</v>
      </c>
      <c r="E23" s="104">
        <v>7</v>
      </c>
      <c r="F23" s="104">
        <f t="shared" si="0"/>
        <v>1</v>
      </c>
      <c r="G23" s="210"/>
      <c r="H23" s="104">
        <v>0</v>
      </c>
      <c r="I23" s="104">
        <v>1</v>
      </c>
      <c r="J23" s="104">
        <v>0</v>
      </c>
      <c r="K23" s="104">
        <v>0</v>
      </c>
      <c r="L23" s="210"/>
      <c r="M23" s="104">
        <v>1</v>
      </c>
      <c r="N23" s="104">
        <f>SUM('[4]Indiana-clean 7'!N17)</f>
        <v>0</v>
      </c>
      <c r="O23" s="104">
        <f>SUM('[4]Indiana-clean 7'!O17)</f>
        <v>0</v>
      </c>
      <c r="P23" s="104">
        <f>SUM('[4]Indiana-clean 7'!P17)</f>
        <v>0</v>
      </c>
      <c r="Q23" s="104">
        <f>SUM('[4]Indiana-clean 7'!Q17)</f>
        <v>0</v>
      </c>
      <c r="R23" s="104">
        <v>1</v>
      </c>
      <c r="S23" s="210"/>
      <c r="T23" s="104">
        <v>1</v>
      </c>
      <c r="U23" s="104">
        <f>SUM('[4]Indiana-clean 7'!V17)</f>
        <v>0</v>
      </c>
      <c r="V23" s="104">
        <f>SUM('[4]Indiana-clean 7'!W17)</f>
        <v>0</v>
      </c>
      <c r="W23" s="104">
        <f>SUM('[4]Indiana-clean 7'!X17)</f>
        <v>0</v>
      </c>
      <c r="X23" s="104">
        <f>SUM('[4]Indiana-clean 7'!Y17)</f>
        <v>0</v>
      </c>
      <c r="Y23" s="104">
        <f>SUM('[4]Indiana-clean 7'!Z17)</f>
        <v>0</v>
      </c>
      <c r="Z23" s="104">
        <v>2</v>
      </c>
      <c r="AA23" s="104">
        <f>SUM('[4]Indiana-clean 7'!AB17)</f>
        <v>0</v>
      </c>
      <c r="AB23" s="104">
        <v>1</v>
      </c>
      <c r="AC23" s="104">
        <f>SUM('[4]Indiana-clean 7'!AD17)</f>
        <v>0</v>
      </c>
      <c r="AD23" s="104">
        <f>SUM('[4]Indiana-clean 7'!AE17)</f>
        <v>0</v>
      </c>
      <c r="AE23" s="104">
        <f>SUM('[4]Indiana-clean 7'!AF17)</f>
        <v>0</v>
      </c>
      <c r="AF23" s="104">
        <v>3</v>
      </c>
      <c r="AG23" s="104">
        <f>SUM('[4]Indiana-clean 7'!AH17)</f>
        <v>0</v>
      </c>
      <c r="AH23" s="104">
        <f>SUM('[4]Indiana-clean 7'!AI17)</f>
        <v>0</v>
      </c>
      <c r="AI23" s="104">
        <f>SUM('[4]Indiana-clean 7'!AJ17)</f>
        <v>0</v>
      </c>
      <c r="AJ23" s="104">
        <f>SUM('[4]Indiana-clean 7'!AK17)</f>
        <v>0</v>
      </c>
      <c r="AK23" s="210"/>
      <c r="AL23" s="104">
        <v>1</v>
      </c>
      <c r="AM23" s="104">
        <f>SUM('[4]Indiana-clean 7'!AV17)</f>
        <v>0</v>
      </c>
      <c r="AN23" s="104">
        <f>SUM('[4]Indiana-clean 7'!AW17)</f>
        <v>0</v>
      </c>
      <c r="AO23" s="104">
        <f>SUM('[4]Indiana-clean 7'!AX17)</f>
        <v>0</v>
      </c>
      <c r="AP23" s="104">
        <f>SUM('[4]Indiana-clean 7'!AY17)</f>
        <v>0</v>
      </c>
      <c r="AQ23" s="210"/>
      <c r="AR23" s="104">
        <v>1</v>
      </c>
      <c r="AS23" s="104">
        <f>SUM('[4]Indiana-clean 7'!BD17)</f>
        <v>0</v>
      </c>
      <c r="AT23" s="210"/>
      <c r="AU23" s="104">
        <v>0</v>
      </c>
      <c r="AV23" s="104">
        <v>0</v>
      </c>
      <c r="AW23" s="104">
        <v>0</v>
      </c>
      <c r="AX23" s="104">
        <v>0</v>
      </c>
      <c r="AY23" s="104">
        <v>0</v>
      </c>
      <c r="AZ23" s="210"/>
      <c r="BA23" s="104">
        <v>0</v>
      </c>
      <c r="BB23" s="104">
        <v>0</v>
      </c>
      <c r="BC23" s="104">
        <v>0</v>
      </c>
      <c r="BD23" s="104">
        <v>0</v>
      </c>
      <c r="BE23" s="104">
        <v>0</v>
      </c>
      <c r="BF23" s="104">
        <v>0</v>
      </c>
      <c r="BG23" s="104">
        <v>0</v>
      </c>
      <c r="BH23" s="104">
        <v>0</v>
      </c>
      <c r="BI23" s="104">
        <v>0</v>
      </c>
      <c r="BJ23" s="9">
        <v>0</v>
      </c>
      <c r="BK23" s="104">
        <v>0</v>
      </c>
      <c r="BL23" s="104">
        <v>0</v>
      </c>
      <c r="BM23" s="210"/>
      <c r="CM23" s="66"/>
      <c r="CN23" s="66"/>
      <c r="CO23" s="66"/>
    </row>
    <row r="24" spans="1:93" s="65" customFormat="1">
      <c r="A24" s="104"/>
      <c r="B24" s="104" t="s">
        <v>1412</v>
      </c>
      <c r="C24" s="104">
        <f>SUM('[4]Iowa-clean 11'!B21)</f>
        <v>0</v>
      </c>
      <c r="D24" s="104">
        <v>1</v>
      </c>
      <c r="E24" s="104">
        <v>11</v>
      </c>
      <c r="F24" s="104">
        <f t="shared" si="0"/>
        <v>4</v>
      </c>
      <c r="G24" s="210"/>
      <c r="H24" s="104">
        <v>3</v>
      </c>
      <c r="I24" s="104">
        <v>1</v>
      </c>
      <c r="J24" s="104">
        <f>SUM('[4]Iowa-clean 11'!G21)</f>
        <v>0</v>
      </c>
      <c r="K24" s="104">
        <f>SUM('[4]Iowa-clean 11'!H21)</f>
        <v>0</v>
      </c>
      <c r="L24" s="210"/>
      <c r="M24" s="104">
        <v>2</v>
      </c>
      <c r="N24" s="104">
        <v>0</v>
      </c>
      <c r="O24" s="104">
        <v>0</v>
      </c>
      <c r="P24" s="104">
        <v>0</v>
      </c>
      <c r="Q24" s="104">
        <v>2</v>
      </c>
      <c r="R24" s="104">
        <v>0</v>
      </c>
      <c r="S24" s="210"/>
      <c r="T24" s="104">
        <v>4</v>
      </c>
      <c r="U24" s="104">
        <v>0</v>
      </c>
      <c r="V24" s="104">
        <v>0</v>
      </c>
      <c r="W24" s="104">
        <v>0</v>
      </c>
      <c r="X24" s="104">
        <v>0</v>
      </c>
      <c r="Y24" s="104">
        <v>1</v>
      </c>
      <c r="Z24" s="104">
        <v>4</v>
      </c>
      <c r="AA24" s="104">
        <v>0</v>
      </c>
      <c r="AB24" s="104">
        <v>0</v>
      </c>
      <c r="AC24" s="104">
        <v>0</v>
      </c>
      <c r="AD24" s="104">
        <v>0</v>
      </c>
      <c r="AE24" s="104">
        <v>0</v>
      </c>
      <c r="AF24" s="104">
        <v>2</v>
      </c>
      <c r="AG24" s="104">
        <v>0</v>
      </c>
      <c r="AH24" s="104">
        <v>0</v>
      </c>
      <c r="AI24" s="104">
        <v>0</v>
      </c>
      <c r="AJ24" s="104">
        <v>0</v>
      </c>
      <c r="AK24" s="210"/>
      <c r="AL24" s="104">
        <v>0</v>
      </c>
      <c r="AM24" s="104">
        <v>0</v>
      </c>
      <c r="AN24" s="104">
        <v>0</v>
      </c>
      <c r="AO24" s="104">
        <v>0</v>
      </c>
      <c r="AP24" s="104">
        <v>4</v>
      </c>
      <c r="AQ24" s="210"/>
      <c r="AR24" s="104">
        <v>4</v>
      </c>
      <c r="AS24" s="104">
        <v>0</v>
      </c>
      <c r="AT24" s="210"/>
      <c r="AU24" s="104">
        <v>0</v>
      </c>
      <c r="AV24" s="104">
        <v>0</v>
      </c>
      <c r="AW24" s="104">
        <v>0</v>
      </c>
      <c r="AX24" s="104">
        <v>0</v>
      </c>
      <c r="AY24" s="104">
        <v>0</v>
      </c>
      <c r="AZ24" s="210"/>
      <c r="BA24" s="104">
        <v>2</v>
      </c>
      <c r="BB24" s="104">
        <v>0</v>
      </c>
      <c r="BC24" s="104">
        <v>0</v>
      </c>
      <c r="BD24" s="104">
        <v>0</v>
      </c>
      <c r="BE24" s="104">
        <v>0</v>
      </c>
      <c r="BF24" s="104">
        <v>0</v>
      </c>
      <c r="BG24" s="104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210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</row>
    <row r="25" spans="1:93" s="104" customFormat="1">
      <c r="B25" s="104" t="s">
        <v>1414</v>
      </c>
      <c r="C25" s="66">
        <v>0</v>
      </c>
      <c r="D25" s="104">
        <v>0</v>
      </c>
      <c r="E25" s="104">
        <v>0</v>
      </c>
      <c r="F25" s="104">
        <f t="shared" si="0"/>
        <v>2</v>
      </c>
      <c r="G25" s="210"/>
      <c r="H25" s="104">
        <v>2</v>
      </c>
      <c r="I25" s="104">
        <v>0</v>
      </c>
      <c r="J25" s="104">
        <v>0</v>
      </c>
      <c r="K25" s="104">
        <v>0</v>
      </c>
      <c r="L25" s="210"/>
      <c r="M25" s="104">
        <v>0</v>
      </c>
      <c r="N25" s="104">
        <v>0</v>
      </c>
      <c r="O25" s="104">
        <v>0</v>
      </c>
      <c r="P25" s="104">
        <v>0</v>
      </c>
      <c r="Q25" s="104">
        <v>2</v>
      </c>
      <c r="R25" s="104">
        <v>0</v>
      </c>
      <c r="S25" s="210"/>
      <c r="T25" s="66">
        <v>2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0</v>
      </c>
      <c r="AE25" s="66">
        <v>0</v>
      </c>
      <c r="AF25" s="66">
        <v>0</v>
      </c>
      <c r="AG25" s="66">
        <v>0</v>
      </c>
      <c r="AH25" s="66">
        <v>0</v>
      </c>
      <c r="AI25" s="66">
        <v>0</v>
      </c>
      <c r="AJ25" s="66">
        <v>0</v>
      </c>
      <c r="AK25" s="210"/>
      <c r="AL25" s="104">
        <v>0</v>
      </c>
      <c r="AM25" s="104">
        <v>0</v>
      </c>
      <c r="AN25" s="104">
        <v>0</v>
      </c>
      <c r="AO25" s="104">
        <v>0</v>
      </c>
      <c r="AP25" s="104">
        <v>2</v>
      </c>
      <c r="AQ25" s="210"/>
      <c r="AR25" s="104">
        <v>2</v>
      </c>
      <c r="AS25" s="104">
        <v>0</v>
      </c>
      <c r="AT25" s="210"/>
      <c r="AU25" s="104">
        <v>0</v>
      </c>
      <c r="AV25" s="104">
        <v>0</v>
      </c>
      <c r="AW25" s="104">
        <v>0</v>
      </c>
      <c r="AX25" s="104">
        <v>0</v>
      </c>
      <c r="AY25" s="104">
        <v>0</v>
      </c>
      <c r="AZ25" s="210"/>
      <c r="BA25" s="104">
        <v>0</v>
      </c>
      <c r="BB25" s="104">
        <v>0</v>
      </c>
      <c r="BC25" s="104">
        <v>0</v>
      </c>
      <c r="BD25" s="104">
        <v>0</v>
      </c>
      <c r="BE25" s="104">
        <v>0</v>
      </c>
      <c r="BF25" s="104">
        <v>0</v>
      </c>
      <c r="BG25" s="104">
        <v>0</v>
      </c>
      <c r="BH25" s="104">
        <v>0</v>
      </c>
      <c r="BI25" s="104">
        <v>0</v>
      </c>
      <c r="BJ25" s="66">
        <v>0</v>
      </c>
      <c r="BK25" s="66">
        <v>0</v>
      </c>
      <c r="BL25" s="66">
        <v>0</v>
      </c>
      <c r="BM25" s="210"/>
    </row>
    <row r="26" spans="1:93" s="104" customFormat="1">
      <c r="B26" s="104" t="s">
        <v>1417</v>
      </c>
      <c r="C26" s="104">
        <f>SUM('[4]Maryland-clean 10'!B19)</f>
        <v>0</v>
      </c>
      <c r="D26" s="104">
        <v>2</v>
      </c>
      <c r="E26" s="104">
        <v>10</v>
      </c>
      <c r="F26" s="104">
        <f t="shared" si="0"/>
        <v>2</v>
      </c>
      <c r="G26" s="210"/>
      <c r="H26" s="104">
        <v>1</v>
      </c>
      <c r="I26" s="104">
        <v>1</v>
      </c>
      <c r="J26" s="104">
        <v>0</v>
      </c>
      <c r="K26" s="104">
        <v>0</v>
      </c>
      <c r="L26" s="210"/>
      <c r="M26" s="104">
        <v>1</v>
      </c>
      <c r="N26" s="104">
        <f>SUM('[4]Maryland-clean 10'!N19)</f>
        <v>0</v>
      </c>
      <c r="O26" s="104">
        <f>SUM('[4]Maryland-clean 10'!O19)</f>
        <v>0</v>
      </c>
      <c r="P26" s="104">
        <v>1</v>
      </c>
      <c r="Q26" s="104">
        <f>SUM('[4]Maryland-clean 10'!Q19)</f>
        <v>0</v>
      </c>
      <c r="R26" s="104">
        <f>SUM('[4]Maryland-clean 10'!R19)</f>
        <v>0</v>
      </c>
      <c r="S26" s="210"/>
      <c r="T26" s="104">
        <v>3</v>
      </c>
      <c r="U26" s="104">
        <f>SUM('[4]Maryland-clean 10'!V19)</f>
        <v>0</v>
      </c>
      <c r="V26" s="104">
        <f>SUM('[4]Maryland-clean 10'!W19)</f>
        <v>0</v>
      </c>
      <c r="W26" s="104">
        <f>SUM('[4]Maryland-clean 10'!X19)</f>
        <v>0</v>
      </c>
      <c r="X26" s="104">
        <f>SUM('[4]Maryland-clean 10'!Y19)</f>
        <v>0</v>
      </c>
      <c r="Y26" s="104">
        <v>1</v>
      </c>
      <c r="Z26" s="104">
        <v>3</v>
      </c>
      <c r="AA26" s="104">
        <v>1</v>
      </c>
      <c r="AB26" s="104">
        <v>1</v>
      </c>
      <c r="AC26" s="104">
        <v>1</v>
      </c>
      <c r="AD26" s="104">
        <f>SUM('[4]Maryland-clean 10'!AE19)</f>
        <v>0</v>
      </c>
      <c r="AE26" s="104">
        <v>1</v>
      </c>
      <c r="AF26" s="104">
        <v>2</v>
      </c>
      <c r="AG26" s="104">
        <f>SUM('[4]Maryland-clean 10'!AH19)</f>
        <v>0</v>
      </c>
      <c r="AH26" s="104">
        <f>SUM('[4]Maryland-clean 10'!AI19)</f>
        <v>0</v>
      </c>
      <c r="AI26" s="104">
        <v>1</v>
      </c>
      <c r="AJ26" s="104">
        <f>SUM('[4]Maryland-clean 10'!AK19)</f>
        <v>0</v>
      </c>
      <c r="AK26" s="210"/>
      <c r="AL26" s="104">
        <v>1</v>
      </c>
      <c r="AM26" s="104">
        <f>SUM('[4]Maryland-clean 10'!AV19)</f>
        <v>0</v>
      </c>
      <c r="AN26" s="104">
        <f>SUM('[4]Maryland-clean 10'!AW19)</f>
        <v>0</v>
      </c>
      <c r="AO26" s="104">
        <f>SUM('[4]Maryland-clean 10'!AX19)</f>
        <v>0</v>
      </c>
      <c r="AP26" s="104">
        <v>1</v>
      </c>
      <c r="AQ26" s="210"/>
      <c r="AR26" s="104">
        <v>2</v>
      </c>
      <c r="AS26" s="104">
        <f>SUM('[4]Maryland-clean 10'!BD19)</f>
        <v>0</v>
      </c>
      <c r="AT26" s="210"/>
      <c r="AU26" s="104">
        <f>SUM('[4]Maryland-clean 10'!BF19)</f>
        <v>0</v>
      </c>
      <c r="AV26" s="104">
        <f>SUM('[4]Maryland-clean 10'!BG19)</f>
        <v>0</v>
      </c>
      <c r="AW26" s="104">
        <f>SUM('[4]Maryland-clean 10'!BH19)</f>
        <v>0</v>
      </c>
      <c r="AX26" s="104">
        <f>SUM('[4]Maryland-clean 10'!BI19)</f>
        <v>0</v>
      </c>
      <c r="AY26" s="104">
        <f>SUM('[4]Maryland-clean 10'!BJ19)</f>
        <v>0</v>
      </c>
      <c r="AZ26" s="210"/>
      <c r="BA26" s="66">
        <v>2</v>
      </c>
      <c r="BB26" s="66">
        <f>SUM('[4]Maryland-clean 10'!BS19)</f>
        <v>0</v>
      </c>
      <c r="BC26" s="66">
        <f>SUM('[4]Maryland-clean 10'!BR19)</f>
        <v>0</v>
      </c>
      <c r="BD26" s="66">
        <f>SUM('[4]Maryland-clean 10'!BT19)</f>
        <v>0</v>
      </c>
      <c r="BE26" s="66">
        <f>SUM('[4]Maryland-clean 10'!BV19)</f>
        <v>0</v>
      </c>
      <c r="BF26" s="104">
        <f>SUM('[4]Maryland-clean 10'!BW19)</f>
        <v>0</v>
      </c>
      <c r="BG26" s="104">
        <f>SUM('[4]Maryland-clean 10'!BY19)</f>
        <v>0</v>
      </c>
      <c r="BH26" s="66">
        <f>SUM('[4]Maryland-clean 10'!CA19)</f>
        <v>0</v>
      </c>
      <c r="BI26" s="66">
        <f>SUM('[4]Maryland-clean 10'!CB19)</f>
        <v>0</v>
      </c>
      <c r="BJ26" s="66">
        <f>SUM('[4]Maryland-clean 10'!CD19)</f>
        <v>0</v>
      </c>
      <c r="BK26" s="66">
        <f>SUM('[4]Maryland-clean 10'!CE19)</f>
        <v>0</v>
      </c>
      <c r="BL26" s="66">
        <f>SUM('[4]Maryland-clean 10'!BN19)</f>
        <v>0</v>
      </c>
      <c r="BM26" s="210"/>
    </row>
    <row r="27" spans="1:93" s="104" customFormat="1">
      <c r="B27" s="104" t="s">
        <v>1418</v>
      </c>
      <c r="C27" s="104">
        <f>SUM('[4]Massachusetts-clean 8'!B16)</f>
        <v>0</v>
      </c>
      <c r="D27" s="104">
        <v>1</v>
      </c>
      <c r="E27" s="104">
        <v>8</v>
      </c>
      <c r="F27" s="104">
        <f t="shared" si="0"/>
        <v>1</v>
      </c>
      <c r="G27" s="210"/>
      <c r="H27" s="104">
        <v>0</v>
      </c>
      <c r="I27" s="104">
        <v>1</v>
      </c>
      <c r="J27" s="104">
        <v>0</v>
      </c>
      <c r="K27" s="104">
        <v>0</v>
      </c>
      <c r="L27" s="210"/>
      <c r="M27" s="104">
        <v>1</v>
      </c>
      <c r="N27" s="104">
        <f>SUM('[4]Massachusetts-clean 8'!N16)</f>
        <v>0</v>
      </c>
      <c r="O27" s="104">
        <f>SUM('[4]Massachusetts-clean 8'!O16)</f>
        <v>0</v>
      </c>
      <c r="P27" s="104">
        <f>SUM('[4]Massachusetts-clean 8'!P16)</f>
        <v>0</v>
      </c>
      <c r="Q27" s="104">
        <f>SUM('[4]Massachusetts-clean 8'!Q16)</f>
        <v>0</v>
      </c>
      <c r="R27" s="104">
        <f>SUM('[4]Massachusetts-clean 8'!R16)</f>
        <v>0</v>
      </c>
      <c r="S27" s="210"/>
      <c r="T27" s="104">
        <v>1</v>
      </c>
      <c r="U27" s="104">
        <f>SUM('[4]Massachusetts-clean 8'!V16)</f>
        <v>0</v>
      </c>
      <c r="V27" s="104">
        <f>SUM('[4]Massachusetts-clean 8'!W16)</f>
        <v>0</v>
      </c>
      <c r="W27" s="104">
        <f>SUM('[4]Massachusetts-clean 8'!X16)</f>
        <v>0</v>
      </c>
      <c r="X27" s="104">
        <f>SUM('[4]Massachusetts-clean 8'!Y16)</f>
        <v>0</v>
      </c>
      <c r="Y27" s="104">
        <v>1</v>
      </c>
      <c r="Z27" s="104">
        <v>1</v>
      </c>
      <c r="AA27" s="104">
        <f>SUM('[4]Massachusetts-clean 8'!AB16)</f>
        <v>0</v>
      </c>
      <c r="AB27" s="104">
        <v>2</v>
      </c>
      <c r="AC27" s="104">
        <v>2</v>
      </c>
      <c r="AD27" s="104">
        <f>SUM('[4]Massachusetts-clean 8'!AE16)</f>
        <v>0</v>
      </c>
      <c r="AE27" s="104">
        <f>SUM('[4]Massachusetts-clean 8'!AF16)</f>
        <v>0</v>
      </c>
      <c r="AF27" s="104">
        <v>1</v>
      </c>
      <c r="AG27" s="104">
        <f>SUM('[4]Massachusetts-clean 8'!AH16)</f>
        <v>0</v>
      </c>
      <c r="AH27" s="104">
        <f>SUM('[4]Massachusetts-clean 8'!AI16)</f>
        <v>0</v>
      </c>
      <c r="AI27" s="104">
        <f>SUM('[4]Massachusetts-clean 8'!AJ16)</f>
        <v>0</v>
      </c>
      <c r="AJ27" s="104">
        <f>SUM('[4]Massachusetts-clean 8'!AK16)</f>
        <v>0</v>
      </c>
      <c r="AK27" s="210"/>
      <c r="AL27" s="104">
        <f>SUM('[4]Massachusetts-clean 8'!AU16)</f>
        <v>0</v>
      </c>
      <c r="AM27" s="104">
        <f>SUM('[4]Massachusetts-clean 8'!AV16)</f>
        <v>0</v>
      </c>
      <c r="AN27" s="104">
        <f>SUM('[4]Massachusetts-clean 8'!AW16)</f>
        <v>0</v>
      </c>
      <c r="AO27" s="104">
        <f>SUM('[4]Massachusetts-clean 8'!AX16)</f>
        <v>0</v>
      </c>
      <c r="AP27" s="104">
        <v>1</v>
      </c>
      <c r="AQ27" s="210"/>
      <c r="AR27" s="104">
        <v>1</v>
      </c>
      <c r="AS27" s="104">
        <v>0</v>
      </c>
      <c r="AT27" s="210"/>
      <c r="AU27" s="104">
        <v>0</v>
      </c>
      <c r="AV27" s="104">
        <v>0</v>
      </c>
      <c r="AW27" s="104">
        <v>0</v>
      </c>
      <c r="AX27" s="104">
        <v>0</v>
      </c>
      <c r="AY27" s="104">
        <v>0</v>
      </c>
      <c r="AZ27" s="210"/>
      <c r="BA27" s="104">
        <v>8</v>
      </c>
      <c r="BB27" s="104">
        <v>0</v>
      </c>
      <c r="BC27" s="104">
        <v>0</v>
      </c>
      <c r="BD27" s="104">
        <v>0</v>
      </c>
      <c r="BE27" s="104">
        <v>0</v>
      </c>
      <c r="BF27" s="104">
        <v>0</v>
      </c>
      <c r="BG27" s="104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210"/>
    </row>
    <row r="28" spans="1:93" s="104" customFormat="1">
      <c r="B28" s="66" t="s">
        <v>1419</v>
      </c>
      <c r="C28" s="104">
        <f>SUM('[4]Michigan-clean 3'!B11)</f>
        <v>0</v>
      </c>
      <c r="D28" s="104">
        <f>SUM('[4]Michigan-clean 3'!C11)</f>
        <v>0</v>
      </c>
      <c r="E28" s="104">
        <v>3</v>
      </c>
      <c r="F28" s="104">
        <f t="shared" si="0"/>
        <v>2</v>
      </c>
      <c r="G28" s="210"/>
      <c r="H28" s="104">
        <v>2</v>
      </c>
      <c r="I28" s="104">
        <v>0</v>
      </c>
      <c r="J28" s="104">
        <v>0</v>
      </c>
      <c r="K28" s="104">
        <v>0</v>
      </c>
      <c r="L28" s="210"/>
      <c r="M28" s="104">
        <v>2</v>
      </c>
      <c r="N28" s="104">
        <v>0</v>
      </c>
      <c r="O28" s="104">
        <v>0</v>
      </c>
      <c r="P28" s="104">
        <v>0</v>
      </c>
      <c r="Q28" s="104">
        <v>0</v>
      </c>
      <c r="R28" s="104">
        <v>0</v>
      </c>
      <c r="S28" s="210"/>
      <c r="T28" s="104">
        <v>2</v>
      </c>
      <c r="U28" s="104">
        <v>0</v>
      </c>
      <c r="V28" s="104">
        <v>0</v>
      </c>
      <c r="W28" s="104">
        <v>0</v>
      </c>
      <c r="X28" s="104">
        <v>0</v>
      </c>
      <c r="Y28" s="104">
        <v>1</v>
      </c>
      <c r="Z28" s="104">
        <v>0</v>
      </c>
      <c r="AA28" s="104">
        <v>0</v>
      </c>
      <c r="AB28" s="104">
        <v>0</v>
      </c>
      <c r="AC28" s="104">
        <v>0</v>
      </c>
      <c r="AD28" s="104">
        <v>0</v>
      </c>
      <c r="AE28" s="104">
        <v>0</v>
      </c>
      <c r="AF28" s="104">
        <v>0</v>
      </c>
      <c r="AG28" s="104">
        <v>0</v>
      </c>
      <c r="AH28" s="104">
        <v>0</v>
      </c>
      <c r="AI28" s="104">
        <v>0</v>
      </c>
      <c r="AJ28" s="104">
        <v>0</v>
      </c>
      <c r="AK28" s="210"/>
      <c r="AL28" s="104">
        <v>0</v>
      </c>
      <c r="AM28" s="104">
        <v>0</v>
      </c>
      <c r="AN28" s="104">
        <v>0</v>
      </c>
      <c r="AO28" s="104">
        <v>0</v>
      </c>
      <c r="AP28" s="104">
        <v>2</v>
      </c>
      <c r="AQ28" s="210"/>
      <c r="AR28" s="104">
        <v>2</v>
      </c>
      <c r="AS28" s="104">
        <v>0</v>
      </c>
      <c r="AT28" s="210"/>
      <c r="AU28" s="104">
        <v>0</v>
      </c>
      <c r="AV28" s="104">
        <v>0</v>
      </c>
      <c r="AW28" s="104">
        <v>0</v>
      </c>
      <c r="AX28" s="104">
        <v>0</v>
      </c>
      <c r="AY28" s="104">
        <v>0</v>
      </c>
      <c r="AZ28" s="210"/>
      <c r="BA28" s="104">
        <v>0</v>
      </c>
      <c r="BB28" s="104">
        <v>0</v>
      </c>
      <c r="BC28" s="104">
        <v>0</v>
      </c>
      <c r="BD28" s="104">
        <v>0</v>
      </c>
      <c r="BE28" s="104">
        <v>0</v>
      </c>
      <c r="BF28" s="104">
        <v>0</v>
      </c>
      <c r="BG28" s="104">
        <v>0</v>
      </c>
      <c r="BH28" s="104">
        <v>0</v>
      </c>
      <c r="BI28" s="104">
        <v>0</v>
      </c>
      <c r="BJ28" s="9">
        <v>0</v>
      </c>
      <c r="BK28" s="9">
        <v>0</v>
      </c>
      <c r="BL28" s="9">
        <v>0</v>
      </c>
      <c r="BM28" s="210"/>
      <c r="CM28" s="66"/>
      <c r="CN28" s="66"/>
      <c r="CO28" s="66"/>
    </row>
    <row r="29" spans="1:93" s="104" customFormat="1">
      <c r="B29" s="104" t="s">
        <v>1420</v>
      </c>
      <c r="C29" s="104">
        <f>SUM('[4]Minnesota-clean 59'!B66)</f>
        <v>0</v>
      </c>
      <c r="D29" s="104">
        <v>22</v>
      </c>
      <c r="E29" s="104">
        <v>59</v>
      </c>
      <c r="F29" s="104">
        <f t="shared" si="0"/>
        <v>6</v>
      </c>
      <c r="G29" s="210"/>
      <c r="H29" s="104">
        <v>4</v>
      </c>
      <c r="I29" s="104">
        <v>3</v>
      </c>
      <c r="J29" s="104">
        <f>SUM('[4]Minnesota-clean 59'!G66)</f>
        <v>0</v>
      </c>
      <c r="K29" s="104">
        <v>1</v>
      </c>
      <c r="L29" s="210"/>
      <c r="M29" s="104">
        <v>6</v>
      </c>
      <c r="N29" s="104">
        <v>0</v>
      </c>
      <c r="O29" s="104">
        <v>0</v>
      </c>
      <c r="P29" s="104">
        <v>0</v>
      </c>
      <c r="Q29" s="104">
        <v>2</v>
      </c>
      <c r="R29" s="104">
        <v>0</v>
      </c>
      <c r="S29" s="210"/>
      <c r="T29" s="66">
        <v>8</v>
      </c>
      <c r="U29" s="66">
        <v>0</v>
      </c>
      <c r="V29" s="66">
        <v>1</v>
      </c>
      <c r="W29" s="66">
        <v>1</v>
      </c>
      <c r="X29" s="66">
        <v>4</v>
      </c>
      <c r="Y29" s="66">
        <v>7</v>
      </c>
      <c r="Z29" s="66">
        <v>4</v>
      </c>
      <c r="AA29" s="66">
        <v>1</v>
      </c>
      <c r="AB29" s="66">
        <v>2</v>
      </c>
      <c r="AC29" s="66">
        <v>5</v>
      </c>
      <c r="AD29" s="66">
        <v>0</v>
      </c>
      <c r="AE29" s="104">
        <v>3</v>
      </c>
      <c r="AF29" s="104">
        <v>1</v>
      </c>
      <c r="AG29" s="66">
        <v>0</v>
      </c>
      <c r="AH29" s="66">
        <v>0</v>
      </c>
      <c r="AI29" s="104">
        <v>1</v>
      </c>
      <c r="AJ29" s="104">
        <v>1</v>
      </c>
      <c r="AK29" s="210"/>
      <c r="AL29" s="104">
        <v>0</v>
      </c>
      <c r="AM29" s="104">
        <v>0</v>
      </c>
      <c r="AN29" s="104">
        <v>0</v>
      </c>
      <c r="AO29" s="104">
        <v>0</v>
      </c>
      <c r="AP29" s="104">
        <v>6</v>
      </c>
      <c r="AQ29" s="210"/>
      <c r="AR29" s="104">
        <v>6</v>
      </c>
      <c r="AS29" s="104">
        <v>0</v>
      </c>
      <c r="AT29" s="210"/>
      <c r="AU29" s="104">
        <v>0</v>
      </c>
      <c r="AV29" s="104">
        <v>0</v>
      </c>
      <c r="AW29" s="104">
        <v>0</v>
      </c>
      <c r="AX29" s="104">
        <v>0</v>
      </c>
      <c r="AY29" s="104">
        <v>0</v>
      </c>
      <c r="AZ29" s="210"/>
      <c r="BA29" s="66">
        <v>42</v>
      </c>
      <c r="BB29" s="66">
        <v>0</v>
      </c>
      <c r="BC29" s="66">
        <v>0</v>
      </c>
      <c r="BD29" s="66">
        <v>0</v>
      </c>
      <c r="BE29" s="66">
        <v>0</v>
      </c>
      <c r="BF29" s="66">
        <v>0</v>
      </c>
      <c r="BG29" s="66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210"/>
      <c r="CM29" s="66"/>
      <c r="CN29" s="66"/>
      <c r="CO29" s="66"/>
    </row>
    <row r="30" spans="1:93" s="104" customFormat="1">
      <c r="B30" s="104" t="s">
        <v>1421</v>
      </c>
      <c r="C30" s="66">
        <f>SUM('[4]Mississippi-clean 15'!B27)</f>
        <v>0</v>
      </c>
      <c r="D30" s="104">
        <v>1</v>
      </c>
      <c r="E30" s="104">
        <v>15</v>
      </c>
      <c r="F30" s="104">
        <f t="shared" si="0"/>
        <v>2</v>
      </c>
      <c r="G30" s="210"/>
      <c r="H30" s="104">
        <v>1</v>
      </c>
      <c r="I30" s="104">
        <v>1</v>
      </c>
      <c r="J30" s="104">
        <f>SUM('[4]Mississippi-clean 15'!G27)</f>
        <v>0</v>
      </c>
      <c r="K30" s="104">
        <v>0</v>
      </c>
      <c r="L30" s="210"/>
      <c r="M30" s="104">
        <v>2</v>
      </c>
      <c r="N30" s="104">
        <f>SUM('[4]Mississippi-clean 15'!N27)</f>
        <v>0</v>
      </c>
      <c r="O30" s="104">
        <f>SUM('[4]Mississippi-clean 15'!O27)</f>
        <v>0</v>
      </c>
      <c r="P30" s="104">
        <f>SUM('[4]Mississippi-clean 15'!P27)</f>
        <v>0</v>
      </c>
      <c r="Q30" s="104">
        <f>SUM('[4]Mississippi-clean 15'!Q27)</f>
        <v>0</v>
      </c>
      <c r="R30" s="104">
        <f>SUM('[4]Mississippi-clean 15'!R27)</f>
        <v>0</v>
      </c>
      <c r="S30" s="210"/>
      <c r="T30" s="66">
        <v>2</v>
      </c>
      <c r="U30" s="66">
        <f>SUM('[4]Mississippi-clean 15'!V27)</f>
        <v>0</v>
      </c>
      <c r="V30" s="66">
        <f>SUM('[4]Mississippi-clean 15'!W27)</f>
        <v>0</v>
      </c>
      <c r="W30" s="66">
        <f>SUM('[4]Mississippi-clean 15'!X27)</f>
        <v>0</v>
      </c>
      <c r="X30" s="66">
        <f>SUM('[4]Mississippi-clean 15'!Y27)</f>
        <v>0</v>
      </c>
      <c r="Y30" s="66">
        <v>2</v>
      </c>
      <c r="Z30" s="66">
        <v>5</v>
      </c>
      <c r="AA30" s="66">
        <f>SUM('[4]Mississippi-clean 15'!AB27)</f>
        <v>0</v>
      </c>
      <c r="AB30" s="66">
        <v>2</v>
      </c>
      <c r="AC30" s="66">
        <v>1</v>
      </c>
      <c r="AD30" s="66">
        <f>SUM('[4]Mississippi-clean 15'!AE27)</f>
        <v>0</v>
      </c>
      <c r="AE30" s="66">
        <f>SUM('[4]Mississippi-clean 15'!AF27)</f>
        <v>0</v>
      </c>
      <c r="AF30" s="66">
        <v>2</v>
      </c>
      <c r="AG30" s="66">
        <v>1</v>
      </c>
      <c r="AH30" s="66">
        <v>1</v>
      </c>
      <c r="AI30" s="66">
        <f>SUM('[4]Mississippi-clean 15'!AJ27)</f>
        <v>0</v>
      </c>
      <c r="AJ30" s="66">
        <f>SUM('[4]Mississippi-clean 15'!AK27)</f>
        <v>0</v>
      </c>
      <c r="AK30" s="210"/>
      <c r="AL30" s="104">
        <v>2</v>
      </c>
      <c r="AM30" s="104">
        <v>0</v>
      </c>
      <c r="AN30" s="104">
        <v>0</v>
      </c>
      <c r="AO30" s="104">
        <v>0</v>
      </c>
      <c r="AP30" s="104">
        <v>0</v>
      </c>
      <c r="AQ30" s="210"/>
      <c r="AR30" s="104">
        <v>2</v>
      </c>
      <c r="AS30" s="104">
        <v>0</v>
      </c>
      <c r="AT30" s="210"/>
      <c r="AU30" s="104">
        <v>0</v>
      </c>
      <c r="AV30" s="104">
        <v>0</v>
      </c>
      <c r="AW30" s="104">
        <v>0</v>
      </c>
      <c r="AX30" s="104">
        <v>0</v>
      </c>
      <c r="AY30" s="104">
        <v>0</v>
      </c>
      <c r="AZ30" s="210"/>
      <c r="BA30" s="66">
        <v>5</v>
      </c>
      <c r="BB30" s="66">
        <v>0</v>
      </c>
      <c r="BC30" s="66">
        <v>0</v>
      </c>
      <c r="BD30" s="66">
        <v>0</v>
      </c>
      <c r="BE30" s="66">
        <v>0</v>
      </c>
      <c r="BF30" s="66">
        <v>0</v>
      </c>
      <c r="BG30" s="104">
        <v>0</v>
      </c>
      <c r="BH30" s="66">
        <v>0</v>
      </c>
      <c r="BI30" s="66">
        <v>0</v>
      </c>
      <c r="BJ30" s="66">
        <v>0</v>
      </c>
      <c r="BK30" s="66">
        <v>0</v>
      </c>
      <c r="BL30" s="66">
        <v>0</v>
      </c>
      <c r="BM30" s="210"/>
    </row>
    <row r="31" spans="1:93" s="66" customFormat="1">
      <c r="A31" s="104"/>
      <c r="B31" s="104" t="s">
        <v>1422</v>
      </c>
      <c r="C31" s="104">
        <v>3</v>
      </c>
      <c r="D31" s="104">
        <v>20</v>
      </c>
      <c r="E31" s="104">
        <v>71</v>
      </c>
      <c r="F31" s="104">
        <f t="shared" si="0"/>
        <v>10</v>
      </c>
      <c r="G31" s="210"/>
      <c r="H31" s="104">
        <v>7</v>
      </c>
      <c r="I31" s="104">
        <v>0</v>
      </c>
      <c r="J31" s="104">
        <v>2</v>
      </c>
      <c r="K31" s="104">
        <v>1</v>
      </c>
      <c r="L31" s="210"/>
      <c r="M31" s="104">
        <v>7</v>
      </c>
      <c r="N31" s="104">
        <v>0</v>
      </c>
      <c r="O31" s="104">
        <v>0</v>
      </c>
      <c r="P31" s="104">
        <f>SUM('[4]Missouri-clean 71'!P77)</f>
        <v>0</v>
      </c>
      <c r="Q31" s="104">
        <v>3</v>
      </c>
      <c r="R31" s="104">
        <v>0</v>
      </c>
      <c r="S31" s="210"/>
      <c r="T31" s="104">
        <v>11</v>
      </c>
      <c r="U31" s="104">
        <v>0</v>
      </c>
      <c r="V31" s="104">
        <v>0</v>
      </c>
      <c r="W31" s="104">
        <v>0</v>
      </c>
      <c r="X31" s="104">
        <v>0</v>
      </c>
      <c r="Y31" s="104">
        <v>5</v>
      </c>
      <c r="Z31" s="104">
        <v>0</v>
      </c>
      <c r="AA31" s="104">
        <v>0</v>
      </c>
      <c r="AB31" s="104">
        <v>7</v>
      </c>
      <c r="AC31" s="104">
        <v>6</v>
      </c>
      <c r="AD31" s="104">
        <v>0</v>
      </c>
      <c r="AE31" s="66">
        <v>0</v>
      </c>
      <c r="AF31" s="66">
        <v>0</v>
      </c>
      <c r="AG31" s="104">
        <v>0</v>
      </c>
      <c r="AH31" s="104">
        <v>0</v>
      </c>
      <c r="AI31" s="66">
        <v>0</v>
      </c>
      <c r="AJ31" s="66">
        <v>0</v>
      </c>
      <c r="AK31" s="210"/>
      <c r="AL31" s="104">
        <v>0</v>
      </c>
      <c r="AM31" s="104">
        <v>0</v>
      </c>
      <c r="AN31" s="104">
        <v>0</v>
      </c>
      <c r="AO31" s="104">
        <v>0</v>
      </c>
      <c r="AP31" s="66">
        <v>10</v>
      </c>
      <c r="AQ31" s="210"/>
      <c r="AR31" s="104">
        <v>10</v>
      </c>
      <c r="AS31" s="104">
        <v>0</v>
      </c>
      <c r="AT31" s="210"/>
      <c r="AU31" s="104">
        <v>0</v>
      </c>
      <c r="AV31" s="104">
        <v>0</v>
      </c>
      <c r="AW31" s="104">
        <v>0</v>
      </c>
      <c r="AX31" s="104">
        <v>0</v>
      </c>
      <c r="AY31" s="104">
        <v>0</v>
      </c>
      <c r="AZ31" s="210"/>
      <c r="BA31" s="104">
        <v>37</v>
      </c>
      <c r="BB31" s="104">
        <v>0</v>
      </c>
      <c r="BC31" s="104">
        <v>0</v>
      </c>
      <c r="BD31" s="104">
        <v>0</v>
      </c>
      <c r="BE31" s="104">
        <v>0</v>
      </c>
      <c r="BF31" s="104">
        <v>0</v>
      </c>
      <c r="BG31" s="104">
        <v>0</v>
      </c>
      <c r="BH31" s="104">
        <v>0</v>
      </c>
      <c r="BI31" s="104">
        <v>0</v>
      </c>
      <c r="BJ31" s="104">
        <v>0</v>
      </c>
      <c r="BK31" s="104">
        <v>0</v>
      </c>
      <c r="BL31" s="104">
        <v>0</v>
      </c>
      <c r="BM31" s="210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</row>
    <row r="32" spans="1:93" s="66" customFormat="1">
      <c r="A32" s="104"/>
      <c r="B32" s="104" t="s">
        <v>1425</v>
      </c>
      <c r="C32" s="104">
        <f>SUM('[4]Nevada-clean 11'!B18)</f>
        <v>0</v>
      </c>
      <c r="D32" s="104">
        <v>1</v>
      </c>
      <c r="E32" s="104">
        <v>11</v>
      </c>
      <c r="F32" s="104">
        <f t="shared" si="0"/>
        <v>2</v>
      </c>
      <c r="G32" s="210"/>
      <c r="H32" s="104">
        <v>1</v>
      </c>
      <c r="I32" s="104">
        <v>1</v>
      </c>
      <c r="J32" s="104">
        <v>0</v>
      </c>
      <c r="K32" s="104">
        <v>0</v>
      </c>
      <c r="L32" s="210"/>
      <c r="M32" s="104">
        <v>2</v>
      </c>
      <c r="N32" s="104">
        <v>0</v>
      </c>
      <c r="O32" s="104">
        <v>0</v>
      </c>
      <c r="P32" s="104">
        <v>0</v>
      </c>
      <c r="Q32" s="104">
        <v>0</v>
      </c>
      <c r="R32" s="104">
        <v>0</v>
      </c>
      <c r="S32" s="210"/>
      <c r="T32" s="104">
        <v>2</v>
      </c>
      <c r="U32" s="104">
        <v>0</v>
      </c>
      <c r="V32" s="104">
        <v>0</v>
      </c>
      <c r="W32" s="104">
        <v>0</v>
      </c>
      <c r="X32" s="104">
        <v>0</v>
      </c>
      <c r="Y32" s="104">
        <v>3</v>
      </c>
      <c r="Z32" s="104">
        <v>2</v>
      </c>
      <c r="AA32" s="104">
        <v>0</v>
      </c>
      <c r="AB32" s="104">
        <v>3</v>
      </c>
      <c r="AC32" s="104">
        <v>0</v>
      </c>
      <c r="AD32" s="104">
        <v>0</v>
      </c>
      <c r="AE32" s="104">
        <v>0</v>
      </c>
      <c r="AF32" s="104">
        <v>1</v>
      </c>
      <c r="AG32" s="104">
        <v>0</v>
      </c>
      <c r="AH32" s="104">
        <v>1</v>
      </c>
      <c r="AI32" s="104">
        <v>0</v>
      </c>
      <c r="AJ32" s="104">
        <v>0</v>
      </c>
      <c r="AK32" s="210"/>
      <c r="AL32" s="104">
        <v>2</v>
      </c>
      <c r="AM32" s="104">
        <v>0</v>
      </c>
      <c r="AN32" s="104">
        <v>0</v>
      </c>
      <c r="AO32" s="104">
        <v>0</v>
      </c>
      <c r="AP32" s="104">
        <v>0</v>
      </c>
      <c r="AQ32" s="210"/>
      <c r="AR32" s="104">
        <v>2</v>
      </c>
      <c r="AS32" s="104">
        <v>0</v>
      </c>
      <c r="AT32" s="210"/>
      <c r="AU32" s="104">
        <v>0</v>
      </c>
      <c r="AV32" s="104">
        <v>0</v>
      </c>
      <c r="AW32" s="104">
        <v>0</v>
      </c>
      <c r="AX32" s="104">
        <v>0</v>
      </c>
      <c r="AY32" s="104">
        <v>0</v>
      </c>
      <c r="AZ32" s="210"/>
      <c r="BA32" s="104">
        <v>6</v>
      </c>
      <c r="BB32" s="104">
        <v>0</v>
      </c>
      <c r="BC32" s="104">
        <v>0</v>
      </c>
      <c r="BD32" s="104">
        <v>0</v>
      </c>
      <c r="BE32" s="104">
        <v>0</v>
      </c>
      <c r="BF32" s="104">
        <v>0</v>
      </c>
      <c r="BG32" s="104">
        <v>0</v>
      </c>
      <c r="BH32" s="104">
        <v>0</v>
      </c>
      <c r="BI32" s="104">
        <v>0</v>
      </c>
      <c r="BJ32" s="9">
        <v>0</v>
      </c>
      <c r="BK32" s="9">
        <v>0</v>
      </c>
      <c r="BL32" s="9">
        <v>0</v>
      </c>
      <c r="BM32" s="210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</row>
    <row r="33" spans="1:93" s="65" customFormat="1">
      <c r="A33" s="104"/>
      <c r="B33" s="66" t="s">
        <v>1427</v>
      </c>
      <c r="C33" s="104">
        <v>1</v>
      </c>
      <c r="D33" s="104">
        <v>16</v>
      </c>
      <c r="E33" s="104">
        <v>57</v>
      </c>
      <c r="F33" s="104">
        <f t="shared" si="0"/>
        <v>7</v>
      </c>
      <c r="G33" s="210"/>
      <c r="H33" s="104">
        <v>3</v>
      </c>
      <c r="I33" s="104">
        <v>2</v>
      </c>
      <c r="J33" s="104">
        <v>2</v>
      </c>
      <c r="K33" s="104">
        <v>0</v>
      </c>
      <c r="L33" s="210"/>
      <c r="M33" s="104">
        <v>4</v>
      </c>
      <c r="N33" s="104">
        <v>0</v>
      </c>
      <c r="O33" s="104">
        <v>0</v>
      </c>
      <c r="P33" s="104">
        <v>2</v>
      </c>
      <c r="Q33" s="104">
        <v>1</v>
      </c>
      <c r="R33" s="104">
        <v>0</v>
      </c>
      <c r="S33" s="210"/>
      <c r="T33" s="66">
        <v>7</v>
      </c>
      <c r="U33" s="66">
        <v>0</v>
      </c>
      <c r="V33" s="66">
        <v>0</v>
      </c>
      <c r="W33" s="66">
        <v>0</v>
      </c>
      <c r="X33" s="66">
        <v>1</v>
      </c>
      <c r="Y33" s="66">
        <v>7</v>
      </c>
      <c r="Z33" s="66">
        <v>18</v>
      </c>
      <c r="AA33" s="66">
        <v>0</v>
      </c>
      <c r="AB33" s="66">
        <v>5</v>
      </c>
      <c r="AC33" s="66">
        <v>3</v>
      </c>
      <c r="AD33" s="66">
        <v>0</v>
      </c>
      <c r="AE33" s="66">
        <v>3</v>
      </c>
      <c r="AF33" s="66">
        <v>10</v>
      </c>
      <c r="AG33" s="66">
        <v>1</v>
      </c>
      <c r="AH33" s="66">
        <v>3</v>
      </c>
      <c r="AI33" s="66">
        <v>0</v>
      </c>
      <c r="AJ33" s="66">
        <v>3</v>
      </c>
      <c r="AK33" s="210"/>
      <c r="AL33" s="104">
        <v>0</v>
      </c>
      <c r="AM33" s="104">
        <v>0</v>
      </c>
      <c r="AN33" s="104">
        <v>0</v>
      </c>
      <c r="AO33" s="104">
        <v>0</v>
      </c>
      <c r="AP33" s="104">
        <v>7</v>
      </c>
      <c r="AQ33" s="210"/>
      <c r="AR33" s="104">
        <v>7</v>
      </c>
      <c r="AS33" s="104">
        <v>0</v>
      </c>
      <c r="AT33" s="210"/>
      <c r="AU33" s="104">
        <v>0</v>
      </c>
      <c r="AV33" s="104">
        <v>0</v>
      </c>
      <c r="AW33" s="104">
        <v>0</v>
      </c>
      <c r="AX33" s="104">
        <v>0</v>
      </c>
      <c r="AY33" s="104">
        <v>0</v>
      </c>
      <c r="AZ33" s="210"/>
      <c r="BA33" s="104">
        <v>34</v>
      </c>
      <c r="BB33" s="104">
        <v>0</v>
      </c>
      <c r="BC33" s="104">
        <v>0</v>
      </c>
      <c r="BD33" s="104">
        <v>0</v>
      </c>
      <c r="BE33" s="104">
        <v>0</v>
      </c>
      <c r="BF33" s="104">
        <v>0</v>
      </c>
      <c r="BG33" s="104">
        <v>0</v>
      </c>
      <c r="BH33" s="104">
        <v>0</v>
      </c>
      <c r="BI33" s="104">
        <v>0</v>
      </c>
      <c r="BJ33" s="66">
        <v>0</v>
      </c>
      <c r="BK33" s="66">
        <v>0</v>
      </c>
      <c r="BL33" s="66">
        <v>0</v>
      </c>
      <c r="BM33" s="210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</row>
    <row r="34" spans="1:93" s="65" customFormat="1">
      <c r="A34" s="104"/>
      <c r="B34" s="66" t="s">
        <v>1429</v>
      </c>
      <c r="C34" s="66">
        <v>1</v>
      </c>
      <c r="D34" s="104">
        <v>8</v>
      </c>
      <c r="E34" s="104">
        <v>25</v>
      </c>
      <c r="F34" s="104">
        <f t="shared" si="0"/>
        <v>4</v>
      </c>
      <c r="G34" s="210"/>
      <c r="H34" s="104">
        <v>1</v>
      </c>
      <c r="I34" s="104">
        <v>2</v>
      </c>
      <c r="J34" s="104">
        <v>1</v>
      </c>
      <c r="K34" s="104">
        <v>0</v>
      </c>
      <c r="L34" s="210"/>
      <c r="M34" s="104">
        <v>3</v>
      </c>
      <c r="N34" s="104">
        <v>0</v>
      </c>
      <c r="O34" s="104">
        <v>0</v>
      </c>
      <c r="P34" s="104">
        <v>1</v>
      </c>
      <c r="Q34" s="104">
        <v>0</v>
      </c>
      <c r="R34" s="104">
        <v>0</v>
      </c>
      <c r="S34" s="210"/>
      <c r="T34" s="104">
        <v>5</v>
      </c>
      <c r="U34" s="104">
        <v>0</v>
      </c>
      <c r="V34" s="104">
        <v>0</v>
      </c>
      <c r="W34" s="104">
        <v>0</v>
      </c>
      <c r="X34" s="104">
        <v>0</v>
      </c>
      <c r="Y34" s="104">
        <v>4</v>
      </c>
      <c r="Z34" s="104">
        <v>9</v>
      </c>
      <c r="AA34" s="104">
        <v>0</v>
      </c>
      <c r="AB34" s="104">
        <v>4</v>
      </c>
      <c r="AC34" s="104">
        <v>1</v>
      </c>
      <c r="AD34" s="104">
        <v>0</v>
      </c>
      <c r="AE34" s="104">
        <v>0</v>
      </c>
      <c r="AF34" s="104">
        <v>5</v>
      </c>
      <c r="AG34" s="104">
        <v>1</v>
      </c>
      <c r="AH34" s="104">
        <v>1</v>
      </c>
      <c r="AI34" s="104">
        <v>0</v>
      </c>
      <c r="AJ34" s="104">
        <v>0</v>
      </c>
      <c r="AK34" s="210"/>
      <c r="AL34" s="104">
        <v>0</v>
      </c>
      <c r="AM34" s="104">
        <v>0</v>
      </c>
      <c r="AN34" s="104">
        <v>0</v>
      </c>
      <c r="AO34" s="104">
        <v>0</v>
      </c>
      <c r="AP34" s="104">
        <v>4</v>
      </c>
      <c r="AQ34" s="210"/>
      <c r="AR34" s="104">
        <v>4</v>
      </c>
      <c r="AS34" s="104">
        <v>0</v>
      </c>
      <c r="AT34" s="210"/>
      <c r="AU34" s="104">
        <v>0</v>
      </c>
      <c r="AV34" s="104">
        <v>0</v>
      </c>
      <c r="AW34" s="104">
        <v>0</v>
      </c>
      <c r="AX34" s="104">
        <v>0</v>
      </c>
      <c r="AY34" s="104">
        <v>0</v>
      </c>
      <c r="AZ34" s="210"/>
      <c r="BA34" s="104">
        <v>11</v>
      </c>
      <c r="BB34" s="104">
        <v>0</v>
      </c>
      <c r="BC34" s="104">
        <v>0</v>
      </c>
      <c r="BD34" s="104">
        <v>0</v>
      </c>
      <c r="BE34" s="104">
        <v>1</v>
      </c>
      <c r="BF34" s="104">
        <v>1</v>
      </c>
      <c r="BG34" s="104">
        <v>0</v>
      </c>
      <c r="BH34" s="104">
        <v>0</v>
      </c>
      <c r="BI34" s="104">
        <v>0</v>
      </c>
      <c r="BJ34" s="66">
        <v>0</v>
      </c>
      <c r="BK34" s="66">
        <v>0</v>
      </c>
      <c r="BL34" s="66">
        <v>0</v>
      </c>
      <c r="BM34" s="210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</row>
    <row r="35" spans="1:93" s="104" customFormat="1">
      <c r="B35" s="66" t="s">
        <v>1430</v>
      </c>
      <c r="C35" s="66">
        <v>2</v>
      </c>
      <c r="D35" s="104">
        <v>44</v>
      </c>
      <c r="E35" s="104">
        <v>151</v>
      </c>
      <c r="F35" s="104">
        <f t="shared" si="0"/>
        <v>20</v>
      </c>
      <c r="G35" s="210"/>
      <c r="H35" s="104">
        <v>10</v>
      </c>
      <c r="I35" s="104">
        <v>7</v>
      </c>
      <c r="J35" s="104">
        <v>1</v>
      </c>
      <c r="K35" s="104">
        <v>1</v>
      </c>
      <c r="L35" s="210"/>
      <c r="M35" s="104">
        <v>16</v>
      </c>
      <c r="N35" s="104">
        <v>0</v>
      </c>
      <c r="O35" s="104">
        <v>0</v>
      </c>
      <c r="P35" s="104">
        <v>0</v>
      </c>
      <c r="Q35" s="104">
        <v>4</v>
      </c>
      <c r="R35" s="104">
        <v>2</v>
      </c>
      <c r="S35" s="210"/>
      <c r="T35" s="104">
        <v>21</v>
      </c>
      <c r="U35" s="104">
        <v>0</v>
      </c>
      <c r="V35" s="104">
        <v>0</v>
      </c>
      <c r="W35" s="104">
        <v>0</v>
      </c>
      <c r="X35" s="104">
        <v>3</v>
      </c>
      <c r="Y35" s="104">
        <v>17</v>
      </c>
      <c r="Z35" s="104">
        <v>35</v>
      </c>
      <c r="AA35" s="104">
        <f>SUM('[4]North Carolina-clean 151'!AB158)</f>
        <v>0</v>
      </c>
      <c r="AB35" s="104">
        <v>22</v>
      </c>
      <c r="AC35" s="104">
        <v>14</v>
      </c>
      <c r="AD35" s="104">
        <v>1</v>
      </c>
      <c r="AE35" s="104">
        <v>3</v>
      </c>
      <c r="AF35" s="104">
        <v>30</v>
      </c>
      <c r="AG35" s="104">
        <v>3</v>
      </c>
      <c r="AH35" s="104">
        <v>3</v>
      </c>
      <c r="AI35" s="104">
        <f>SUM('[4]North Carolina-clean 151'!AJ158)</f>
        <v>0</v>
      </c>
      <c r="AJ35" s="104">
        <v>6</v>
      </c>
      <c r="AK35" s="210"/>
      <c r="AL35" s="104">
        <f>SUM('[4]North Carolina-clean 151'!AU158)</f>
        <v>0</v>
      </c>
      <c r="AM35" s="104">
        <v>0</v>
      </c>
      <c r="AN35" s="104">
        <v>0</v>
      </c>
      <c r="AO35" s="104">
        <v>0</v>
      </c>
      <c r="AP35" s="104">
        <v>20</v>
      </c>
      <c r="AQ35" s="210"/>
      <c r="AR35" s="104">
        <v>20</v>
      </c>
      <c r="AS35" s="104">
        <v>0</v>
      </c>
      <c r="AT35" s="210"/>
      <c r="AU35" s="104">
        <v>0</v>
      </c>
      <c r="AV35" s="104">
        <v>0</v>
      </c>
      <c r="AW35" s="104">
        <v>0</v>
      </c>
      <c r="AX35" s="104">
        <v>0</v>
      </c>
      <c r="AY35" s="104">
        <v>0</v>
      </c>
      <c r="AZ35" s="210"/>
      <c r="BA35" s="104">
        <v>93</v>
      </c>
      <c r="BB35" s="104">
        <v>2</v>
      </c>
      <c r="BC35" s="104">
        <v>0</v>
      </c>
      <c r="BD35" s="104">
        <v>1247</v>
      </c>
      <c r="BE35" s="104">
        <v>1</v>
      </c>
      <c r="BF35" s="104">
        <v>1</v>
      </c>
      <c r="BG35" s="104">
        <v>1</v>
      </c>
      <c r="BH35" s="104">
        <v>0</v>
      </c>
      <c r="BI35" s="104">
        <v>0</v>
      </c>
      <c r="BJ35" s="104">
        <v>0</v>
      </c>
      <c r="BK35" s="104">
        <v>0</v>
      </c>
      <c r="BL35" s="104">
        <v>0</v>
      </c>
      <c r="BM35" s="210"/>
    </row>
    <row r="36" spans="1:93" s="104" customFormat="1">
      <c r="B36" s="104" t="s">
        <v>1431</v>
      </c>
      <c r="C36" s="104">
        <f>SUM('[4]North Dakota-clean 6'!B16)</f>
        <v>0</v>
      </c>
      <c r="D36" s="104">
        <v>1</v>
      </c>
      <c r="E36" s="104">
        <v>6</v>
      </c>
      <c r="F36" s="104">
        <f t="shared" si="0"/>
        <v>1</v>
      </c>
      <c r="G36" s="210"/>
      <c r="H36" s="104">
        <v>0</v>
      </c>
      <c r="I36" s="104">
        <v>1</v>
      </c>
      <c r="J36" s="104">
        <v>0</v>
      </c>
      <c r="K36" s="104">
        <v>0</v>
      </c>
      <c r="L36" s="210"/>
      <c r="M36" s="104">
        <v>1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210"/>
      <c r="T36" s="104">
        <v>1</v>
      </c>
      <c r="U36" s="104">
        <v>0</v>
      </c>
      <c r="V36" s="104">
        <v>0</v>
      </c>
      <c r="W36" s="104">
        <v>0</v>
      </c>
      <c r="X36" s="104">
        <v>0</v>
      </c>
      <c r="Y36" s="104">
        <v>1</v>
      </c>
      <c r="Z36" s="104">
        <v>0</v>
      </c>
      <c r="AA36" s="104">
        <v>0</v>
      </c>
      <c r="AB36" s="104">
        <v>0</v>
      </c>
      <c r="AC36" s="104">
        <v>0</v>
      </c>
      <c r="AD36" s="104">
        <v>0</v>
      </c>
      <c r="AE36" s="104">
        <v>0</v>
      </c>
      <c r="AF36" s="104">
        <v>4</v>
      </c>
      <c r="AG36" s="104">
        <v>0</v>
      </c>
      <c r="AH36" s="104">
        <v>0</v>
      </c>
      <c r="AI36" s="104">
        <v>0</v>
      </c>
      <c r="AJ36" s="104">
        <v>0</v>
      </c>
      <c r="AK36" s="210"/>
      <c r="AL36" s="104">
        <v>1</v>
      </c>
      <c r="AM36" s="104">
        <v>0</v>
      </c>
      <c r="AN36" s="104">
        <v>0</v>
      </c>
      <c r="AO36" s="104">
        <v>0</v>
      </c>
      <c r="AP36" s="104">
        <v>0</v>
      </c>
      <c r="AQ36" s="210"/>
      <c r="AR36" s="104">
        <v>1</v>
      </c>
      <c r="AS36" s="104">
        <v>0</v>
      </c>
      <c r="AT36" s="210"/>
      <c r="AU36" s="104">
        <v>0</v>
      </c>
      <c r="AV36" s="104">
        <v>0</v>
      </c>
      <c r="AW36" s="104">
        <v>0</v>
      </c>
      <c r="AX36" s="104">
        <v>0</v>
      </c>
      <c r="AY36" s="104">
        <v>0</v>
      </c>
      <c r="AZ36" s="210"/>
      <c r="BA36" s="104">
        <v>2</v>
      </c>
      <c r="BB36" s="104">
        <v>3</v>
      </c>
      <c r="BC36" s="105">
        <v>1</v>
      </c>
      <c r="BD36" s="104">
        <v>973</v>
      </c>
      <c r="BE36" s="104">
        <v>0</v>
      </c>
      <c r="BF36" s="104">
        <v>0</v>
      </c>
      <c r="BG36" s="104">
        <v>2</v>
      </c>
      <c r="BH36" s="66">
        <v>0</v>
      </c>
      <c r="BI36" s="66">
        <v>0</v>
      </c>
      <c r="BJ36" s="66">
        <v>0</v>
      </c>
      <c r="BK36" s="66">
        <v>0</v>
      </c>
      <c r="BL36" s="66">
        <v>0</v>
      </c>
      <c r="BM36" s="210"/>
    </row>
    <row r="37" spans="1:93" s="104" customFormat="1">
      <c r="B37" s="66" t="s">
        <v>1432</v>
      </c>
      <c r="C37" s="104">
        <v>2</v>
      </c>
      <c r="D37" s="104">
        <v>11</v>
      </c>
      <c r="E37" s="104">
        <v>53</v>
      </c>
      <c r="F37" s="104">
        <f t="shared" si="0"/>
        <v>12</v>
      </c>
      <c r="G37" s="210"/>
      <c r="H37" s="104">
        <v>8</v>
      </c>
      <c r="I37" s="104">
        <v>2</v>
      </c>
      <c r="J37" s="104">
        <v>1</v>
      </c>
      <c r="K37" s="104">
        <v>0</v>
      </c>
      <c r="L37" s="210"/>
      <c r="M37" s="104">
        <v>5</v>
      </c>
      <c r="N37" s="104">
        <v>1</v>
      </c>
      <c r="O37" s="104">
        <v>0</v>
      </c>
      <c r="P37" s="104">
        <v>0</v>
      </c>
      <c r="Q37" s="104">
        <v>6</v>
      </c>
      <c r="R37" s="104">
        <v>1</v>
      </c>
      <c r="S37" s="210"/>
      <c r="T37" s="104">
        <v>14</v>
      </c>
      <c r="U37" s="104">
        <v>0</v>
      </c>
      <c r="V37" s="104">
        <v>0</v>
      </c>
      <c r="W37" s="104">
        <v>0</v>
      </c>
      <c r="X37" s="104">
        <v>4</v>
      </c>
      <c r="Y37" s="104">
        <v>10</v>
      </c>
      <c r="Z37" s="104">
        <v>5</v>
      </c>
      <c r="AA37" s="104">
        <v>1</v>
      </c>
      <c r="AB37" s="104">
        <v>5</v>
      </c>
      <c r="AC37" s="104">
        <v>6</v>
      </c>
      <c r="AD37" s="104">
        <v>1</v>
      </c>
      <c r="AE37" s="104">
        <v>1</v>
      </c>
      <c r="AF37" s="104">
        <v>6</v>
      </c>
      <c r="AG37" s="104">
        <f>SUM('[4]Ohio-clean 53'!AH62)</f>
        <v>0</v>
      </c>
      <c r="AH37" s="104">
        <v>1</v>
      </c>
      <c r="AI37" s="104">
        <f>SUM('[4]Ohio-clean 53'!AJ62)</f>
        <v>0</v>
      </c>
      <c r="AJ37" s="104">
        <v>1</v>
      </c>
      <c r="AK37" s="210"/>
      <c r="AL37" s="104">
        <v>0</v>
      </c>
      <c r="AM37" s="104">
        <v>0</v>
      </c>
      <c r="AN37" s="104">
        <v>0</v>
      </c>
      <c r="AO37" s="104">
        <v>0</v>
      </c>
      <c r="AP37" s="104">
        <v>12</v>
      </c>
      <c r="AQ37" s="210"/>
      <c r="AR37" s="104">
        <v>12</v>
      </c>
      <c r="AS37" s="104">
        <v>0</v>
      </c>
      <c r="AT37" s="210"/>
      <c r="AU37" s="104">
        <v>0</v>
      </c>
      <c r="AV37" s="104">
        <v>0</v>
      </c>
      <c r="AW37" s="104">
        <v>0</v>
      </c>
      <c r="AX37" s="104">
        <v>0</v>
      </c>
      <c r="AY37" s="104">
        <v>0</v>
      </c>
      <c r="AZ37" s="210"/>
      <c r="BA37" s="104">
        <v>25</v>
      </c>
      <c r="BB37" s="104">
        <v>0</v>
      </c>
      <c r="BC37" s="104">
        <v>0</v>
      </c>
      <c r="BD37" s="104">
        <v>0</v>
      </c>
      <c r="BE37" s="104">
        <v>0</v>
      </c>
      <c r="BF37" s="104">
        <v>0</v>
      </c>
      <c r="BG37" s="104">
        <v>0</v>
      </c>
      <c r="BH37" s="104">
        <v>0</v>
      </c>
      <c r="BI37" s="104">
        <v>0</v>
      </c>
      <c r="BJ37" s="9">
        <v>0</v>
      </c>
      <c r="BK37" s="9">
        <v>0</v>
      </c>
      <c r="BL37" s="9">
        <v>0</v>
      </c>
      <c r="BM37" s="210"/>
      <c r="CM37" s="66"/>
      <c r="CN37" s="66"/>
      <c r="CO37" s="66"/>
    </row>
    <row r="38" spans="1:93" s="104" customFormat="1">
      <c r="B38" s="104" t="s">
        <v>1433</v>
      </c>
      <c r="C38" s="66">
        <f>SUM('[4]Oklahoma-clean 25'!B32)</f>
        <v>0</v>
      </c>
      <c r="D38" s="104">
        <v>10</v>
      </c>
      <c r="E38" s="104">
        <v>25</v>
      </c>
      <c r="F38" s="104">
        <f t="shared" si="0"/>
        <v>1</v>
      </c>
      <c r="G38" s="210"/>
      <c r="H38" s="104">
        <v>0</v>
      </c>
      <c r="I38" s="104">
        <v>0</v>
      </c>
      <c r="J38" s="104">
        <v>0</v>
      </c>
      <c r="K38" s="104">
        <v>1</v>
      </c>
      <c r="L38" s="210"/>
      <c r="M38" s="104">
        <v>1</v>
      </c>
      <c r="N38" s="104">
        <v>0</v>
      </c>
      <c r="O38" s="104">
        <v>0</v>
      </c>
      <c r="P38" s="104">
        <v>0</v>
      </c>
      <c r="Q38" s="104">
        <v>0</v>
      </c>
      <c r="R38" s="104">
        <v>0</v>
      </c>
      <c r="S38" s="210"/>
      <c r="T38" s="66">
        <v>1</v>
      </c>
      <c r="U38" s="66">
        <v>0</v>
      </c>
      <c r="V38" s="66">
        <v>0</v>
      </c>
      <c r="W38" s="66">
        <v>1</v>
      </c>
      <c r="X38" s="66">
        <v>0</v>
      </c>
      <c r="Y38" s="66">
        <v>2</v>
      </c>
      <c r="Z38" s="66">
        <v>9</v>
      </c>
      <c r="AA38" s="66">
        <v>0</v>
      </c>
      <c r="AB38" s="66">
        <v>4</v>
      </c>
      <c r="AC38" s="66">
        <v>2</v>
      </c>
      <c r="AD38" s="66">
        <v>0</v>
      </c>
      <c r="AE38" s="66">
        <v>1</v>
      </c>
      <c r="AF38" s="66">
        <v>3</v>
      </c>
      <c r="AG38" s="66">
        <v>0</v>
      </c>
      <c r="AH38" s="66">
        <v>2</v>
      </c>
      <c r="AI38" s="66">
        <v>0</v>
      </c>
      <c r="AJ38" s="66">
        <v>0</v>
      </c>
      <c r="AK38" s="210"/>
      <c r="AL38" s="104">
        <v>0</v>
      </c>
      <c r="AM38" s="104">
        <v>0</v>
      </c>
      <c r="AN38" s="104">
        <v>0</v>
      </c>
      <c r="AO38" s="104">
        <v>0</v>
      </c>
      <c r="AP38" s="104">
        <v>1</v>
      </c>
      <c r="AQ38" s="210"/>
      <c r="AR38" s="104">
        <v>1</v>
      </c>
      <c r="AS38" s="104">
        <v>0</v>
      </c>
      <c r="AT38" s="210"/>
      <c r="AU38" s="104">
        <v>0</v>
      </c>
      <c r="AV38" s="104">
        <v>0</v>
      </c>
      <c r="AW38" s="104">
        <v>0</v>
      </c>
      <c r="AX38" s="104">
        <v>0</v>
      </c>
      <c r="AY38" s="104">
        <v>0</v>
      </c>
      <c r="AZ38" s="210"/>
      <c r="BA38" s="66">
        <v>21</v>
      </c>
      <c r="BB38" s="66">
        <v>0</v>
      </c>
      <c r="BC38" s="66">
        <v>0</v>
      </c>
      <c r="BD38" s="66">
        <v>0</v>
      </c>
      <c r="BE38" s="66">
        <v>0</v>
      </c>
      <c r="BF38" s="66">
        <v>0</v>
      </c>
      <c r="BG38" s="66">
        <v>0</v>
      </c>
      <c r="BH38" s="104">
        <v>0</v>
      </c>
      <c r="BI38" s="104">
        <v>0</v>
      </c>
      <c r="BJ38" s="66">
        <v>0</v>
      </c>
      <c r="BK38" s="66">
        <v>0</v>
      </c>
      <c r="BL38" s="66">
        <v>0</v>
      </c>
      <c r="BM38" s="210"/>
    </row>
    <row r="39" spans="1:93" s="104" customFormat="1">
      <c r="B39" s="104" t="s">
        <v>1434</v>
      </c>
      <c r="C39" s="104">
        <f>SUM('[4]Oregon-clean 55'!B64)</f>
        <v>0</v>
      </c>
      <c r="D39" s="104">
        <v>12</v>
      </c>
      <c r="E39" s="104">
        <v>55</v>
      </c>
      <c r="F39" s="104">
        <f t="shared" si="0"/>
        <v>6</v>
      </c>
      <c r="G39" s="210"/>
      <c r="H39" s="104">
        <v>2</v>
      </c>
      <c r="I39" s="104">
        <v>2</v>
      </c>
      <c r="J39" s="104">
        <v>2</v>
      </c>
      <c r="K39" s="104">
        <v>0</v>
      </c>
      <c r="L39" s="210"/>
      <c r="M39" s="104">
        <v>4</v>
      </c>
      <c r="N39" s="104">
        <v>0</v>
      </c>
      <c r="O39" s="104">
        <v>0</v>
      </c>
      <c r="P39" s="104">
        <v>0</v>
      </c>
      <c r="Q39" s="104">
        <v>2</v>
      </c>
      <c r="R39" s="104">
        <v>1</v>
      </c>
      <c r="S39" s="210"/>
      <c r="T39" s="104">
        <v>6</v>
      </c>
      <c r="U39" s="104">
        <v>0</v>
      </c>
      <c r="V39" s="104">
        <v>0</v>
      </c>
      <c r="W39" s="104">
        <v>0</v>
      </c>
      <c r="X39" s="104">
        <v>0</v>
      </c>
      <c r="Y39" s="104">
        <v>7</v>
      </c>
      <c r="Z39" s="104">
        <v>0</v>
      </c>
      <c r="AA39" s="104">
        <v>0</v>
      </c>
      <c r="AB39" s="104">
        <v>8</v>
      </c>
      <c r="AC39" s="104">
        <v>0</v>
      </c>
      <c r="AD39" s="104">
        <v>0</v>
      </c>
      <c r="AE39" s="104">
        <v>0</v>
      </c>
      <c r="AF39" s="104">
        <v>0</v>
      </c>
      <c r="AG39" s="104">
        <v>0</v>
      </c>
      <c r="AH39" s="104">
        <v>0</v>
      </c>
      <c r="AI39" s="104">
        <v>0</v>
      </c>
      <c r="AJ39" s="104">
        <v>0</v>
      </c>
      <c r="AK39" s="210"/>
      <c r="AL39" s="104">
        <v>0</v>
      </c>
      <c r="AM39" s="104">
        <v>0</v>
      </c>
      <c r="AN39" s="104">
        <v>0</v>
      </c>
      <c r="AO39" s="104">
        <v>0</v>
      </c>
      <c r="AP39" s="104">
        <v>6</v>
      </c>
      <c r="AQ39" s="210"/>
      <c r="AR39" s="104">
        <v>6</v>
      </c>
      <c r="AS39" s="104">
        <v>0</v>
      </c>
      <c r="AT39" s="210"/>
      <c r="AU39" s="104">
        <v>0</v>
      </c>
      <c r="AV39" s="104">
        <v>0</v>
      </c>
      <c r="AW39" s="104">
        <v>0</v>
      </c>
      <c r="AX39" s="104">
        <v>0</v>
      </c>
      <c r="AY39" s="104">
        <v>0</v>
      </c>
      <c r="AZ39" s="210"/>
      <c r="BA39" s="104">
        <v>10</v>
      </c>
      <c r="BB39" s="104">
        <v>0</v>
      </c>
      <c r="BC39" s="104">
        <v>0</v>
      </c>
      <c r="BD39" s="104">
        <v>0</v>
      </c>
      <c r="BE39" s="104">
        <v>0</v>
      </c>
      <c r="BF39" s="104">
        <v>0</v>
      </c>
      <c r="BG39" s="104">
        <v>0</v>
      </c>
      <c r="BH39" s="104">
        <v>0</v>
      </c>
      <c r="BI39" s="104">
        <v>0</v>
      </c>
      <c r="BJ39" s="9">
        <v>0</v>
      </c>
      <c r="BK39" s="9">
        <v>0</v>
      </c>
      <c r="BL39" s="9">
        <v>0</v>
      </c>
      <c r="BM39" s="210"/>
      <c r="CM39" s="66"/>
      <c r="CN39" s="66"/>
      <c r="CO39" s="66"/>
    </row>
    <row r="40" spans="1:93" s="104" customFormat="1">
      <c r="B40" s="66" t="s">
        <v>1435</v>
      </c>
      <c r="C40" s="106">
        <v>11</v>
      </c>
      <c r="D40" s="104">
        <v>50</v>
      </c>
      <c r="E40" s="104">
        <v>251</v>
      </c>
      <c r="F40" s="104">
        <f t="shared" si="0"/>
        <v>53</v>
      </c>
      <c r="G40" s="210"/>
      <c r="H40" s="104">
        <v>37</v>
      </c>
      <c r="I40" s="104">
        <v>10</v>
      </c>
      <c r="J40" s="104">
        <v>3</v>
      </c>
      <c r="K40" s="104">
        <v>1</v>
      </c>
      <c r="L40" s="210"/>
      <c r="M40" s="104">
        <v>30</v>
      </c>
      <c r="N40" s="104">
        <v>0</v>
      </c>
      <c r="O40" s="104">
        <v>0</v>
      </c>
      <c r="P40" s="104">
        <v>0</v>
      </c>
      <c r="Q40" s="104">
        <v>25</v>
      </c>
      <c r="R40" s="105">
        <v>9</v>
      </c>
      <c r="S40" s="210"/>
      <c r="T40" s="104">
        <v>57</v>
      </c>
      <c r="U40" s="104">
        <v>0</v>
      </c>
      <c r="V40" s="104">
        <v>1</v>
      </c>
      <c r="W40" s="104">
        <v>0</v>
      </c>
      <c r="X40" s="104">
        <v>0</v>
      </c>
      <c r="Y40" s="104">
        <v>30</v>
      </c>
      <c r="Z40" s="104">
        <v>63</v>
      </c>
      <c r="AA40" s="104">
        <v>9</v>
      </c>
      <c r="AB40" s="104">
        <v>34</v>
      </c>
      <c r="AC40" s="104">
        <v>23</v>
      </c>
      <c r="AD40" s="104">
        <v>3</v>
      </c>
      <c r="AE40" s="104">
        <v>4</v>
      </c>
      <c r="AF40" s="104">
        <v>43</v>
      </c>
      <c r="AG40" s="104">
        <v>7</v>
      </c>
      <c r="AH40" s="104">
        <v>3</v>
      </c>
      <c r="AI40" s="104">
        <v>8</v>
      </c>
      <c r="AJ40" s="104">
        <v>5</v>
      </c>
      <c r="AK40" s="210"/>
      <c r="AL40" s="104">
        <v>0</v>
      </c>
      <c r="AM40" s="104">
        <v>0</v>
      </c>
      <c r="AN40" s="104">
        <v>0</v>
      </c>
      <c r="AO40" s="104">
        <v>0</v>
      </c>
      <c r="AP40" s="104">
        <v>50</v>
      </c>
      <c r="AQ40" s="210"/>
      <c r="AR40" s="105">
        <v>53</v>
      </c>
      <c r="AS40" s="104">
        <v>1</v>
      </c>
      <c r="AT40" s="210"/>
      <c r="AU40" s="105">
        <v>1</v>
      </c>
      <c r="AV40" s="104">
        <v>0</v>
      </c>
      <c r="AW40" s="104">
        <v>0</v>
      </c>
      <c r="AX40" s="104">
        <v>0</v>
      </c>
      <c r="AY40" s="104">
        <v>0</v>
      </c>
      <c r="AZ40" s="210"/>
      <c r="BA40" s="104">
        <v>104</v>
      </c>
      <c r="BB40" s="104">
        <v>1</v>
      </c>
      <c r="BC40" s="104">
        <v>0</v>
      </c>
      <c r="BD40" s="104">
        <v>696</v>
      </c>
      <c r="BE40" s="104">
        <v>1</v>
      </c>
      <c r="BF40" s="104">
        <v>173</v>
      </c>
      <c r="BG40" s="104">
        <v>0</v>
      </c>
      <c r="BH40" s="104">
        <v>0</v>
      </c>
      <c r="BI40" s="104">
        <v>0</v>
      </c>
      <c r="BJ40" s="66">
        <v>0</v>
      </c>
      <c r="BK40" s="66">
        <v>0</v>
      </c>
      <c r="BL40" s="66">
        <v>0</v>
      </c>
      <c r="BM40" s="210"/>
    </row>
    <row r="41" spans="1:93" s="104" customFormat="1">
      <c r="B41" s="66" t="s">
        <v>1437</v>
      </c>
      <c r="C41" s="104">
        <f>SUM('[4]Rhode Island-clean 1'!B7)</f>
        <v>0</v>
      </c>
      <c r="D41" s="104">
        <f>SUM('[4]Rhode Island-clean 1'!C7)</f>
        <v>0</v>
      </c>
      <c r="E41" s="104">
        <v>1</v>
      </c>
      <c r="F41" s="104">
        <f t="shared" si="0"/>
        <v>1</v>
      </c>
      <c r="G41" s="210"/>
      <c r="H41" s="104">
        <v>1</v>
      </c>
      <c r="I41" s="104">
        <v>0</v>
      </c>
      <c r="J41" s="104">
        <v>0</v>
      </c>
      <c r="K41" s="104">
        <v>0</v>
      </c>
      <c r="L41" s="210"/>
      <c r="M41" s="104">
        <v>1</v>
      </c>
      <c r="N41" s="104">
        <v>0</v>
      </c>
      <c r="O41" s="104">
        <v>0</v>
      </c>
      <c r="P41" s="104">
        <v>0</v>
      </c>
      <c r="Q41" s="104">
        <v>0</v>
      </c>
      <c r="R41" s="104">
        <v>0</v>
      </c>
      <c r="S41" s="210"/>
      <c r="T41" s="104">
        <v>1</v>
      </c>
      <c r="U41" s="104">
        <v>0</v>
      </c>
      <c r="V41" s="104">
        <v>0</v>
      </c>
      <c r="W41" s="104">
        <v>0</v>
      </c>
      <c r="X41" s="104">
        <v>0</v>
      </c>
      <c r="Y41" s="104">
        <v>0</v>
      </c>
      <c r="Z41" s="104">
        <v>0</v>
      </c>
      <c r="AA41" s="104">
        <v>0</v>
      </c>
      <c r="AB41" s="104">
        <v>0</v>
      </c>
      <c r="AC41" s="104">
        <v>0</v>
      </c>
      <c r="AD41" s="104">
        <v>0</v>
      </c>
      <c r="AE41" s="104">
        <v>0</v>
      </c>
      <c r="AF41" s="104">
        <v>0</v>
      </c>
      <c r="AG41" s="104">
        <v>0</v>
      </c>
      <c r="AH41" s="104">
        <v>0</v>
      </c>
      <c r="AI41" s="104">
        <v>0</v>
      </c>
      <c r="AJ41" s="104">
        <v>0</v>
      </c>
      <c r="AK41" s="210"/>
      <c r="AL41" s="104">
        <v>1</v>
      </c>
      <c r="AM41" s="104">
        <v>0</v>
      </c>
      <c r="AN41" s="104">
        <v>0</v>
      </c>
      <c r="AO41" s="104">
        <v>0</v>
      </c>
      <c r="AP41" s="104">
        <v>0</v>
      </c>
      <c r="AQ41" s="210"/>
      <c r="AR41" s="104">
        <v>1</v>
      </c>
      <c r="AS41" s="104">
        <v>0</v>
      </c>
      <c r="AT41" s="210"/>
      <c r="AU41" s="104">
        <v>0</v>
      </c>
      <c r="AV41" s="104">
        <v>0</v>
      </c>
      <c r="AW41" s="104">
        <v>0</v>
      </c>
      <c r="AX41" s="104">
        <v>0</v>
      </c>
      <c r="AY41" s="104">
        <v>0</v>
      </c>
      <c r="AZ41" s="210"/>
      <c r="BA41" s="104">
        <v>1</v>
      </c>
      <c r="BB41" s="104">
        <v>0</v>
      </c>
      <c r="BC41" s="104">
        <v>0</v>
      </c>
      <c r="BD41" s="104">
        <v>0</v>
      </c>
      <c r="BE41" s="104">
        <v>0</v>
      </c>
      <c r="BF41" s="104">
        <v>0</v>
      </c>
      <c r="BG41" s="104">
        <v>0</v>
      </c>
      <c r="BH41" s="66">
        <v>0</v>
      </c>
      <c r="BI41" s="104">
        <v>0</v>
      </c>
      <c r="BJ41" s="66">
        <v>0</v>
      </c>
      <c r="BK41" s="104">
        <v>0</v>
      </c>
      <c r="BL41" s="104">
        <v>0</v>
      </c>
      <c r="BM41" s="210"/>
    </row>
    <row r="42" spans="1:93" s="104" customFormat="1">
      <c r="B42" s="66" t="s">
        <v>1438</v>
      </c>
      <c r="C42" s="66">
        <v>1</v>
      </c>
      <c r="D42" s="104">
        <v>14</v>
      </c>
      <c r="E42" s="104">
        <v>149</v>
      </c>
      <c r="F42" s="104">
        <f t="shared" si="0"/>
        <v>16</v>
      </c>
      <c r="G42" s="210"/>
      <c r="H42" s="104">
        <v>10</v>
      </c>
      <c r="I42" s="104">
        <v>2</v>
      </c>
      <c r="J42" s="104">
        <v>2</v>
      </c>
      <c r="K42" s="104">
        <v>2</v>
      </c>
      <c r="L42" s="210"/>
      <c r="M42" s="104">
        <v>8</v>
      </c>
      <c r="N42" s="104">
        <v>0</v>
      </c>
      <c r="O42" s="104">
        <v>0</v>
      </c>
      <c r="P42" s="104">
        <v>0</v>
      </c>
      <c r="Q42" s="104">
        <v>7</v>
      </c>
      <c r="R42" s="104">
        <v>0</v>
      </c>
      <c r="S42" s="210"/>
      <c r="T42" s="104">
        <v>18</v>
      </c>
      <c r="U42" s="104">
        <v>0</v>
      </c>
      <c r="V42" s="104">
        <v>0</v>
      </c>
      <c r="W42" s="104">
        <v>1</v>
      </c>
      <c r="X42" s="104">
        <v>4</v>
      </c>
      <c r="Y42" s="104">
        <v>16</v>
      </c>
      <c r="Z42" s="104">
        <v>39</v>
      </c>
      <c r="AA42" s="104">
        <v>4</v>
      </c>
      <c r="AB42" s="104">
        <v>19</v>
      </c>
      <c r="AC42" s="104">
        <v>13</v>
      </c>
      <c r="AD42" s="104">
        <v>1</v>
      </c>
      <c r="AE42" s="104">
        <v>2</v>
      </c>
      <c r="AF42" s="104">
        <v>24</v>
      </c>
      <c r="AG42" s="104">
        <v>6</v>
      </c>
      <c r="AH42" s="104">
        <v>8</v>
      </c>
      <c r="AI42" s="104">
        <f>SUM('[4]South Carolina-clean 149'!AJ161)</f>
        <v>0</v>
      </c>
      <c r="AJ42" s="104">
        <v>3</v>
      </c>
      <c r="AK42" s="210"/>
      <c r="AL42" s="104">
        <v>0</v>
      </c>
      <c r="AM42" s="104">
        <v>0</v>
      </c>
      <c r="AN42" s="104">
        <v>0</v>
      </c>
      <c r="AO42" s="104">
        <v>0</v>
      </c>
      <c r="AP42" s="104">
        <v>16</v>
      </c>
      <c r="AQ42" s="210"/>
      <c r="AR42" s="104">
        <v>16</v>
      </c>
      <c r="AS42" s="104">
        <v>0</v>
      </c>
      <c r="AT42" s="210"/>
      <c r="AU42" s="104">
        <v>0</v>
      </c>
      <c r="AV42" s="104">
        <v>0</v>
      </c>
      <c r="AW42" s="104">
        <v>0</v>
      </c>
      <c r="AX42" s="104">
        <v>0</v>
      </c>
      <c r="AY42" s="104">
        <v>0</v>
      </c>
      <c r="AZ42" s="210"/>
      <c r="BA42" s="104">
        <v>109</v>
      </c>
      <c r="BB42" s="104">
        <v>0</v>
      </c>
      <c r="BC42" s="104">
        <v>0</v>
      </c>
      <c r="BD42" s="104">
        <v>0</v>
      </c>
      <c r="BE42" s="104">
        <v>0</v>
      </c>
      <c r="BF42" s="104">
        <v>0</v>
      </c>
      <c r="BG42" s="104">
        <v>0</v>
      </c>
      <c r="BH42" s="104">
        <v>0</v>
      </c>
      <c r="BI42" s="104">
        <v>0</v>
      </c>
      <c r="BJ42" s="104">
        <v>0</v>
      </c>
      <c r="BK42" s="104">
        <v>0</v>
      </c>
      <c r="BL42" s="104">
        <v>0</v>
      </c>
      <c r="BM42" s="210"/>
    </row>
    <row r="43" spans="1:93" s="66" customFormat="1">
      <c r="A43" s="104"/>
      <c r="B43" s="104" t="s">
        <v>1440</v>
      </c>
      <c r="C43" s="104">
        <v>1</v>
      </c>
      <c r="D43" s="104">
        <v>5</v>
      </c>
      <c r="E43" s="104">
        <v>10</v>
      </c>
      <c r="F43" s="104">
        <f t="shared" si="0"/>
        <v>3</v>
      </c>
      <c r="G43" s="210"/>
      <c r="H43" s="104">
        <v>2</v>
      </c>
      <c r="I43" s="104">
        <v>1</v>
      </c>
      <c r="J43" s="104">
        <v>0</v>
      </c>
      <c r="K43" s="104">
        <v>0</v>
      </c>
      <c r="L43" s="210"/>
      <c r="M43" s="104">
        <v>2</v>
      </c>
      <c r="N43" s="104">
        <v>0</v>
      </c>
      <c r="O43" s="104">
        <v>0</v>
      </c>
      <c r="P43" s="104">
        <v>0</v>
      </c>
      <c r="Q43" s="104">
        <v>1</v>
      </c>
      <c r="R43" s="104">
        <v>0</v>
      </c>
      <c r="S43" s="210"/>
      <c r="T43" s="104">
        <v>3</v>
      </c>
      <c r="U43" s="104">
        <v>0</v>
      </c>
      <c r="V43" s="104">
        <v>0</v>
      </c>
      <c r="W43" s="104">
        <v>0</v>
      </c>
      <c r="X43" s="104">
        <v>0</v>
      </c>
      <c r="Y43" s="104">
        <v>0</v>
      </c>
      <c r="Z43" s="104">
        <v>2</v>
      </c>
      <c r="AA43" s="104">
        <v>1</v>
      </c>
      <c r="AB43" s="104">
        <v>2</v>
      </c>
      <c r="AC43" s="104">
        <v>3</v>
      </c>
      <c r="AD43" s="104">
        <v>0</v>
      </c>
      <c r="AE43" s="104">
        <v>1</v>
      </c>
      <c r="AF43" s="104">
        <v>1</v>
      </c>
      <c r="AG43" s="104">
        <v>0</v>
      </c>
      <c r="AH43" s="104">
        <v>1</v>
      </c>
      <c r="AI43" s="104">
        <v>1</v>
      </c>
      <c r="AJ43" s="104">
        <v>0</v>
      </c>
      <c r="AK43" s="210"/>
      <c r="AL43" s="104">
        <v>0</v>
      </c>
      <c r="AM43" s="104">
        <v>0</v>
      </c>
      <c r="AN43" s="104">
        <v>0</v>
      </c>
      <c r="AO43" s="104">
        <v>0</v>
      </c>
      <c r="AP43" s="104">
        <v>3</v>
      </c>
      <c r="AQ43" s="210"/>
      <c r="AR43" s="104">
        <v>3</v>
      </c>
      <c r="AS43" s="104">
        <v>0</v>
      </c>
      <c r="AT43" s="210"/>
      <c r="AU43" s="104">
        <v>0</v>
      </c>
      <c r="AV43" s="104">
        <v>0</v>
      </c>
      <c r="AW43" s="104">
        <v>0</v>
      </c>
      <c r="AX43" s="104">
        <v>0</v>
      </c>
      <c r="AY43" s="104">
        <v>0</v>
      </c>
      <c r="AZ43" s="210"/>
      <c r="BA43" s="104">
        <v>2</v>
      </c>
      <c r="BB43" s="104">
        <v>0</v>
      </c>
      <c r="BC43" s="104">
        <v>0</v>
      </c>
      <c r="BD43" s="104">
        <v>0</v>
      </c>
      <c r="BE43" s="104">
        <v>0</v>
      </c>
      <c r="BF43" s="104">
        <v>0</v>
      </c>
      <c r="BG43" s="104">
        <v>0</v>
      </c>
      <c r="BH43" s="104">
        <v>0</v>
      </c>
      <c r="BI43" s="104">
        <v>0</v>
      </c>
      <c r="BJ43" s="104">
        <v>0</v>
      </c>
      <c r="BK43" s="104">
        <v>0</v>
      </c>
      <c r="BL43" s="104">
        <v>0</v>
      </c>
      <c r="BM43" s="210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5"/>
      <c r="CN43" s="65"/>
      <c r="CO43" s="65"/>
    </row>
    <row r="44" spans="1:93" s="65" customFormat="1">
      <c r="A44" s="104"/>
      <c r="B44" s="104" t="s">
        <v>1441</v>
      </c>
      <c r="C44" s="104">
        <v>7</v>
      </c>
      <c r="D44" s="104">
        <v>185</v>
      </c>
      <c r="E44" s="104">
        <v>472</v>
      </c>
      <c r="F44" s="104">
        <f t="shared" si="0"/>
        <v>39</v>
      </c>
      <c r="G44" s="210"/>
      <c r="H44" s="104">
        <v>22</v>
      </c>
      <c r="I44" s="104">
        <v>5</v>
      </c>
      <c r="J44" s="104">
        <v>3</v>
      </c>
      <c r="K44" s="105">
        <v>7</v>
      </c>
      <c r="L44" s="210"/>
      <c r="M44" s="104">
        <v>18</v>
      </c>
      <c r="N44" s="104">
        <v>1</v>
      </c>
      <c r="O44" s="104">
        <v>0</v>
      </c>
      <c r="P44" s="104">
        <v>4</v>
      </c>
      <c r="Q44" s="104">
        <v>11</v>
      </c>
      <c r="R44" s="104">
        <v>0</v>
      </c>
      <c r="S44" s="210"/>
      <c r="T44" s="104">
        <v>45</v>
      </c>
      <c r="U44" s="104">
        <v>1</v>
      </c>
      <c r="V44" s="104">
        <v>2</v>
      </c>
      <c r="W44" s="104">
        <v>6</v>
      </c>
      <c r="X44" s="104">
        <v>17</v>
      </c>
      <c r="Y44" s="104">
        <v>65</v>
      </c>
      <c r="Z44" s="104">
        <v>105</v>
      </c>
      <c r="AA44" s="104">
        <v>14</v>
      </c>
      <c r="AB44" s="104">
        <v>74</v>
      </c>
      <c r="AC44" s="104">
        <v>37</v>
      </c>
      <c r="AD44" s="104">
        <v>12</v>
      </c>
      <c r="AE44" s="104">
        <v>21</v>
      </c>
      <c r="AF44" s="104">
        <v>64</v>
      </c>
      <c r="AG44" s="104">
        <v>20</v>
      </c>
      <c r="AH44" s="104">
        <v>44</v>
      </c>
      <c r="AI44" s="104">
        <v>11</v>
      </c>
      <c r="AJ44" s="104">
        <v>26</v>
      </c>
      <c r="AK44" s="210"/>
      <c r="AL44" s="104">
        <v>0</v>
      </c>
      <c r="AM44" s="104">
        <v>0</v>
      </c>
      <c r="AN44" s="104">
        <v>0</v>
      </c>
      <c r="AO44" s="104">
        <v>0</v>
      </c>
      <c r="AP44" s="104">
        <v>39</v>
      </c>
      <c r="AQ44" s="210"/>
      <c r="AR44" s="104">
        <v>39</v>
      </c>
      <c r="AS44" s="104">
        <v>1</v>
      </c>
      <c r="AT44" s="210"/>
      <c r="AU44" s="105">
        <v>1</v>
      </c>
      <c r="AV44" s="104">
        <v>0</v>
      </c>
      <c r="AW44" s="104">
        <v>0</v>
      </c>
      <c r="AX44" s="104">
        <v>0</v>
      </c>
      <c r="AY44" s="104">
        <v>0</v>
      </c>
      <c r="AZ44" s="210"/>
      <c r="BA44" s="104">
        <v>329</v>
      </c>
      <c r="BB44" s="104">
        <v>1</v>
      </c>
      <c r="BC44" s="104">
        <v>0</v>
      </c>
      <c r="BD44" s="104">
        <v>72</v>
      </c>
      <c r="BE44" s="104">
        <v>0</v>
      </c>
      <c r="BF44" s="104">
        <v>0</v>
      </c>
      <c r="BG44" s="104">
        <v>0</v>
      </c>
      <c r="BH44" s="104">
        <v>0</v>
      </c>
      <c r="BI44" s="104">
        <v>0</v>
      </c>
      <c r="BJ44" s="104">
        <v>0</v>
      </c>
      <c r="BK44" s="104">
        <v>0</v>
      </c>
      <c r="BL44" s="104">
        <v>0</v>
      </c>
      <c r="BM44" s="210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66"/>
      <c r="CN44" s="66"/>
      <c r="CO44" s="66"/>
    </row>
    <row r="45" spans="1:93" s="104" customFormat="1">
      <c r="B45" s="66" t="s">
        <v>1445</v>
      </c>
      <c r="C45" s="66">
        <v>1</v>
      </c>
      <c r="D45" s="104">
        <v>26</v>
      </c>
      <c r="E45" s="104">
        <v>125</v>
      </c>
      <c r="F45" s="104">
        <f t="shared" si="0"/>
        <v>14</v>
      </c>
      <c r="G45" s="210"/>
      <c r="H45" s="104">
        <v>5</v>
      </c>
      <c r="I45" s="104">
        <v>5</v>
      </c>
      <c r="J45" s="104">
        <v>3</v>
      </c>
      <c r="K45" s="104">
        <v>1</v>
      </c>
      <c r="L45" s="210"/>
      <c r="M45" s="104">
        <v>9</v>
      </c>
      <c r="N45" s="104">
        <v>0</v>
      </c>
      <c r="O45" s="104">
        <v>0</v>
      </c>
      <c r="P45" s="104">
        <v>0</v>
      </c>
      <c r="Q45" s="104">
        <v>5</v>
      </c>
      <c r="R45" s="104">
        <v>0</v>
      </c>
      <c r="S45" s="210"/>
      <c r="T45" s="104">
        <v>17</v>
      </c>
      <c r="U45" s="104">
        <v>0</v>
      </c>
      <c r="V45" s="104">
        <v>0</v>
      </c>
      <c r="W45" s="104">
        <v>1</v>
      </c>
      <c r="X45" s="104">
        <v>5</v>
      </c>
      <c r="Y45" s="104">
        <v>23</v>
      </c>
      <c r="Z45" s="104">
        <v>27</v>
      </c>
      <c r="AA45" s="104">
        <v>6</v>
      </c>
      <c r="AB45" s="104">
        <v>15</v>
      </c>
      <c r="AC45" s="104">
        <v>21</v>
      </c>
      <c r="AD45" s="104">
        <v>1</v>
      </c>
      <c r="AE45" s="104">
        <v>3</v>
      </c>
      <c r="AF45" s="104">
        <v>20</v>
      </c>
      <c r="AG45" s="104">
        <v>2</v>
      </c>
      <c r="AH45" s="104">
        <v>3</v>
      </c>
      <c r="AI45" s="104">
        <v>6</v>
      </c>
      <c r="AJ45" s="104">
        <v>5</v>
      </c>
      <c r="AK45" s="210"/>
      <c r="AL45" s="104">
        <v>0</v>
      </c>
      <c r="AM45" s="104">
        <v>0</v>
      </c>
      <c r="AN45" s="104">
        <v>0</v>
      </c>
      <c r="AO45" s="104">
        <v>0</v>
      </c>
      <c r="AP45" s="104">
        <v>14</v>
      </c>
      <c r="AQ45" s="210"/>
      <c r="AR45" s="104">
        <v>14</v>
      </c>
      <c r="AS45" s="104">
        <v>1</v>
      </c>
      <c r="AT45" s="210"/>
      <c r="AU45" s="105">
        <v>1</v>
      </c>
      <c r="AV45" s="104">
        <v>0</v>
      </c>
      <c r="AW45" s="104">
        <v>0</v>
      </c>
      <c r="AX45" s="104">
        <v>0</v>
      </c>
      <c r="AY45" s="104">
        <v>0</v>
      </c>
      <c r="AZ45" s="210"/>
      <c r="BA45" s="104">
        <v>100</v>
      </c>
      <c r="BB45" s="104">
        <v>1</v>
      </c>
      <c r="BC45" s="104">
        <v>0</v>
      </c>
      <c r="BD45" s="104">
        <v>7582</v>
      </c>
      <c r="BE45" s="104">
        <v>1</v>
      </c>
      <c r="BF45" s="104">
        <v>646</v>
      </c>
      <c r="BG45" s="104">
        <v>1</v>
      </c>
      <c r="BH45" s="104">
        <v>0</v>
      </c>
      <c r="BI45" s="104">
        <v>0</v>
      </c>
      <c r="BJ45" s="66">
        <v>0</v>
      </c>
      <c r="BK45" s="66">
        <v>0</v>
      </c>
      <c r="BL45" s="66">
        <v>0</v>
      </c>
      <c r="BM45" s="210"/>
    </row>
    <row r="46" spans="1:93" s="66" customFormat="1">
      <c r="A46" s="104"/>
      <c r="B46" s="104" t="s">
        <v>1446</v>
      </c>
      <c r="C46" s="104">
        <v>2</v>
      </c>
      <c r="D46" s="104">
        <v>40</v>
      </c>
      <c r="E46" s="104">
        <v>154</v>
      </c>
      <c r="F46" s="104">
        <f t="shared" si="0"/>
        <v>25</v>
      </c>
      <c r="G46" s="210"/>
      <c r="H46" s="104">
        <v>19</v>
      </c>
      <c r="I46" s="104">
        <v>2</v>
      </c>
      <c r="J46" s="104">
        <v>5</v>
      </c>
      <c r="K46" s="104">
        <v>0</v>
      </c>
      <c r="L46" s="210"/>
      <c r="M46" s="104">
        <v>15</v>
      </c>
      <c r="N46" s="104">
        <v>1</v>
      </c>
      <c r="O46" s="104">
        <v>0</v>
      </c>
      <c r="P46" s="104">
        <v>4</v>
      </c>
      <c r="Q46" s="104">
        <v>7</v>
      </c>
      <c r="R46" s="104">
        <v>0</v>
      </c>
      <c r="S46" s="210"/>
      <c r="T46" s="104">
        <v>27</v>
      </c>
      <c r="U46" s="104">
        <v>0</v>
      </c>
      <c r="V46" s="104">
        <v>0</v>
      </c>
      <c r="W46" s="104">
        <v>0</v>
      </c>
      <c r="X46" s="104">
        <v>6</v>
      </c>
      <c r="Y46" s="104">
        <v>17</v>
      </c>
      <c r="Z46" s="104">
        <v>39</v>
      </c>
      <c r="AA46" s="104">
        <v>7</v>
      </c>
      <c r="AB46" s="104">
        <v>25</v>
      </c>
      <c r="AC46" s="104">
        <v>18</v>
      </c>
      <c r="AD46" s="104">
        <v>1</v>
      </c>
      <c r="AE46" s="104">
        <v>11</v>
      </c>
      <c r="AF46" s="104">
        <v>20</v>
      </c>
      <c r="AG46" s="104">
        <v>2</v>
      </c>
      <c r="AH46" s="104">
        <v>5</v>
      </c>
      <c r="AI46" s="104">
        <v>7</v>
      </c>
      <c r="AJ46" s="104">
        <v>5</v>
      </c>
      <c r="AK46" s="210"/>
      <c r="AL46" s="104">
        <v>0</v>
      </c>
      <c r="AM46" s="104">
        <v>0</v>
      </c>
      <c r="AN46" s="104">
        <v>0</v>
      </c>
      <c r="AO46" s="104">
        <v>0</v>
      </c>
      <c r="AP46" s="104">
        <v>25</v>
      </c>
      <c r="AQ46" s="210"/>
      <c r="AR46" s="104">
        <v>25</v>
      </c>
      <c r="AS46" s="104">
        <v>0</v>
      </c>
      <c r="AT46" s="210"/>
      <c r="AU46" s="104">
        <v>0</v>
      </c>
      <c r="AV46" s="104">
        <v>0</v>
      </c>
      <c r="AW46" s="104">
        <v>0</v>
      </c>
      <c r="AX46" s="104">
        <v>0</v>
      </c>
      <c r="AY46" s="104">
        <v>0</v>
      </c>
      <c r="AZ46" s="210"/>
      <c r="BA46" s="104">
        <v>97</v>
      </c>
      <c r="BB46" s="104">
        <v>0</v>
      </c>
      <c r="BC46" s="104">
        <v>0</v>
      </c>
      <c r="BD46" s="104">
        <v>0</v>
      </c>
      <c r="BE46" s="104">
        <v>0</v>
      </c>
      <c r="BF46" s="104">
        <v>0</v>
      </c>
      <c r="BG46" s="104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210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</row>
    <row r="47" spans="1:93" s="65" customFormat="1">
      <c r="A47" s="104"/>
      <c r="B47" s="104" t="s">
        <v>1447</v>
      </c>
      <c r="C47" s="104">
        <f>SUM('[4]West Virginia-clean 7'!B16)</f>
        <v>0</v>
      </c>
      <c r="D47" s="104">
        <f>SUM('[4]West Virginia-clean 7'!C16)</f>
        <v>0</v>
      </c>
      <c r="E47" s="104">
        <v>7</v>
      </c>
      <c r="F47" s="104">
        <f t="shared" si="0"/>
        <v>2</v>
      </c>
      <c r="G47" s="210"/>
      <c r="H47" s="104">
        <v>1</v>
      </c>
      <c r="I47" s="104">
        <v>1</v>
      </c>
      <c r="J47" s="104">
        <v>0</v>
      </c>
      <c r="K47" s="104">
        <v>0</v>
      </c>
      <c r="L47" s="210"/>
      <c r="M47" s="104">
        <f>SUM('[4]West Virginia-clean 7'!M16)</f>
        <v>0</v>
      </c>
      <c r="N47" s="104">
        <v>0</v>
      </c>
      <c r="O47" s="104">
        <v>0</v>
      </c>
      <c r="P47" s="104">
        <v>0</v>
      </c>
      <c r="Q47" s="104">
        <v>2</v>
      </c>
      <c r="R47" s="104">
        <v>0</v>
      </c>
      <c r="S47" s="210"/>
      <c r="T47" s="104">
        <v>2</v>
      </c>
      <c r="U47" s="104">
        <v>0</v>
      </c>
      <c r="V47" s="104">
        <v>0</v>
      </c>
      <c r="W47" s="104">
        <v>0</v>
      </c>
      <c r="X47" s="104">
        <v>0</v>
      </c>
      <c r="Y47" s="104">
        <v>0</v>
      </c>
      <c r="Z47" s="104">
        <v>2</v>
      </c>
      <c r="AA47" s="104">
        <v>1</v>
      </c>
      <c r="AB47" s="104">
        <v>1</v>
      </c>
      <c r="AC47" s="104">
        <v>1</v>
      </c>
      <c r="AD47" s="104">
        <v>0</v>
      </c>
      <c r="AE47" s="104">
        <v>0</v>
      </c>
      <c r="AF47" s="104">
        <v>2</v>
      </c>
      <c r="AG47" s="104">
        <v>0</v>
      </c>
      <c r="AH47" s="104">
        <v>0</v>
      </c>
      <c r="AI47" s="104">
        <v>1</v>
      </c>
      <c r="AJ47" s="104">
        <v>0</v>
      </c>
      <c r="AK47" s="210"/>
      <c r="AL47" s="104">
        <v>2</v>
      </c>
      <c r="AM47" s="104">
        <v>0</v>
      </c>
      <c r="AN47" s="104">
        <v>0</v>
      </c>
      <c r="AO47" s="104">
        <v>0</v>
      </c>
      <c r="AP47" s="104">
        <v>0</v>
      </c>
      <c r="AQ47" s="210"/>
      <c r="AR47" s="104">
        <v>2</v>
      </c>
      <c r="AS47" s="104">
        <v>0</v>
      </c>
      <c r="AT47" s="210"/>
      <c r="AU47" s="104">
        <v>0</v>
      </c>
      <c r="AV47" s="104">
        <v>0</v>
      </c>
      <c r="AW47" s="104">
        <v>0</v>
      </c>
      <c r="AX47" s="104">
        <v>0</v>
      </c>
      <c r="AY47" s="104">
        <v>0</v>
      </c>
      <c r="AZ47" s="210"/>
      <c r="BA47" s="104">
        <v>2</v>
      </c>
      <c r="BB47" s="104">
        <v>0</v>
      </c>
      <c r="BC47" s="104">
        <v>0</v>
      </c>
      <c r="BD47" s="104">
        <v>0</v>
      </c>
      <c r="BE47" s="104">
        <v>0</v>
      </c>
      <c r="BF47" s="104">
        <v>0</v>
      </c>
      <c r="BG47" s="104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210"/>
      <c r="BN47" s="104"/>
      <c r="BO47" s="104"/>
      <c r="BP47" s="104"/>
      <c r="BQ47" s="104"/>
      <c r="BR47" s="104"/>
      <c r="BS47" s="104"/>
      <c r="BT47" s="104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</row>
    <row r="48" spans="1:93" s="104" customFormat="1">
      <c r="B48" s="104" t="s">
        <v>1448</v>
      </c>
      <c r="C48" s="104">
        <v>2</v>
      </c>
      <c r="D48" s="104">
        <v>1</v>
      </c>
      <c r="E48" s="104">
        <v>3</v>
      </c>
      <c r="F48" s="104">
        <f t="shared" si="0"/>
        <v>2</v>
      </c>
      <c r="G48" s="210"/>
      <c r="H48" s="104">
        <v>3</v>
      </c>
      <c r="I48" s="104">
        <v>0</v>
      </c>
      <c r="J48" s="104">
        <v>0</v>
      </c>
      <c r="K48" s="104">
        <v>0</v>
      </c>
      <c r="L48" s="210"/>
      <c r="M48" s="104">
        <v>2</v>
      </c>
      <c r="N48" s="104">
        <f>SUM('[4]Wisconsin-clean 3'!N12)</f>
        <v>0</v>
      </c>
      <c r="O48" s="104">
        <f>SUM('[4]Wisconsin-clean 3'!O12)</f>
        <v>0</v>
      </c>
      <c r="P48" s="104">
        <f>SUM('[4]Wisconsin-clean 3'!P12)</f>
        <v>0</v>
      </c>
      <c r="Q48" s="104">
        <f>SUM('[4]Wisconsin-clean 3'!Q12)</f>
        <v>0</v>
      </c>
      <c r="R48" s="104">
        <f>SUM('[4]Wisconsin-clean 3'!R12)</f>
        <v>0</v>
      </c>
      <c r="S48" s="210"/>
      <c r="T48" s="104">
        <v>2</v>
      </c>
      <c r="U48" s="104">
        <f>SUM('[4]Wisconsin-clean 3'!V12)</f>
        <v>0</v>
      </c>
      <c r="V48" s="104">
        <f>SUM('[4]Wisconsin-clean 3'!W12)</f>
        <v>0</v>
      </c>
      <c r="W48" s="104">
        <f>SUM('[4]Wisconsin-clean 3'!X12)</f>
        <v>0</v>
      </c>
      <c r="X48" s="104">
        <f>SUM('[4]Wisconsin-clean 3'!Y12)</f>
        <v>0</v>
      </c>
      <c r="Y48" s="104">
        <f>SUM('[4]Wisconsin-clean 3'!Z12)</f>
        <v>0</v>
      </c>
      <c r="Z48" s="104">
        <f>SUM('[4]Wisconsin-clean 3'!AA12)</f>
        <v>0</v>
      </c>
      <c r="AA48" s="104">
        <f>SUM('[4]Wisconsin-clean 3'!AB12)</f>
        <v>0</v>
      </c>
      <c r="AB48" s="104">
        <f>SUM('[4]Wisconsin-clean 3'!AC12)</f>
        <v>0</v>
      </c>
      <c r="AC48" s="104">
        <v>1</v>
      </c>
      <c r="AD48" s="104">
        <f>SUM('[4]Wisconsin-clean 3'!AE12)</f>
        <v>0</v>
      </c>
      <c r="AE48" s="104">
        <f>SUM('[4]Wisconsin-clean 3'!AF12)</f>
        <v>0</v>
      </c>
      <c r="AF48" s="104">
        <f>SUM('[4]Wisconsin-clean 3'!AG12)</f>
        <v>0</v>
      </c>
      <c r="AG48" s="104">
        <f>SUM('[4]Wisconsin-clean 3'!AH12)</f>
        <v>0</v>
      </c>
      <c r="AH48" s="104">
        <f>SUM('[4]Wisconsin-clean 3'!AI12)</f>
        <v>0</v>
      </c>
      <c r="AI48" s="104">
        <f>SUM('[4]Wisconsin-clean 3'!AJ12)</f>
        <v>0</v>
      </c>
      <c r="AJ48" s="104">
        <f>SUM('[4]Wisconsin-clean 3'!AK12)</f>
        <v>0</v>
      </c>
      <c r="AK48" s="210"/>
      <c r="AL48" s="104">
        <v>2</v>
      </c>
      <c r="AM48" s="104">
        <f>SUM('[4]Wisconsin-clean 3'!AV12)</f>
        <v>0</v>
      </c>
      <c r="AN48" s="104">
        <f>SUM('[4]Wisconsin-clean 3'!AW12)</f>
        <v>0</v>
      </c>
      <c r="AO48" s="104">
        <f>SUM('[4]Wisconsin-clean 3'!AX12)</f>
        <v>0</v>
      </c>
      <c r="AP48" s="104">
        <f>SUM('[4]Wisconsin-clean 3'!AY12)</f>
        <v>0</v>
      </c>
      <c r="AQ48" s="210"/>
      <c r="AR48" s="104">
        <v>2</v>
      </c>
      <c r="AS48" s="104">
        <f>SUM('[4]Wisconsin-clean 3'!BD12)</f>
        <v>0</v>
      </c>
      <c r="AT48" s="210"/>
      <c r="AU48" s="104">
        <f>SUM('[4]Wisconsin-clean 3'!BF12)</f>
        <v>0</v>
      </c>
      <c r="AV48" s="104">
        <f>SUM('[4]Wisconsin-clean 3'!BG12)</f>
        <v>0</v>
      </c>
      <c r="AW48" s="104">
        <f>SUM('[4]Wisconsin-clean 3'!BH12)</f>
        <v>0</v>
      </c>
      <c r="AX48" s="104">
        <f>SUM('[4]Wisconsin-clean 3'!BI12)</f>
        <v>0</v>
      </c>
      <c r="AY48" s="104">
        <f>SUM('[4]Wisconsin-clean 3'!BJ12)</f>
        <v>0</v>
      </c>
      <c r="AZ48" s="210"/>
      <c r="BA48" s="104">
        <v>2</v>
      </c>
      <c r="BB48" s="104">
        <f>SUM('[4]Wisconsin-clean 3'!BS12)</f>
        <v>0</v>
      </c>
      <c r="BC48" s="104">
        <f>SUM('[4]Wisconsin-clean 3'!BR12)</f>
        <v>0</v>
      </c>
      <c r="BD48" s="104">
        <f>SUM('[4]Wisconsin-clean 3'!BT12)</f>
        <v>0</v>
      </c>
      <c r="BE48" s="104">
        <f>SUM('[4]Wisconsin-clean 3'!BV12)</f>
        <v>0</v>
      </c>
      <c r="BF48" s="104">
        <f>SUM('[4]Wisconsin-clean 3'!BW12)</f>
        <v>0</v>
      </c>
      <c r="BG48" s="104">
        <f>SUM('[4]Wisconsin-clean 3'!BY12)</f>
        <v>0</v>
      </c>
      <c r="BH48" s="104">
        <f>SUM('[4]Wisconsin-clean 3'!CA12)</f>
        <v>0</v>
      </c>
      <c r="BI48" s="104">
        <f>SUM('[4]Wisconsin-clean 3'!CB12)</f>
        <v>0</v>
      </c>
      <c r="BJ48" s="9">
        <f>SUM('[4]Wisconsin-clean 3'!CD12)</f>
        <v>0</v>
      </c>
      <c r="BK48" s="9">
        <f>SUM('[4]Wisconsin-clean 3'!CE12)</f>
        <v>0</v>
      </c>
      <c r="BL48" s="9">
        <f>SUM('[4]Wisconsin-clean 3'!BN12)</f>
        <v>0</v>
      </c>
      <c r="BM48" s="210"/>
    </row>
    <row r="49" spans="1:93" s="104" customFormat="1">
      <c r="A49" s="103"/>
      <c r="BH49" s="9"/>
      <c r="BI49" s="9"/>
      <c r="BJ49" s="9"/>
      <c r="BK49" s="9"/>
      <c r="BL49" s="9"/>
    </row>
    <row r="50" spans="1:93" s="104" customFormat="1">
      <c r="B50" s="57"/>
      <c r="C50" s="66"/>
      <c r="T50" s="67"/>
      <c r="U50" s="67"/>
      <c r="V50" s="67"/>
      <c r="W50" s="67"/>
      <c r="X50" s="67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R50" s="67"/>
      <c r="AS50" s="67"/>
      <c r="AU50" s="67"/>
      <c r="AV50" s="67"/>
      <c r="AW50" s="67"/>
      <c r="AX50" s="67"/>
      <c r="AY50" s="67"/>
      <c r="BH50" s="9"/>
      <c r="BJ50" s="9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5"/>
      <c r="CN50" s="65"/>
      <c r="CO50" s="65"/>
    </row>
    <row r="51" spans="1:93" s="104" customFormat="1">
      <c r="B51" s="129"/>
      <c r="BH51" s="9"/>
      <c r="BJ51" s="9"/>
    </row>
    <row r="52" spans="1:93" s="174" customFormat="1" ht="19">
      <c r="A52" s="172"/>
      <c r="B52" s="173" t="s">
        <v>684</v>
      </c>
      <c r="C52" s="172">
        <f>SUM(C10:C49)</f>
        <v>58</v>
      </c>
      <c r="D52" s="172">
        <f>SUM(D10:D49)</f>
        <v>843</v>
      </c>
      <c r="E52" s="172">
        <f>SUM(E10:E49)</f>
        <v>3026</v>
      </c>
      <c r="F52" s="172">
        <f>SUM(F10:F49)</f>
        <v>401</v>
      </c>
      <c r="G52" s="172"/>
      <c r="H52" s="172">
        <f>SUM(H10:H49)</f>
        <v>226</v>
      </c>
      <c r="I52" s="172">
        <f>SUM(I10:I49)</f>
        <v>99</v>
      </c>
      <c r="J52" s="172">
        <f>SUM(J10:J49)</f>
        <v>39</v>
      </c>
      <c r="K52" s="172">
        <f>SUM(K10:K49)</f>
        <v>26</v>
      </c>
      <c r="L52" s="172"/>
      <c r="M52" s="172">
        <f t="shared" ref="M52:R52" si="1">SUM(M10:M49)</f>
        <v>249</v>
      </c>
      <c r="N52" s="172">
        <f t="shared" si="1"/>
        <v>4</v>
      </c>
      <c r="O52" s="172">
        <f t="shared" si="1"/>
        <v>1</v>
      </c>
      <c r="P52" s="172">
        <f t="shared" si="1"/>
        <v>27</v>
      </c>
      <c r="Q52" s="172">
        <f t="shared" si="1"/>
        <v>118</v>
      </c>
      <c r="R52" s="172">
        <f t="shared" si="1"/>
        <v>19</v>
      </c>
      <c r="S52" s="172"/>
      <c r="T52" s="172">
        <f t="shared" ref="T52:AJ52" si="2">SUM(T10:T49)</f>
        <v>450</v>
      </c>
      <c r="U52" s="172">
        <f t="shared" si="2"/>
        <v>7</v>
      </c>
      <c r="V52" s="172">
        <f t="shared" si="2"/>
        <v>7</v>
      </c>
      <c r="W52" s="172">
        <f t="shared" si="2"/>
        <v>25</v>
      </c>
      <c r="X52" s="172">
        <f t="shared" si="2"/>
        <v>71</v>
      </c>
      <c r="Y52" s="172">
        <f t="shared" si="2"/>
        <v>370</v>
      </c>
      <c r="Z52" s="172">
        <f t="shared" si="2"/>
        <v>647</v>
      </c>
      <c r="AA52" s="172">
        <f t="shared" si="2"/>
        <v>85</v>
      </c>
      <c r="AB52" s="172">
        <f t="shared" si="2"/>
        <v>405</v>
      </c>
      <c r="AC52" s="172">
        <f t="shared" si="2"/>
        <v>276</v>
      </c>
      <c r="AD52" s="172">
        <f t="shared" si="2"/>
        <v>46</v>
      </c>
      <c r="AE52" s="172">
        <f t="shared" si="2"/>
        <v>113</v>
      </c>
      <c r="AF52" s="172">
        <f t="shared" si="2"/>
        <v>401</v>
      </c>
      <c r="AG52" s="172">
        <f t="shared" si="2"/>
        <v>86</v>
      </c>
      <c r="AH52" s="172">
        <f t="shared" si="2"/>
        <v>123</v>
      </c>
      <c r="AI52" s="172">
        <f t="shared" si="2"/>
        <v>71</v>
      </c>
      <c r="AJ52" s="172">
        <f t="shared" si="2"/>
        <v>74</v>
      </c>
      <c r="AK52" s="172"/>
      <c r="AL52" s="172">
        <f>SUM(AL10:AL49)</f>
        <v>23</v>
      </c>
      <c r="AM52" s="172">
        <f>SUM(AM10:AM49)</f>
        <v>0</v>
      </c>
      <c r="AN52" s="172">
        <f>SUM(AN10:AN49)</f>
        <v>1</v>
      </c>
      <c r="AO52" s="172">
        <f>SUM(AO10:AO49)</f>
        <v>0</v>
      </c>
      <c r="AP52" s="172">
        <f>SUM(AP10:AP49)</f>
        <v>374</v>
      </c>
      <c r="AQ52" s="172"/>
      <c r="AR52" s="172">
        <f>SUM(AR10:AR49)</f>
        <v>401</v>
      </c>
      <c r="AS52" s="172">
        <f>SUM(AS10:AS49)</f>
        <v>4</v>
      </c>
      <c r="AT52" s="172"/>
      <c r="AU52" s="172">
        <f>SUM(AU10:AU49)</f>
        <v>3</v>
      </c>
      <c r="AV52" s="172">
        <f>SUM(AV10:AV49)</f>
        <v>1</v>
      </c>
      <c r="AW52" s="172">
        <f>SUM(AW10:AW49)</f>
        <v>0</v>
      </c>
      <c r="AX52" s="172">
        <f>SUM(AX10:AX49)</f>
        <v>0</v>
      </c>
      <c r="AY52" s="172">
        <f>SUM(AY10:AY49)</f>
        <v>0</v>
      </c>
      <c r="AZ52" s="172"/>
      <c r="BA52" s="172">
        <f t="shared" ref="BA52:BL52" si="3">SUM(BA10:BA49)</f>
        <v>1776</v>
      </c>
      <c r="BB52" s="172">
        <f t="shared" si="3"/>
        <v>12</v>
      </c>
      <c r="BC52" s="172">
        <f t="shared" si="3"/>
        <v>1</v>
      </c>
      <c r="BD52" s="172">
        <f t="shared" si="3"/>
        <v>11700</v>
      </c>
      <c r="BE52" s="172">
        <f t="shared" si="3"/>
        <v>11</v>
      </c>
      <c r="BF52" s="172">
        <f t="shared" si="3"/>
        <v>3902</v>
      </c>
      <c r="BG52" s="172">
        <f t="shared" si="3"/>
        <v>7</v>
      </c>
      <c r="BH52" s="172">
        <f t="shared" si="3"/>
        <v>1</v>
      </c>
      <c r="BI52" s="172">
        <f t="shared" si="3"/>
        <v>543</v>
      </c>
      <c r="BJ52" s="172">
        <f t="shared" si="3"/>
        <v>1</v>
      </c>
      <c r="BK52" s="172">
        <f t="shared" si="3"/>
        <v>9</v>
      </c>
      <c r="BL52" s="172">
        <f t="shared" si="3"/>
        <v>0</v>
      </c>
      <c r="BM52" s="172"/>
    </row>
    <row r="53" spans="1:93" s="174" customFormat="1" ht="19">
      <c r="B53" s="175"/>
      <c r="E53" s="71"/>
      <c r="F53" s="71"/>
      <c r="H53" s="71"/>
      <c r="I53" s="71"/>
      <c r="J53" s="71"/>
      <c r="K53" s="71"/>
      <c r="M53" s="71"/>
      <c r="N53" s="71"/>
      <c r="O53" s="71"/>
      <c r="P53" s="71"/>
      <c r="Q53" s="71"/>
      <c r="R53" s="71"/>
      <c r="AR53" s="71"/>
      <c r="AS53" s="71"/>
      <c r="AU53" s="71"/>
      <c r="AV53" s="71"/>
      <c r="AW53" s="71"/>
      <c r="AX53" s="71"/>
      <c r="AY53" s="71"/>
      <c r="BA53" s="176"/>
      <c r="BD53" s="176"/>
      <c r="BF53" s="177"/>
      <c r="BI53" s="177"/>
      <c r="BK53" s="71"/>
      <c r="BL53" s="71"/>
    </row>
    <row r="54" spans="1:93" s="104" customFormat="1" ht="19">
      <c r="B54" s="129"/>
      <c r="K54" s="131"/>
      <c r="BD54" s="132"/>
      <c r="BF54" s="132"/>
      <c r="BJ54" s="9"/>
    </row>
    <row r="55" spans="1:93" s="104" customFormat="1" ht="19">
      <c r="B55" s="129"/>
      <c r="BA55" s="129" t="s">
        <v>1481</v>
      </c>
      <c r="BD55" s="71">
        <f>SUM(BA52, BD52, BF52, BG52, BI52, BK52)</f>
        <v>17937</v>
      </c>
      <c r="BH55" s="9"/>
      <c r="BJ55" s="9"/>
    </row>
    <row r="56" spans="1:93" s="42" customFormat="1">
      <c r="B56" s="41"/>
      <c r="C56" s="42" t="s">
        <v>191</v>
      </c>
      <c r="M56" s="41" t="s">
        <v>192</v>
      </c>
      <c r="T56" s="41" t="s">
        <v>1384</v>
      </c>
      <c r="U56" s="41"/>
      <c r="V56" s="41"/>
      <c r="W56" s="41"/>
      <c r="X56" s="41"/>
      <c r="AL56" s="41" t="s">
        <v>1385</v>
      </c>
      <c r="AS56" s="42" t="s">
        <v>124</v>
      </c>
      <c r="AU56" s="41" t="s">
        <v>1386</v>
      </c>
      <c r="BA56" s="42" t="s">
        <v>1388</v>
      </c>
      <c r="BL56" s="42" t="s">
        <v>1535</v>
      </c>
    </row>
    <row r="57" spans="1:93" s="42" customFormat="1">
      <c r="B57" s="41"/>
      <c r="C57" s="42" t="s">
        <v>1389</v>
      </c>
      <c r="D57" s="42" t="s">
        <v>191</v>
      </c>
      <c r="E57" s="42" t="s">
        <v>124</v>
      </c>
      <c r="H57" s="43" t="s">
        <v>194</v>
      </c>
      <c r="I57" s="39"/>
      <c r="J57" s="39"/>
      <c r="K57" s="39"/>
      <c r="M57" s="44" t="s">
        <v>20</v>
      </c>
      <c r="N57" s="44"/>
      <c r="O57" s="44"/>
      <c r="P57" s="44"/>
      <c r="Q57" s="44"/>
      <c r="R57" s="44"/>
      <c r="T57" s="42" t="s">
        <v>195</v>
      </c>
      <c r="U57" s="42" t="s">
        <v>196</v>
      </c>
      <c r="V57" s="42" t="s">
        <v>197</v>
      </c>
      <c r="W57" s="42" t="s">
        <v>198</v>
      </c>
      <c r="X57" s="42" t="s">
        <v>199</v>
      </c>
      <c r="Y57" s="42" t="s">
        <v>14</v>
      </c>
      <c r="Z57" s="42" t="s">
        <v>200</v>
      </c>
      <c r="AC57" s="42" t="s">
        <v>201</v>
      </c>
      <c r="AD57" s="42" t="s">
        <v>202</v>
      </c>
      <c r="AE57" s="42" t="s">
        <v>203</v>
      </c>
      <c r="AF57" s="42" t="s">
        <v>204</v>
      </c>
      <c r="AH57" s="42" t="s">
        <v>205</v>
      </c>
      <c r="AJ57" s="42" t="s">
        <v>206</v>
      </c>
      <c r="AL57" s="41" t="s">
        <v>207</v>
      </c>
      <c r="AR57" s="42" t="s">
        <v>124</v>
      </c>
      <c r="AS57" s="42" t="s">
        <v>1391</v>
      </c>
      <c r="AU57" s="46" t="s">
        <v>209</v>
      </c>
      <c r="AV57" s="46" t="s">
        <v>210</v>
      </c>
      <c r="AW57" s="46" t="s">
        <v>211</v>
      </c>
      <c r="AX57" s="46" t="s">
        <v>212</v>
      </c>
      <c r="AY57" s="46" t="s">
        <v>213</v>
      </c>
      <c r="BA57" s="42" t="s">
        <v>1517</v>
      </c>
      <c r="BB57" s="42" t="s">
        <v>21</v>
      </c>
      <c r="BC57" s="42" t="s">
        <v>21</v>
      </c>
      <c r="BD57" s="42" t="s">
        <v>21</v>
      </c>
      <c r="BE57" s="42" t="s">
        <v>22</v>
      </c>
      <c r="BF57" s="42" t="s">
        <v>22</v>
      </c>
      <c r="BH57" s="42" t="s">
        <v>23</v>
      </c>
      <c r="BI57" s="42" t="s">
        <v>23</v>
      </c>
      <c r="BJ57" s="42" t="s">
        <v>24</v>
      </c>
      <c r="BK57" s="42" t="s">
        <v>24</v>
      </c>
      <c r="BL57" s="42" t="s">
        <v>1387</v>
      </c>
    </row>
    <row r="58" spans="1:93" s="53" customFormat="1" ht="17" thickBot="1">
      <c r="A58" s="53" t="s">
        <v>214</v>
      </c>
      <c r="B58" s="53" t="s">
        <v>34</v>
      </c>
      <c r="C58" s="53" t="s">
        <v>1393</v>
      </c>
      <c r="D58" s="53" t="s">
        <v>216</v>
      </c>
      <c r="E58" s="53" t="s">
        <v>216</v>
      </c>
      <c r="H58" s="49" t="s">
        <v>217</v>
      </c>
      <c r="I58" s="48" t="s">
        <v>218</v>
      </c>
      <c r="J58" s="48" t="s">
        <v>1539</v>
      </c>
      <c r="K58" s="48" t="s">
        <v>1633</v>
      </c>
      <c r="M58" s="51" t="s">
        <v>26</v>
      </c>
      <c r="N58" s="51" t="s">
        <v>27</v>
      </c>
      <c r="O58" s="51" t="s">
        <v>28</v>
      </c>
      <c r="P58" s="51" t="s">
        <v>29</v>
      </c>
      <c r="Q58" s="51" t="s">
        <v>14</v>
      </c>
      <c r="R58" s="51" t="s">
        <v>30</v>
      </c>
      <c r="T58" s="53" t="s">
        <v>225</v>
      </c>
      <c r="U58" s="53" t="s">
        <v>226</v>
      </c>
      <c r="V58" s="53" t="s">
        <v>226</v>
      </c>
      <c r="W58" s="53" t="s">
        <v>215</v>
      </c>
      <c r="X58" s="53" t="s">
        <v>227</v>
      </c>
      <c r="Y58" s="53" t="s">
        <v>228</v>
      </c>
      <c r="Z58" s="53" t="s">
        <v>229</v>
      </c>
      <c r="AA58" s="53" t="s">
        <v>230</v>
      </c>
      <c r="AB58" s="53" t="s">
        <v>231</v>
      </c>
      <c r="AC58" s="53" t="s">
        <v>232</v>
      </c>
      <c r="AD58" s="53" t="s">
        <v>233</v>
      </c>
      <c r="AE58" s="53" t="s">
        <v>234</v>
      </c>
      <c r="AF58" s="53" t="s">
        <v>235</v>
      </c>
      <c r="AG58" s="53" t="s">
        <v>236</v>
      </c>
      <c r="AH58" s="53" t="s">
        <v>237</v>
      </c>
      <c r="AI58" s="53" t="s">
        <v>238</v>
      </c>
      <c r="AJ58" s="53" t="s">
        <v>239</v>
      </c>
      <c r="AL58" s="53" t="s">
        <v>240</v>
      </c>
      <c r="AM58" s="53" t="s">
        <v>241</v>
      </c>
      <c r="AN58" s="53" t="s">
        <v>242</v>
      </c>
      <c r="AO58" s="53" t="s">
        <v>243</v>
      </c>
      <c r="AP58" s="53" t="s">
        <v>14</v>
      </c>
      <c r="AR58" s="53" t="s">
        <v>2</v>
      </c>
      <c r="AS58" s="53" t="s">
        <v>2</v>
      </c>
      <c r="AU58" s="53" t="s">
        <v>244</v>
      </c>
      <c r="AV58" s="53" t="s">
        <v>244</v>
      </c>
      <c r="AW58" s="53" t="s">
        <v>244</v>
      </c>
      <c r="AX58" s="53" t="s">
        <v>34</v>
      </c>
      <c r="AY58" s="53" t="s">
        <v>196</v>
      </c>
      <c r="BA58" s="53" t="s">
        <v>39</v>
      </c>
      <c r="BB58" s="53" t="s">
        <v>39</v>
      </c>
      <c r="BC58" s="53" t="s">
        <v>1396</v>
      </c>
      <c r="BD58" s="53" t="s">
        <v>42</v>
      </c>
      <c r="BE58" s="53" t="s">
        <v>39</v>
      </c>
      <c r="BF58" s="53" t="s">
        <v>43</v>
      </c>
      <c r="BG58" s="53" t="s">
        <v>1397</v>
      </c>
      <c r="BH58" s="53" t="s">
        <v>39</v>
      </c>
      <c r="BI58" s="53" t="s">
        <v>42</v>
      </c>
      <c r="BJ58" s="53" t="s">
        <v>45</v>
      </c>
      <c r="BK58" s="53" t="s">
        <v>42</v>
      </c>
      <c r="BL58" s="53" t="s">
        <v>1543</v>
      </c>
    </row>
    <row r="59" spans="1:93" s="104" customFormat="1" ht="19">
      <c r="B59" s="129"/>
      <c r="BA59" s="129"/>
      <c r="BD59" s="71"/>
      <c r="BH59" s="9"/>
      <c r="BJ59" s="9"/>
    </row>
    <row r="60" spans="1:93" s="104" customFormat="1" ht="19">
      <c r="B60" s="129"/>
      <c r="BA60" s="129"/>
      <c r="BD60" s="71"/>
      <c r="BH60" s="9"/>
      <c r="BJ60" s="9"/>
    </row>
    <row r="61" spans="1:93" s="104" customFormat="1" ht="19">
      <c r="B61" s="129"/>
      <c r="BA61" s="129"/>
      <c r="BD61" s="71"/>
      <c r="BH61" s="9"/>
      <c r="BJ61" s="9"/>
    </row>
    <row r="62" spans="1:93" s="104" customFormat="1" ht="19">
      <c r="B62" s="129"/>
      <c r="BA62" s="129"/>
      <c r="BD62" s="71"/>
      <c r="BH62" s="9"/>
      <c r="BJ62" s="9"/>
    </row>
    <row r="63" spans="1:93" s="104" customFormat="1" ht="19">
      <c r="B63" s="129"/>
      <c r="BA63" s="129"/>
      <c r="BD63" s="71"/>
      <c r="BH63" s="9"/>
      <c r="BJ63" s="9"/>
    </row>
    <row r="64" spans="1:93" s="104" customFormat="1" ht="21">
      <c r="B64" s="133" t="s">
        <v>1480</v>
      </c>
      <c r="BD64" s="135">
        <v>19487</v>
      </c>
      <c r="BJ64" s="9"/>
    </row>
    <row r="65" spans="2:62" s="104" customFormat="1">
      <c r="B65" s="129" t="s">
        <v>1634</v>
      </c>
      <c r="BD65" s="129" t="s">
        <v>1484</v>
      </c>
    </row>
    <row r="66" spans="2:62" s="104" customFormat="1">
      <c r="B66" s="129" t="s">
        <v>1635</v>
      </c>
      <c r="BD66" s="129" t="s">
        <v>1485</v>
      </c>
    </row>
    <row r="67" spans="2:62" s="104" customFormat="1">
      <c r="B67" s="129" t="s">
        <v>1555</v>
      </c>
    </row>
    <row r="68" spans="2:62" s="104" customFormat="1">
      <c r="B68" s="129" t="s">
        <v>1556</v>
      </c>
    </row>
    <row r="69" spans="2:62" s="104" customFormat="1">
      <c r="B69" s="129" t="s">
        <v>1557</v>
      </c>
    </row>
    <row r="70" spans="2:62" s="104" customFormat="1">
      <c r="B70" s="129"/>
    </row>
    <row r="71" spans="2:62" s="104" customFormat="1">
      <c r="B71" s="129"/>
    </row>
    <row r="72" spans="2:62" s="104" customFormat="1">
      <c r="B72" s="129"/>
      <c r="BH72" s="9"/>
      <c r="BJ72" s="9"/>
    </row>
    <row r="73" spans="2:62" s="104" customFormat="1">
      <c r="B73" s="133" t="s">
        <v>1486</v>
      </c>
      <c r="C73" s="129"/>
    </row>
    <row r="74" spans="2:62" s="104" customFormat="1">
      <c r="B74" s="129" t="s">
        <v>1487</v>
      </c>
      <c r="C74" s="129" t="s">
        <v>1488</v>
      </c>
    </row>
    <row r="75" spans="2:62" s="104" customFormat="1">
      <c r="B75" s="129" t="s">
        <v>1489</v>
      </c>
      <c r="C75" s="129" t="s">
        <v>1490</v>
      </c>
    </row>
    <row r="76" spans="2:62" s="104" customFormat="1">
      <c r="B76" s="129" t="s">
        <v>1491</v>
      </c>
      <c r="C76" s="129" t="s">
        <v>1492</v>
      </c>
    </row>
    <row r="77" spans="2:62" s="104" customFormat="1">
      <c r="B77" s="129" t="s">
        <v>1493</v>
      </c>
      <c r="C77" s="129" t="s">
        <v>1494</v>
      </c>
    </row>
    <row r="78" spans="2:62" s="104" customFormat="1">
      <c r="B78" s="129" t="s">
        <v>1495</v>
      </c>
      <c r="C78" s="129" t="s">
        <v>1496</v>
      </c>
    </row>
    <row r="79" spans="2:62" s="104" customFormat="1">
      <c r="B79" s="129" t="s">
        <v>14</v>
      </c>
      <c r="C79" s="129" t="s">
        <v>1497</v>
      </c>
    </row>
    <row r="80" spans="2:62" s="104" customFormat="1">
      <c r="B80" s="129" t="s">
        <v>1498</v>
      </c>
      <c r="C80" s="129" t="s">
        <v>1499</v>
      </c>
    </row>
    <row r="81" spans="2:62" s="104" customFormat="1">
      <c r="B81" s="129" t="s">
        <v>230</v>
      </c>
      <c r="C81" s="129" t="s">
        <v>1500</v>
      </c>
    </row>
    <row r="82" spans="2:62" s="104" customFormat="1">
      <c r="B82" s="129" t="s">
        <v>231</v>
      </c>
      <c r="C82" s="129" t="s">
        <v>1501</v>
      </c>
    </row>
    <row r="83" spans="2:62" s="104" customFormat="1">
      <c r="B83" s="129" t="s">
        <v>1502</v>
      </c>
      <c r="C83" s="129" t="s">
        <v>1503</v>
      </c>
    </row>
    <row r="84" spans="2:62" s="104" customFormat="1">
      <c r="B84" s="129" t="s">
        <v>1504</v>
      </c>
      <c r="C84" s="129" t="s">
        <v>1505</v>
      </c>
    </row>
    <row r="85" spans="2:62" s="104" customFormat="1">
      <c r="B85" s="129" t="s">
        <v>1506</v>
      </c>
      <c r="C85" s="129" t="s">
        <v>1507</v>
      </c>
    </row>
    <row r="86" spans="2:62" s="104" customFormat="1">
      <c r="B86" s="129" t="s">
        <v>204</v>
      </c>
      <c r="C86" s="129" t="s">
        <v>1508</v>
      </c>
    </row>
    <row r="87" spans="2:62" s="104" customFormat="1">
      <c r="B87" s="129" t="s">
        <v>1509</v>
      </c>
      <c r="C87" s="129" t="s">
        <v>1510</v>
      </c>
    </row>
    <row r="88" spans="2:62" s="104" customFormat="1">
      <c r="B88" s="129" t="s">
        <v>1511</v>
      </c>
      <c r="C88" s="129" t="s">
        <v>1512</v>
      </c>
    </row>
    <row r="89" spans="2:62" s="104" customFormat="1">
      <c r="B89" s="129" t="s">
        <v>238</v>
      </c>
      <c r="C89" s="129" t="s">
        <v>1513</v>
      </c>
    </row>
    <row r="90" spans="2:62" s="104" customFormat="1">
      <c r="B90" s="129" t="s">
        <v>1514</v>
      </c>
      <c r="C90" s="129" t="s">
        <v>1515</v>
      </c>
    </row>
    <row r="91" spans="2:62" s="104" customFormat="1">
      <c r="B91" s="129"/>
      <c r="BH91" s="9"/>
      <c r="BJ91" s="9"/>
    </row>
    <row r="92" spans="2:62" s="104" customFormat="1">
      <c r="B92" s="129"/>
      <c r="BH92" s="9"/>
      <c r="BJ92" s="9"/>
    </row>
    <row r="93" spans="2:62" s="104" customFormat="1">
      <c r="B93" s="133" t="s">
        <v>1516</v>
      </c>
    </row>
    <row r="94" spans="2:62" s="104" customFormat="1">
      <c r="B94" s="129" t="s">
        <v>1517</v>
      </c>
      <c r="C94" s="129" t="s">
        <v>1518</v>
      </c>
    </row>
    <row r="95" spans="2:62" s="104" customFormat="1">
      <c r="B95" s="129" t="s">
        <v>21</v>
      </c>
      <c r="C95" s="129" t="s">
        <v>1519</v>
      </c>
    </row>
    <row r="96" spans="2:62" s="104" customFormat="1">
      <c r="B96" s="129" t="s">
        <v>1520</v>
      </c>
      <c r="C96" s="136" t="s">
        <v>1521</v>
      </c>
    </row>
    <row r="97" spans="2:62" s="104" customFormat="1">
      <c r="B97" s="129" t="s">
        <v>22</v>
      </c>
      <c r="C97" s="129" t="s">
        <v>1522</v>
      </c>
    </row>
    <row r="98" spans="2:62" s="104" customFormat="1">
      <c r="B98" s="129" t="s">
        <v>1397</v>
      </c>
      <c r="C98" s="129" t="s">
        <v>1523</v>
      </c>
    </row>
    <row r="99" spans="2:62" s="104" customFormat="1">
      <c r="B99" s="129" t="s">
        <v>23</v>
      </c>
      <c r="C99" s="129" t="s">
        <v>1519</v>
      </c>
    </row>
    <row r="100" spans="2:62" s="104" customFormat="1">
      <c r="B100" s="129" t="s">
        <v>1524</v>
      </c>
      <c r="C100" s="129" t="s">
        <v>1519</v>
      </c>
    </row>
    <row r="101" spans="2:62" s="104" customFormat="1">
      <c r="B101" s="129" t="s">
        <v>1525</v>
      </c>
    </row>
    <row r="102" spans="2:62" s="104" customFormat="1">
      <c r="B102" s="129"/>
      <c r="BH102" s="9"/>
      <c r="BJ102" s="9"/>
    </row>
    <row r="103" spans="2:62" s="104" customFormat="1">
      <c r="B103" s="133" t="s">
        <v>1526</v>
      </c>
    </row>
    <row r="104" spans="2:62" s="104" customFormat="1">
      <c r="B104" s="129" t="s">
        <v>1527</v>
      </c>
    </row>
    <row r="105" spans="2:62" s="104" customFormat="1">
      <c r="B105" s="129" t="s">
        <v>1528</v>
      </c>
    </row>
    <row r="106" spans="2:62" s="104" customFormat="1">
      <c r="B106" s="129" t="s">
        <v>1529</v>
      </c>
    </row>
    <row r="107" spans="2:62" s="104" customFormat="1">
      <c r="B107" s="129" t="s">
        <v>1530</v>
      </c>
    </row>
    <row r="108" spans="2:62" s="104" customFormat="1">
      <c r="B108" s="129"/>
      <c r="BH108" s="9"/>
      <c r="BJ108" s="9"/>
    </row>
    <row r="109" spans="2:62" s="104" customFormat="1">
      <c r="B109" s="129"/>
      <c r="BH109" s="9"/>
      <c r="BJ109" s="9"/>
    </row>
    <row r="110" spans="2:62" s="104" customFormat="1">
      <c r="B110" s="154"/>
      <c r="C110" s="129" t="s">
        <v>1558</v>
      </c>
    </row>
    <row r="111" spans="2:62" s="104" customFormat="1">
      <c r="B111" s="155"/>
      <c r="C111" s="129" t="s">
        <v>1559</v>
      </c>
    </row>
    <row r="112" spans="2:62" s="104" customFormat="1">
      <c r="B112" s="129"/>
      <c r="BH112" s="9"/>
      <c r="BJ112" s="9"/>
    </row>
    <row r="113" spans="2:62" s="104" customFormat="1">
      <c r="B113" s="129"/>
      <c r="BH113" s="9"/>
      <c r="BJ113" s="9"/>
    </row>
    <row r="114" spans="2:62" s="104" customFormat="1">
      <c r="B114" s="129"/>
      <c r="BH114" s="9"/>
      <c r="BJ114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2E36-29BA-B94B-844A-0E6062BD7FD7}">
  <dimension ref="A1:AR64"/>
  <sheetViews>
    <sheetView workbookViewId="0">
      <selection activeCell="N17" sqref="N17"/>
    </sheetView>
  </sheetViews>
  <sheetFormatPr baseColWidth="10" defaultRowHeight="16"/>
  <cols>
    <col min="1" max="1" width="10.83203125" style="7"/>
    <col min="2" max="2" width="20" style="7" customWidth="1"/>
    <col min="3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11.6640625" style="7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43" style="7" bestFit="1" customWidth="1"/>
    <col min="15" max="15" width="41.5" style="7" bestFit="1" customWidth="1"/>
    <col min="16" max="16" width="10.83203125" style="7"/>
    <col min="17" max="17" width="15.6640625" style="7" bestFit="1" customWidth="1"/>
    <col min="18" max="18" width="7.1640625" style="7" bestFit="1" customWidth="1"/>
    <col min="19" max="19" width="4.6640625" style="7" bestFit="1" customWidth="1"/>
    <col min="20" max="21" width="10.5" style="7" bestFit="1" customWidth="1"/>
    <col min="22" max="22" width="5.83203125" style="7" customWidth="1"/>
    <col min="23" max="23" width="10.5" style="7" bestFit="1" customWidth="1"/>
    <col min="24" max="24" width="29.1640625" style="7" bestFit="1" customWidth="1"/>
    <col min="25" max="25" width="5.33203125" style="9" bestFit="1" customWidth="1"/>
    <col min="26" max="26" width="9.33203125" style="7" bestFit="1" customWidth="1"/>
    <col min="27" max="27" width="5.33203125" style="7" bestFit="1" customWidth="1"/>
    <col min="28" max="30" width="9.5" style="7" bestFit="1" customWidth="1"/>
    <col min="31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16384" width="10.83203125" style="7"/>
  </cols>
  <sheetData>
    <row r="1" spans="2:25" customFormat="1">
      <c r="C1" s="32"/>
      <c r="D1" s="32"/>
      <c r="G1" s="32"/>
      <c r="Y1" s="32"/>
    </row>
    <row r="2" spans="2:25" s="1" customFormat="1" ht="21">
      <c r="B2" s="1" t="s">
        <v>1343</v>
      </c>
      <c r="C2" s="33"/>
      <c r="D2" s="33"/>
      <c r="F2" s="1" t="s">
        <v>1346</v>
      </c>
      <c r="G2" s="33"/>
      <c r="Y2" s="33"/>
    </row>
    <row r="3" spans="2:25" s="1" customFormat="1" ht="21">
      <c r="C3" s="33"/>
      <c r="D3" s="33"/>
      <c r="G3" s="33"/>
      <c r="Y3" s="33"/>
    </row>
    <row r="4" spans="2:25" s="1" customFormat="1" ht="21">
      <c r="C4" s="33"/>
      <c r="D4" s="33"/>
      <c r="G4" s="33"/>
      <c r="Y4" s="33"/>
    </row>
    <row r="5" spans="2:25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  <c r="Y5" s="3"/>
    </row>
    <row r="6" spans="2:25" s="4" customFormat="1">
      <c r="N6" s="55"/>
      <c r="Y6" s="6"/>
    </row>
    <row r="7" spans="2:25" ht="21">
      <c r="N7" s="82" t="s">
        <v>6</v>
      </c>
    </row>
    <row r="8" spans="2:25">
      <c r="N8" s="27" t="s">
        <v>3185</v>
      </c>
      <c r="O8" s="7" t="s">
        <v>3186</v>
      </c>
    </row>
    <row r="9" spans="2:25">
      <c r="B9" s="7" t="s">
        <v>1347</v>
      </c>
      <c r="D9" s="183">
        <v>0.28999999999999998</v>
      </c>
      <c r="H9" s="180">
        <v>0.74</v>
      </c>
      <c r="I9" s="7" t="s">
        <v>26</v>
      </c>
    </row>
    <row r="10" spans="2:25">
      <c r="B10" s="7" t="s">
        <v>1348</v>
      </c>
      <c r="D10" s="183">
        <v>0.23</v>
      </c>
      <c r="H10" s="180">
        <v>0.12</v>
      </c>
      <c r="I10" s="7" t="s">
        <v>1362</v>
      </c>
      <c r="N10" s="7" t="s">
        <v>3184</v>
      </c>
    </row>
    <row r="11" spans="2:25">
      <c r="B11" s="7" t="s">
        <v>1349</v>
      </c>
      <c r="D11" s="183">
        <v>0.21</v>
      </c>
      <c r="H11" s="180">
        <v>0.06</v>
      </c>
      <c r="I11" s="7" t="s">
        <v>1363</v>
      </c>
      <c r="N11" s="12"/>
      <c r="O11" s="84"/>
    </row>
    <row r="12" spans="2:25">
      <c r="B12" s="7" t="s">
        <v>1350</v>
      </c>
      <c r="D12" s="183">
        <v>0.14000000000000001</v>
      </c>
      <c r="H12" s="180">
        <v>0.04</v>
      </c>
      <c r="I12" s="7" t="s">
        <v>1360</v>
      </c>
    </row>
    <row r="13" spans="2:25">
      <c r="B13" s="7" t="s">
        <v>1351</v>
      </c>
      <c r="D13" s="183">
        <v>0.08</v>
      </c>
      <c r="H13" s="180">
        <v>0.03</v>
      </c>
      <c r="I13" s="7" t="s">
        <v>1364</v>
      </c>
    </row>
    <row r="14" spans="2:25">
      <c r="B14" s="7" t="s">
        <v>1352</v>
      </c>
      <c r="D14" s="183">
        <v>0.05</v>
      </c>
      <c r="H14" s="180">
        <v>0.01</v>
      </c>
      <c r="I14" s="7" t="s">
        <v>1361</v>
      </c>
    </row>
    <row r="16" spans="2:25">
      <c r="B16" s="96" t="s">
        <v>1949</v>
      </c>
      <c r="C16" s="96">
        <v>572</v>
      </c>
    </row>
    <row r="17" spans="1:44" ht="21">
      <c r="C17" s="7" t="s">
        <v>1359</v>
      </c>
      <c r="N17" s="207" t="s">
        <v>3094</v>
      </c>
    </row>
    <row r="18" spans="1:44">
      <c r="B18" s="7" t="s">
        <v>1353</v>
      </c>
    </row>
    <row r="22" spans="1:44" s="16" customFormat="1" ht="21">
      <c r="A22" s="15"/>
      <c r="D22" s="15"/>
      <c r="E22" s="15"/>
      <c r="F22" s="17" t="s">
        <v>17</v>
      </c>
      <c r="G22" s="15"/>
      <c r="H22" s="15"/>
      <c r="I22" s="15"/>
      <c r="J22" s="15"/>
      <c r="K22" s="15"/>
      <c r="L22" s="15"/>
      <c r="M22" s="15"/>
      <c r="N22" s="17"/>
      <c r="O22" s="17"/>
      <c r="S22" s="17"/>
      <c r="T22" s="15"/>
      <c r="U22" s="15"/>
      <c r="V22" s="15"/>
      <c r="X22" s="18"/>
      <c r="Y22" s="15"/>
      <c r="Z22" s="15"/>
      <c r="AA22" s="15"/>
      <c r="AB22" s="17"/>
      <c r="AC22" s="15"/>
      <c r="AD22" s="15"/>
      <c r="AE22" s="15"/>
      <c r="AF22" s="17"/>
      <c r="AG22" s="15"/>
      <c r="AH22" s="15"/>
      <c r="AI22" s="17"/>
      <c r="AJ22" s="15"/>
      <c r="AK22" s="17"/>
      <c r="AL22" s="15"/>
      <c r="AM22" s="15"/>
      <c r="AQ22" s="15"/>
    </row>
    <row r="23" spans="1:44" s="16" customFormat="1" ht="21">
      <c r="A23" s="15"/>
      <c r="B23" s="16" t="s">
        <v>18</v>
      </c>
      <c r="C23" s="16" t="s">
        <v>19</v>
      </c>
      <c r="D23" s="15"/>
      <c r="E23" s="15"/>
      <c r="F23" s="15" t="s">
        <v>20</v>
      </c>
      <c r="G23" s="15"/>
      <c r="H23" s="15"/>
      <c r="I23" s="15"/>
      <c r="J23" s="15"/>
      <c r="K23" s="15"/>
      <c r="L23" s="15"/>
      <c r="M23" s="15"/>
      <c r="N23" s="17"/>
      <c r="O23" s="17"/>
      <c r="S23" s="17"/>
      <c r="T23" s="15"/>
      <c r="U23" s="15"/>
      <c r="V23" s="15"/>
      <c r="X23" s="18"/>
      <c r="Y23" s="15"/>
      <c r="Z23" s="15"/>
      <c r="AA23" s="15"/>
      <c r="AB23" s="17"/>
      <c r="AC23" s="15" t="s">
        <v>21</v>
      </c>
      <c r="AD23" s="15" t="s">
        <v>21</v>
      </c>
      <c r="AE23" s="15" t="s">
        <v>21</v>
      </c>
      <c r="AF23" s="17"/>
      <c r="AG23" s="15" t="s">
        <v>22</v>
      </c>
      <c r="AH23" s="15" t="s">
        <v>22</v>
      </c>
      <c r="AI23" s="17"/>
      <c r="AJ23" s="15"/>
      <c r="AK23" s="17"/>
      <c r="AL23" s="15" t="s">
        <v>23</v>
      </c>
      <c r="AM23" s="15" t="s">
        <v>23</v>
      </c>
      <c r="AN23" s="15" t="s">
        <v>24</v>
      </c>
      <c r="AO23" s="15"/>
      <c r="AQ23" s="15"/>
    </row>
    <row r="24" spans="1:44" s="20" customFormat="1" ht="22" thickBot="1">
      <c r="A24" s="19"/>
      <c r="B24" s="20" t="s">
        <v>25</v>
      </c>
      <c r="C24" s="20" t="s">
        <v>25</v>
      </c>
      <c r="D24" s="19"/>
      <c r="E24" s="19"/>
      <c r="F24" s="19" t="s">
        <v>26</v>
      </c>
      <c r="G24" s="19" t="s">
        <v>27</v>
      </c>
      <c r="H24" s="19" t="s">
        <v>28</v>
      </c>
      <c r="I24" s="19" t="s">
        <v>29</v>
      </c>
      <c r="J24" s="19" t="s">
        <v>14</v>
      </c>
      <c r="K24" s="19" t="s">
        <v>24</v>
      </c>
      <c r="L24" s="19" t="s">
        <v>30</v>
      </c>
      <c r="M24" s="19"/>
      <c r="N24" s="21" t="s">
        <v>31</v>
      </c>
      <c r="O24" s="21" t="s">
        <v>962</v>
      </c>
      <c r="P24" s="20" t="s">
        <v>32</v>
      </c>
      <c r="Q24" s="20" t="s">
        <v>33</v>
      </c>
      <c r="R24" s="20" t="s">
        <v>34</v>
      </c>
      <c r="S24" s="21" t="s">
        <v>35</v>
      </c>
      <c r="T24" s="21" t="s">
        <v>118</v>
      </c>
      <c r="U24" s="21" t="s">
        <v>119</v>
      </c>
      <c r="V24" s="19"/>
      <c r="W24" s="20" t="s">
        <v>37</v>
      </c>
      <c r="X24" s="21" t="s">
        <v>38</v>
      </c>
      <c r="Y24" s="19" t="s">
        <v>39</v>
      </c>
      <c r="Z24" s="21" t="s">
        <v>40</v>
      </c>
      <c r="AA24" s="19" t="s">
        <v>39</v>
      </c>
      <c r="AB24" s="21" t="s">
        <v>21</v>
      </c>
      <c r="AC24" s="19" t="s">
        <v>41</v>
      </c>
      <c r="AD24" s="19" t="s">
        <v>39</v>
      </c>
      <c r="AE24" s="19" t="s">
        <v>42</v>
      </c>
      <c r="AF24" s="21" t="s">
        <v>22</v>
      </c>
      <c r="AG24" s="19" t="s">
        <v>39</v>
      </c>
      <c r="AH24" s="19" t="s">
        <v>43</v>
      </c>
      <c r="AI24" s="21" t="s">
        <v>44</v>
      </c>
      <c r="AJ24" s="19" t="s">
        <v>39</v>
      </c>
      <c r="AK24" s="21" t="s">
        <v>23</v>
      </c>
      <c r="AL24" s="19" t="s">
        <v>39</v>
      </c>
      <c r="AM24" s="19" t="s">
        <v>42</v>
      </c>
      <c r="AN24" s="19" t="s">
        <v>45</v>
      </c>
      <c r="AO24" s="20" t="s">
        <v>39</v>
      </c>
      <c r="AP24" s="19" t="s">
        <v>42</v>
      </c>
      <c r="AQ24" s="19"/>
      <c r="AR24" s="20" t="s">
        <v>46</v>
      </c>
    </row>
    <row r="25" spans="1:44" s="4" customFormat="1">
      <c r="D25" s="6"/>
      <c r="E25" s="210"/>
      <c r="F25" s="6"/>
      <c r="G25" s="6"/>
      <c r="H25" s="6"/>
      <c r="I25" s="6"/>
      <c r="J25" s="6"/>
      <c r="K25" s="6"/>
      <c r="L25" s="6"/>
      <c r="M25" s="210"/>
      <c r="V25" s="210"/>
      <c r="Y25" s="6"/>
      <c r="AQ25" s="210"/>
    </row>
    <row r="26" spans="1:44">
      <c r="E26" s="210"/>
      <c r="F26" s="9"/>
      <c r="G26" s="9"/>
      <c r="H26" s="9"/>
      <c r="I26" s="9"/>
      <c r="J26" s="9"/>
      <c r="K26" s="9"/>
      <c r="L26" s="9"/>
      <c r="M26" s="210"/>
      <c r="V26" s="210"/>
      <c r="AQ26" s="210"/>
    </row>
    <row r="27" spans="1:44">
      <c r="B27" s="181" t="s">
        <v>2038</v>
      </c>
      <c r="C27" s="7" t="s">
        <v>1996</v>
      </c>
      <c r="E27" s="210"/>
      <c r="F27" s="9"/>
      <c r="G27" s="9"/>
      <c r="H27" s="9"/>
      <c r="I27" s="9"/>
      <c r="J27" s="9"/>
      <c r="K27" s="9"/>
      <c r="L27" s="9"/>
      <c r="M27" s="210"/>
      <c r="N27" s="181" t="s">
        <v>1355</v>
      </c>
      <c r="O27" s="181" t="s">
        <v>2003</v>
      </c>
      <c r="Q27" s="7" t="s">
        <v>2001</v>
      </c>
      <c r="R27" s="7" t="s">
        <v>632</v>
      </c>
      <c r="V27" s="210"/>
      <c r="AQ27" s="210"/>
    </row>
    <row r="28" spans="1:44">
      <c r="B28" s="181" t="s">
        <v>2039</v>
      </c>
      <c r="C28" s="7" t="s">
        <v>2047</v>
      </c>
      <c r="E28" s="210"/>
      <c r="F28" s="9"/>
      <c r="G28" s="9"/>
      <c r="H28" s="9"/>
      <c r="I28" s="9"/>
      <c r="J28" s="9"/>
      <c r="K28" s="9"/>
      <c r="L28" s="9"/>
      <c r="M28" s="210"/>
      <c r="N28" s="181" t="s">
        <v>1358</v>
      </c>
      <c r="O28" s="181" t="s">
        <v>2004</v>
      </c>
      <c r="Q28" s="7" t="s">
        <v>2002</v>
      </c>
      <c r="R28" s="7" t="s">
        <v>362</v>
      </c>
      <c r="V28" s="210"/>
      <c r="AQ28" s="210"/>
    </row>
    <row r="29" spans="1:44">
      <c r="B29" s="181" t="s">
        <v>1330</v>
      </c>
      <c r="C29" s="7" t="s">
        <v>2048</v>
      </c>
      <c r="E29" s="210"/>
      <c r="F29" s="9"/>
      <c r="G29" s="9"/>
      <c r="H29" s="9"/>
      <c r="I29" s="9"/>
      <c r="J29" s="9"/>
      <c r="K29" s="9"/>
      <c r="L29" s="9"/>
      <c r="M29" s="210"/>
      <c r="N29" s="181" t="s">
        <v>1998</v>
      </c>
      <c r="O29" s="7" t="s">
        <v>2000</v>
      </c>
      <c r="Q29" s="7" t="s">
        <v>1999</v>
      </c>
      <c r="R29" s="7" t="s">
        <v>269</v>
      </c>
      <c r="V29" s="210"/>
      <c r="AQ29" s="210"/>
    </row>
    <row r="30" spans="1:44">
      <c r="B30" s="181" t="s">
        <v>2040</v>
      </c>
      <c r="C30" s="7" t="s">
        <v>2049</v>
      </c>
      <c r="E30" s="210"/>
      <c r="F30" s="9"/>
      <c r="G30" s="9"/>
      <c r="H30" s="9"/>
      <c r="I30" s="9"/>
      <c r="J30" s="9"/>
      <c r="K30" s="9"/>
      <c r="L30" s="9"/>
      <c r="M30" s="210"/>
      <c r="N30" s="181" t="s">
        <v>2006</v>
      </c>
      <c r="O30" s="7" t="s">
        <v>2005</v>
      </c>
      <c r="Q30" s="7" t="s">
        <v>470</v>
      </c>
      <c r="R30" s="7" t="s">
        <v>56</v>
      </c>
      <c r="V30" s="210"/>
      <c r="AQ30" s="210"/>
    </row>
    <row r="31" spans="1:44">
      <c r="B31" s="181" t="s">
        <v>2041</v>
      </c>
      <c r="C31" s="7" t="s">
        <v>2050</v>
      </c>
      <c r="E31" s="210"/>
      <c r="F31" s="9"/>
      <c r="G31" s="9"/>
      <c r="H31" s="9"/>
      <c r="I31" s="9"/>
      <c r="J31" s="9"/>
      <c r="K31" s="9"/>
      <c r="L31" s="9"/>
      <c r="M31" s="210"/>
      <c r="N31" s="181" t="s">
        <v>2007</v>
      </c>
      <c r="Q31" s="7" t="s">
        <v>470</v>
      </c>
      <c r="R31" s="7" t="s">
        <v>56</v>
      </c>
      <c r="V31" s="210"/>
      <c r="AQ31" s="210"/>
    </row>
    <row r="32" spans="1:44">
      <c r="B32" s="181" t="s">
        <v>2042</v>
      </c>
      <c r="C32" s="7" t="s">
        <v>2051</v>
      </c>
      <c r="E32" s="210"/>
      <c r="F32" s="9"/>
      <c r="G32" s="9"/>
      <c r="H32" s="9"/>
      <c r="I32" s="9"/>
      <c r="J32" s="9"/>
      <c r="K32" s="9"/>
      <c r="L32" s="9"/>
      <c r="M32" s="210"/>
      <c r="N32" s="181" t="s">
        <v>1354</v>
      </c>
      <c r="O32" s="181" t="s">
        <v>2013</v>
      </c>
      <c r="Q32" s="7" t="s">
        <v>2008</v>
      </c>
      <c r="R32" s="7" t="s">
        <v>333</v>
      </c>
      <c r="V32" s="210"/>
      <c r="AQ32" s="210"/>
    </row>
    <row r="33" spans="2:44">
      <c r="B33" s="181" t="s">
        <v>2043</v>
      </c>
      <c r="C33" s="7" t="s">
        <v>2037</v>
      </c>
      <c r="E33" s="210"/>
      <c r="F33" s="9">
        <v>1</v>
      </c>
      <c r="G33" s="9"/>
      <c r="H33" s="9"/>
      <c r="I33" s="9"/>
      <c r="J33" s="9"/>
      <c r="K33" s="9"/>
      <c r="L33" s="9"/>
      <c r="M33" s="210"/>
      <c r="N33" s="181" t="s">
        <v>2032</v>
      </c>
      <c r="O33" s="181" t="s">
        <v>2033</v>
      </c>
      <c r="Q33" s="7" t="s">
        <v>2009</v>
      </c>
      <c r="R33" s="7" t="s">
        <v>67</v>
      </c>
      <c r="V33" s="210"/>
      <c r="AQ33" s="210"/>
      <c r="AR33" s="7" t="s">
        <v>2036</v>
      </c>
    </row>
    <row r="34" spans="2:44">
      <c r="B34" s="181" t="s">
        <v>2044</v>
      </c>
      <c r="C34" s="7" t="s">
        <v>1338</v>
      </c>
      <c r="E34" s="210"/>
      <c r="F34" s="9"/>
      <c r="G34" s="9"/>
      <c r="H34" s="9"/>
      <c r="I34" s="9"/>
      <c r="J34" s="9"/>
      <c r="K34" s="9"/>
      <c r="L34" s="9"/>
      <c r="M34" s="210"/>
      <c r="N34" s="181" t="s">
        <v>1355</v>
      </c>
      <c r="O34" s="181" t="s">
        <v>2014</v>
      </c>
      <c r="Q34" s="7" t="s">
        <v>2010</v>
      </c>
      <c r="R34" s="7" t="s">
        <v>2011</v>
      </c>
      <c r="V34" s="210"/>
      <c r="AQ34" s="210"/>
    </row>
    <row r="35" spans="2:44">
      <c r="B35" s="181" t="s">
        <v>2045</v>
      </c>
      <c r="C35" s="7" t="s">
        <v>2052</v>
      </c>
      <c r="E35" s="210"/>
      <c r="F35" s="9"/>
      <c r="G35" s="9"/>
      <c r="H35" s="9"/>
      <c r="I35" s="9"/>
      <c r="J35" s="9"/>
      <c r="K35" s="9"/>
      <c r="L35" s="9"/>
      <c r="M35" s="210"/>
      <c r="N35" s="181" t="s">
        <v>2034</v>
      </c>
      <c r="O35" s="181" t="s">
        <v>2035</v>
      </c>
      <c r="Q35" s="7" t="s">
        <v>691</v>
      </c>
      <c r="R35" s="7" t="s">
        <v>67</v>
      </c>
      <c r="V35" s="210"/>
      <c r="AQ35" s="210"/>
    </row>
    <row r="36" spans="2:44">
      <c r="B36" s="181" t="s">
        <v>384</v>
      </c>
      <c r="C36" s="7" t="s">
        <v>2053</v>
      </c>
      <c r="E36" s="210"/>
      <c r="F36" s="9"/>
      <c r="G36" s="9"/>
      <c r="H36" s="9"/>
      <c r="I36" s="9"/>
      <c r="J36" s="9"/>
      <c r="K36" s="9"/>
      <c r="L36" s="9"/>
      <c r="M36" s="210"/>
      <c r="N36" s="181" t="s">
        <v>1356</v>
      </c>
      <c r="O36" s="181" t="s">
        <v>2015</v>
      </c>
      <c r="Q36" s="7" t="s">
        <v>2012</v>
      </c>
      <c r="R36" s="7" t="s">
        <v>300</v>
      </c>
      <c r="V36" s="210"/>
      <c r="AQ36" s="210"/>
    </row>
    <row r="37" spans="2:44">
      <c r="B37" s="181" t="s">
        <v>424</v>
      </c>
      <c r="C37" s="7" t="s">
        <v>1971</v>
      </c>
      <c r="E37" s="210"/>
      <c r="F37" s="9"/>
      <c r="G37" s="9"/>
      <c r="H37" s="9"/>
      <c r="I37" s="9"/>
      <c r="J37" s="9"/>
      <c r="K37" s="9"/>
      <c r="L37" s="9"/>
      <c r="M37" s="210"/>
      <c r="N37" s="181" t="s">
        <v>1357</v>
      </c>
      <c r="O37" s="181" t="s">
        <v>2016</v>
      </c>
      <c r="Q37" s="7" t="s">
        <v>1237</v>
      </c>
      <c r="R37" s="7" t="s">
        <v>389</v>
      </c>
      <c r="V37" s="210"/>
      <c r="AQ37" s="210"/>
    </row>
    <row r="38" spans="2:44">
      <c r="B38" s="181" t="s">
        <v>1973</v>
      </c>
      <c r="C38" s="7" t="s">
        <v>1974</v>
      </c>
      <c r="E38" s="210"/>
      <c r="F38" s="9"/>
      <c r="G38" s="9"/>
      <c r="H38" s="9"/>
      <c r="I38" s="9"/>
      <c r="J38" s="9"/>
      <c r="K38" s="9"/>
      <c r="L38" s="9"/>
      <c r="M38" s="210"/>
      <c r="N38" s="181" t="s">
        <v>1355</v>
      </c>
      <c r="O38" s="181" t="s">
        <v>2017</v>
      </c>
      <c r="Q38" s="7" t="s">
        <v>2018</v>
      </c>
      <c r="R38" s="7" t="s">
        <v>419</v>
      </c>
      <c r="V38" s="210"/>
      <c r="AQ38" s="210"/>
    </row>
    <row r="39" spans="2:44">
      <c r="E39" s="210"/>
      <c r="F39" s="9"/>
      <c r="G39" s="9"/>
      <c r="H39" s="9"/>
      <c r="I39" s="9"/>
      <c r="J39" s="9"/>
      <c r="K39" s="9"/>
      <c r="L39" s="9"/>
      <c r="M39" s="210"/>
      <c r="V39" s="210"/>
      <c r="AQ39" s="210"/>
    </row>
    <row r="40" spans="2:44">
      <c r="B40" s="181"/>
      <c r="E40" s="210"/>
      <c r="F40" s="9"/>
      <c r="G40" s="9"/>
      <c r="H40" s="9"/>
      <c r="I40" s="9"/>
      <c r="J40" s="9"/>
      <c r="K40" s="9"/>
      <c r="L40" s="9"/>
      <c r="M40" s="210"/>
      <c r="V40" s="210"/>
      <c r="AQ40" s="210"/>
    </row>
    <row r="41" spans="2:44">
      <c r="E41" s="210"/>
      <c r="F41" s="9"/>
      <c r="G41" s="9"/>
      <c r="H41" s="9"/>
      <c r="I41" s="9"/>
      <c r="J41" s="9"/>
      <c r="K41" s="9"/>
      <c r="L41" s="9"/>
      <c r="M41" s="210"/>
      <c r="V41" s="210"/>
      <c r="AQ41" s="210"/>
    </row>
    <row r="42" spans="2:44">
      <c r="E42" s="210"/>
      <c r="F42" s="9"/>
      <c r="G42" s="9"/>
      <c r="H42" s="9"/>
      <c r="I42" s="9"/>
      <c r="J42" s="9"/>
      <c r="K42" s="9"/>
      <c r="L42" s="9"/>
      <c r="M42" s="210"/>
      <c r="V42" s="210"/>
      <c r="AQ42" s="210"/>
    </row>
    <row r="43" spans="2:44">
      <c r="B43" s="95" t="s">
        <v>3089</v>
      </c>
      <c r="C43" s="22"/>
      <c r="D43" s="22"/>
      <c r="E43" s="210"/>
      <c r="F43" s="23"/>
      <c r="G43" s="23"/>
      <c r="H43" s="23"/>
      <c r="I43" s="23"/>
      <c r="J43" s="23"/>
      <c r="K43" s="23"/>
      <c r="L43" s="23"/>
      <c r="M43" s="210"/>
      <c r="N43" s="95" t="s">
        <v>3090</v>
      </c>
      <c r="V43" s="210"/>
      <c r="AQ43" s="210"/>
    </row>
    <row r="44" spans="2:44" s="22" customFormat="1">
      <c r="B44" s="22" t="s">
        <v>1970</v>
      </c>
      <c r="C44" s="22" t="s">
        <v>1971</v>
      </c>
      <c r="E44" s="210"/>
      <c r="F44" s="23">
        <v>1</v>
      </c>
      <c r="G44" s="23"/>
      <c r="H44" s="23"/>
      <c r="I44" s="23"/>
      <c r="J44" s="23"/>
      <c r="K44" s="23"/>
      <c r="L44" s="23">
        <v>1</v>
      </c>
      <c r="M44" s="210"/>
      <c r="N44" s="22" t="s">
        <v>1972</v>
      </c>
      <c r="O44" s="22" t="s">
        <v>1969</v>
      </c>
      <c r="V44" s="210"/>
      <c r="X44" s="22" t="s">
        <v>1967</v>
      </c>
      <c r="Y44" s="23">
        <v>1</v>
      </c>
      <c r="AQ44" s="210"/>
    </row>
    <row r="45" spans="2:44" s="22" customFormat="1">
      <c r="B45" s="22" t="s">
        <v>1973</v>
      </c>
      <c r="C45" s="22" t="s">
        <v>1974</v>
      </c>
      <c r="E45" s="210"/>
      <c r="F45" s="23"/>
      <c r="G45" s="23"/>
      <c r="H45" s="23"/>
      <c r="I45" s="23"/>
      <c r="J45" s="23">
        <v>1</v>
      </c>
      <c r="K45" s="23"/>
      <c r="L45" s="23"/>
      <c r="M45" s="210"/>
      <c r="N45" s="22" t="s">
        <v>1975</v>
      </c>
      <c r="O45" s="22" t="s">
        <v>2024</v>
      </c>
      <c r="Q45" s="7" t="s">
        <v>2018</v>
      </c>
      <c r="R45" s="7" t="s">
        <v>419</v>
      </c>
      <c r="V45" s="210"/>
      <c r="X45" s="22" t="s">
        <v>1958</v>
      </c>
      <c r="Y45" s="23">
        <v>1</v>
      </c>
      <c r="AQ45" s="210"/>
    </row>
    <row r="46" spans="2:44" s="22" customFormat="1">
      <c r="B46" s="22" t="s">
        <v>1976</v>
      </c>
      <c r="C46" s="22" t="s">
        <v>1977</v>
      </c>
      <c r="E46" s="210"/>
      <c r="F46" s="23"/>
      <c r="G46" s="23"/>
      <c r="H46" s="23"/>
      <c r="I46" s="23"/>
      <c r="J46" s="23">
        <v>1</v>
      </c>
      <c r="K46" s="23"/>
      <c r="L46" s="23"/>
      <c r="M46" s="210"/>
      <c r="N46" s="22" t="s">
        <v>1978</v>
      </c>
      <c r="O46" s="22" t="s">
        <v>2025</v>
      </c>
      <c r="Q46" s="22" t="s">
        <v>2019</v>
      </c>
      <c r="R46" s="22" t="s">
        <v>519</v>
      </c>
      <c r="V46" s="210"/>
      <c r="X46" s="22" t="s">
        <v>1961</v>
      </c>
      <c r="Y46" s="23">
        <v>1</v>
      </c>
      <c r="AQ46" s="210"/>
    </row>
    <row r="47" spans="2:44" s="22" customFormat="1">
      <c r="B47" s="22" t="s">
        <v>1742</v>
      </c>
      <c r="C47" s="22" t="s">
        <v>1977</v>
      </c>
      <c r="E47" s="210"/>
      <c r="F47" s="23"/>
      <c r="G47" s="23"/>
      <c r="H47" s="23"/>
      <c r="I47" s="23"/>
      <c r="J47" s="23"/>
      <c r="K47" s="23"/>
      <c r="L47" s="23">
        <v>1</v>
      </c>
      <c r="M47" s="210"/>
      <c r="N47" s="22" t="s">
        <v>1978</v>
      </c>
      <c r="O47" s="22" t="s">
        <v>2025</v>
      </c>
      <c r="Q47" s="22" t="s">
        <v>2019</v>
      </c>
      <c r="R47" s="22" t="s">
        <v>519</v>
      </c>
      <c r="V47" s="210"/>
      <c r="X47" s="22" t="s">
        <v>1962</v>
      </c>
      <c r="Y47" s="23">
        <v>1</v>
      </c>
      <c r="AQ47" s="210"/>
    </row>
    <row r="48" spans="2:44" s="22" customFormat="1">
      <c r="B48" s="22" t="s">
        <v>598</v>
      </c>
      <c r="C48" s="22" t="s">
        <v>2046</v>
      </c>
      <c r="E48" s="210"/>
      <c r="F48" s="23">
        <v>1</v>
      </c>
      <c r="G48" s="23"/>
      <c r="H48" s="23"/>
      <c r="I48" s="23"/>
      <c r="J48" s="23"/>
      <c r="K48" s="23"/>
      <c r="L48" s="23"/>
      <c r="M48" s="210"/>
      <c r="N48" s="22" t="s">
        <v>1979</v>
      </c>
      <c r="O48" s="22" t="s">
        <v>1969</v>
      </c>
      <c r="V48" s="210"/>
      <c r="X48" s="22" t="s">
        <v>1963</v>
      </c>
      <c r="Y48" s="23">
        <v>1</v>
      </c>
      <c r="AQ48" s="210"/>
    </row>
    <row r="49" spans="1:43" s="22" customFormat="1">
      <c r="B49" s="22" t="s">
        <v>514</v>
      </c>
      <c r="C49" s="22" t="s">
        <v>1980</v>
      </c>
      <c r="E49" s="210"/>
      <c r="F49" s="23">
        <v>1</v>
      </c>
      <c r="G49" s="23"/>
      <c r="H49" s="23"/>
      <c r="I49" s="23"/>
      <c r="J49" s="23"/>
      <c r="K49" s="23"/>
      <c r="L49" s="23"/>
      <c r="M49" s="210"/>
      <c r="N49" s="22" t="s">
        <v>1981</v>
      </c>
      <c r="O49" s="22" t="s">
        <v>1969</v>
      </c>
      <c r="V49" s="210"/>
      <c r="X49" s="22" t="s">
        <v>1968</v>
      </c>
      <c r="Y49" s="23">
        <v>1</v>
      </c>
      <c r="AQ49" s="210"/>
    </row>
    <row r="50" spans="1:43" s="22" customFormat="1">
      <c r="B50" s="22" t="s">
        <v>1745</v>
      </c>
      <c r="C50" s="22" t="s">
        <v>1761</v>
      </c>
      <c r="E50" s="210"/>
      <c r="F50" s="23">
        <v>1</v>
      </c>
      <c r="G50" s="23"/>
      <c r="H50" s="23"/>
      <c r="I50" s="23"/>
      <c r="J50" s="23"/>
      <c r="K50" s="23"/>
      <c r="L50" s="23"/>
      <c r="M50" s="210"/>
      <c r="N50" s="22" t="s">
        <v>1983</v>
      </c>
      <c r="O50" s="22" t="s">
        <v>2026</v>
      </c>
      <c r="Q50" s="22" t="s">
        <v>2020</v>
      </c>
      <c r="R50" s="22" t="s">
        <v>333</v>
      </c>
      <c r="V50" s="210"/>
      <c r="X50" s="22" t="s">
        <v>1965</v>
      </c>
      <c r="Y50" s="23">
        <v>1</v>
      </c>
      <c r="AQ50" s="210"/>
    </row>
    <row r="51" spans="1:43" s="22" customFormat="1">
      <c r="B51" s="22" t="s">
        <v>1982</v>
      </c>
      <c r="C51" s="22" t="s">
        <v>1761</v>
      </c>
      <c r="E51" s="210"/>
      <c r="F51" s="23">
        <v>1</v>
      </c>
      <c r="G51" s="23"/>
      <c r="H51" s="23"/>
      <c r="I51" s="23"/>
      <c r="J51" s="23"/>
      <c r="K51" s="23"/>
      <c r="L51" s="23">
        <v>1</v>
      </c>
      <c r="M51" s="210"/>
      <c r="N51" s="22" t="s">
        <v>1983</v>
      </c>
      <c r="O51" s="22" t="s">
        <v>2026</v>
      </c>
      <c r="Q51" s="22" t="s">
        <v>2020</v>
      </c>
      <c r="R51" s="22" t="s">
        <v>333</v>
      </c>
      <c r="V51" s="210"/>
      <c r="X51" s="22" t="s">
        <v>1966</v>
      </c>
      <c r="Y51" s="23">
        <v>1</v>
      </c>
      <c r="AQ51" s="210"/>
    </row>
    <row r="52" spans="1:43" s="22" customFormat="1">
      <c r="B52" s="22" t="s">
        <v>1984</v>
      </c>
      <c r="C52" s="22" t="s">
        <v>1985</v>
      </c>
      <c r="E52" s="210"/>
      <c r="F52" s="23"/>
      <c r="G52" s="23"/>
      <c r="H52" s="23">
        <v>1</v>
      </c>
      <c r="I52" s="23"/>
      <c r="J52" s="23"/>
      <c r="K52" s="23"/>
      <c r="L52" s="23"/>
      <c r="M52" s="210"/>
      <c r="N52" s="22" t="s">
        <v>1987</v>
      </c>
      <c r="O52" s="22" t="s">
        <v>2027</v>
      </c>
      <c r="Q52" s="22" t="s">
        <v>2021</v>
      </c>
      <c r="R52" s="22" t="s">
        <v>333</v>
      </c>
      <c r="V52" s="210"/>
      <c r="X52" s="22" t="s">
        <v>1959</v>
      </c>
      <c r="Y52" s="23">
        <v>1</v>
      </c>
      <c r="AQ52" s="210"/>
    </row>
    <row r="53" spans="1:43" s="22" customFormat="1">
      <c r="B53" s="22" t="s">
        <v>1986</v>
      </c>
      <c r="C53" s="22" t="s">
        <v>1985</v>
      </c>
      <c r="E53" s="210"/>
      <c r="F53" s="23"/>
      <c r="G53" s="23"/>
      <c r="H53" s="23">
        <v>1</v>
      </c>
      <c r="I53" s="23"/>
      <c r="J53" s="23"/>
      <c r="K53" s="23"/>
      <c r="L53" s="23">
        <v>1</v>
      </c>
      <c r="M53" s="210"/>
      <c r="N53" s="22" t="s">
        <v>1987</v>
      </c>
      <c r="O53" s="22" t="s">
        <v>2027</v>
      </c>
      <c r="Q53" s="22" t="s">
        <v>2021</v>
      </c>
      <c r="R53" s="22" t="s">
        <v>333</v>
      </c>
      <c r="V53" s="210"/>
      <c r="Y53" s="23"/>
      <c r="AQ53" s="210"/>
    </row>
    <row r="54" spans="1:43" s="22" customFormat="1">
      <c r="B54" s="22" t="s">
        <v>1009</v>
      </c>
      <c r="C54" s="22" t="s">
        <v>1988</v>
      </c>
      <c r="E54" s="210"/>
      <c r="F54" s="23"/>
      <c r="G54" s="23"/>
      <c r="H54" s="23"/>
      <c r="I54" s="23"/>
      <c r="J54" s="23">
        <v>1</v>
      </c>
      <c r="K54" s="23"/>
      <c r="L54" s="23"/>
      <c r="M54" s="210"/>
      <c r="N54" s="22" t="s">
        <v>1989</v>
      </c>
      <c r="O54" s="22" t="s">
        <v>2028</v>
      </c>
      <c r="Q54" s="22" t="s">
        <v>2022</v>
      </c>
      <c r="R54" s="22" t="s">
        <v>67</v>
      </c>
      <c r="V54" s="210"/>
      <c r="X54" s="22" t="s">
        <v>1957</v>
      </c>
      <c r="Y54" s="23">
        <v>1</v>
      </c>
      <c r="AQ54" s="210"/>
    </row>
    <row r="55" spans="1:43" s="22" customFormat="1">
      <c r="B55" s="22" t="s">
        <v>1990</v>
      </c>
      <c r="C55" s="22" t="s">
        <v>1991</v>
      </c>
      <c r="E55" s="210"/>
      <c r="F55" s="23"/>
      <c r="G55" s="23"/>
      <c r="H55" s="23"/>
      <c r="I55" s="23"/>
      <c r="J55" s="23">
        <v>1</v>
      </c>
      <c r="K55" s="23"/>
      <c r="L55" s="23"/>
      <c r="M55" s="210"/>
      <c r="N55" s="22" t="s">
        <v>1992</v>
      </c>
      <c r="O55" s="22" t="s">
        <v>2029</v>
      </c>
      <c r="Q55" s="22" t="s">
        <v>1246</v>
      </c>
      <c r="R55" s="22" t="s">
        <v>510</v>
      </c>
      <c r="V55" s="210"/>
      <c r="X55" s="22" t="s">
        <v>1960</v>
      </c>
      <c r="Y55" s="23">
        <v>1</v>
      </c>
      <c r="AQ55" s="210"/>
    </row>
    <row r="56" spans="1:43" s="22" customFormat="1">
      <c r="B56" s="22" t="s">
        <v>1745</v>
      </c>
      <c r="C56" s="22" t="s">
        <v>1993</v>
      </c>
      <c r="E56" s="210"/>
      <c r="F56" s="23"/>
      <c r="G56" s="23"/>
      <c r="H56" s="23"/>
      <c r="I56" s="23"/>
      <c r="J56" s="23">
        <v>1</v>
      </c>
      <c r="K56" s="23"/>
      <c r="L56" s="23"/>
      <c r="M56" s="210"/>
      <c r="N56" s="22" t="s">
        <v>1994</v>
      </c>
      <c r="O56" s="22" t="s">
        <v>2030</v>
      </c>
      <c r="Q56" s="22" t="s">
        <v>2023</v>
      </c>
      <c r="R56" s="22" t="s">
        <v>300</v>
      </c>
      <c r="V56" s="210"/>
      <c r="X56" s="22" t="s">
        <v>1964</v>
      </c>
      <c r="Y56" s="23">
        <v>1</v>
      </c>
      <c r="AQ56" s="210"/>
    </row>
    <row r="57" spans="1:43" s="22" customFormat="1">
      <c r="B57" s="22" t="s">
        <v>1995</v>
      </c>
      <c r="C57" s="22" t="s">
        <v>1996</v>
      </c>
      <c r="E57" s="210"/>
      <c r="F57" s="23"/>
      <c r="G57" s="23"/>
      <c r="H57" s="23"/>
      <c r="I57" s="23"/>
      <c r="J57" s="23"/>
      <c r="K57" s="23"/>
      <c r="L57" s="23">
        <v>1</v>
      </c>
      <c r="M57" s="210"/>
      <c r="N57" s="22" t="s">
        <v>1997</v>
      </c>
      <c r="O57" s="22" t="s">
        <v>2031</v>
      </c>
      <c r="Q57" s="22" t="s">
        <v>2001</v>
      </c>
      <c r="R57" s="22" t="s">
        <v>632</v>
      </c>
      <c r="V57" s="210"/>
      <c r="X57" s="22" t="s">
        <v>1956</v>
      </c>
      <c r="Y57" s="23">
        <v>1</v>
      </c>
      <c r="AQ57" s="210"/>
    </row>
    <row r="58" spans="1:43" s="22" customFormat="1">
      <c r="Y58" s="23"/>
    </row>
    <row r="59" spans="1:43" s="22" customFormat="1" ht="19">
      <c r="A59" s="87"/>
      <c r="B59" s="87" t="s">
        <v>684</v>
      </c>
      <c r="C59" s="87"/>
      <c r="D59" s="87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4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</row>
    <row r="60" spans="1:43" s="4" customFormat="1">
      <c r="N60"/>
      <c r="Q60"/>
      <c r="Y60" s="6"/>
    </row>
    <row r="63" spans="1:43">
      <c r="N63"/>
    </row>
    <row r="64" spans="1:43">
      <c r="N64"/>
      <c r="Q64"/>
    </row>
  </sheetData>
  <sortState xmlns:xlrd2="http://schemas.microsoft.com/office/spreadsheetml/2017/richdata2" ref="A44:YB65">
    <sortCondition ref="N44:N6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0835-0D16-B548-BAD0-49149B71C1CF}">
  <dimension ref="A1:AT82"/>
  <sheetViews>
    <sheetView workbookViewId="0">
      <selection activeCell="N5" sqref="N5"/>
    </sheetView>
  </sheetViews>
  <sheetFormatPr baseColWidth="10" defaultRowHeight="16"/>
  <cols>
    <col min="1" max="1" width="10.83203125" style="7"/>
    <col min="2" max="2" width="16.83203125" style="7" bestFit="1" customWidth="1"/>
    <col min="3" max="3" width="11.5" style="7" bestFit="1" customWidth="1"/>
    <col min="4" max="5" width="5.83203125" style="7" customWidth="1"/>
    <col min="6" max="6" width="8.6640625" style="7" customWidth="1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24.1640625" style="7" customWidth="1"/>
    <col min="15" max="15" width="27.6640625" style="7" bestFit="1" customWidth="1"/>
    <col min="16" max="16" width="27" style="7" bestFit="1" customWidth="1"/>
    <col min="17" max="17" width="18.33203125" style="7" bestFit="1" customWidth="1"/>
    <col min="18" max="18" width="7.1640625" style="7" bestFit="1" customWidth="1"/>
    <col min="19" max="19" width="6.1640625" style="7" bestFit="1" customWidth="1"/>
    <col min="20" max="20" width="12.5" style="7" bestFit="1" customWidth="1"/>
    <col min="21" max="21" width="10.5" style="7" bestFit="1" customWidth="1"/>
    <col min="22" max="22" width="5.83203125" style="7" customWidth="1"/>
    <col min="23" max="23" width="34.6640625" style="7" bestFit="1" customWidth="1"/>
    <col min="24" max="24" width="9.33203125" style="7" bestFit="1" customWidth="1"/>
    <col min="25" max="25" width="5.33203125" style="7" bestFit="1" customWidth="1"/>
    <col min="26" max="26" width="9.33203125" style="7" bestFit="1" customWidth="1"/>
    <col min="27" max="27" width="5.33203125" style="7" bestFit="1" customWidth="1"/>
    <col min="28" max="30" width="9.5" style="7" bestFit="1" customWidth="1"/>
    <col min="31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10.5" style="7" bestFit="1" customWidth="1"/>
    <col min="45" max="45" width="11.6640625" style="7" bestFit="1" customWidth="1"/>
    <col min="46" max="46" width="11" style="7" bestFit="1" customWidth="1"/>
    <col min="47" max="16384" width="10.83203125" style="7"/>
  </cols>
  <sheetData>
    <row r="1" spans="2:43" customFormat="1">
      <c r="C1" s="32"/>
      <c r="D1" s="32"/>
      <c r="E1" s="32"/>
      <c r="G1" s="32"/>
      <c r="M1" s="32"/>
      <c r="V1" s="32"/>
      <c r="AQ1" s="32"/>
    </row>
    <row r="2" spans="2:43" s="1" customFormat="1" ht="21">
      <c r="B2" s="1" t="s">
        <v>1345</v>
      </c>
      <c r="C2" s="33"/>
      <c r="D2" s="33"/>
      <c r="E2" s="33"/>
      <c r="F2" s="1" t="s">
        <v>1365</v>
      </c>
      <c r="G2" s="33"/>
      <c r="M2" s="33"/>
      <c r="V2" s="33"/>
      <c r="AQ2" s="33"/>
    </row>
    <row r="3" spans="2:43" s="1" customFormat="1" ht="21">
      <c r="C3" s="33"/>
      <c r="D3" s="33"/>
      <c r="E3" s="33"/>
      <c r="G3" s="33"/>
      <c r="M3" s="33"/>
      <c r="V3" s="33"/>
      <c r="AQ3" s="33"/>
    </row>
    <row r="4" spans="2:43" s="1" customFormat="1" ht="21">
      <c r="C4" s="33"/>
      <c r="D4" s="33"/>
      <c r="E4" s="33"/>
      <c r="G4" s="33"/>
      <c r="M4" s="33"/>
      <c r="V4" s="33"/>
      <c r="AQ4" s="33"/>
    </row>
    <row r="5" spans="2:43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</row>
    <row r="6" spans="2:43" s="4" customFormat="1">
      <c r="N6" s="55"/>
    </row>
    <row r="7" spans="2:43" ht="21">
      <c r="N7" s="82" t="s">
        <v>6</v>
      </c>
    </row>
    <row r="8" spans="2:43">
      <c r="N8" s="7" t="s">
        <v>3167</v>
      </c>
      <c r="P8" s="7" t="s">
        <v>3188</v>
      </c>
    </row>
    <row r="9" spans="2:43">
      <c r="N9" s="7" t="s">
        <v>3168</v>
      </c>
    </row>
    <row r="11" spans="2:43">
      <c r="N11" s="12" t="s">
        <v>3169</v>
      </c>
      <c r="O11" s="84"/>
    </row>
    <row r="14" spans="2:43" ht="21">
      <c r="N14" s="207" t="s">
        <v>3094</v>
      </c>
    </row>
    <row r="15" spans="2:43">
      <c r="N15" s="7" t="s">
        <v>3091</v>
      </c>
    </row>
    <row r="19" spans="1:46" s="16" customFormat="1" ht="21">
      <c r="A19" s="15"/>
      <c r="D19" s="15"/>
      <c r="E19" s="15"/>
      <c r="G19" s="15"/>
      <c r="H19" s="15"/>
      <c r="I19" s="15"/>
      <c r="J19" s="15"/>
      <c r="K19" s="15"/>
      <c r="L19" s="15"/>
      <c r="M19" s="15"/>
      <c r="N19" s="17"/>
      <c r="O19" s="17"/>
      <c r="S19" s="17"/>
      <c r="T19" s="15"/>
      <c r="U19" s="15"/>
      <c r="V19" s="15"/>
      <c r="X19" s="18"/>
      <c r="Y19" s="15"/>
      <c r="Z19" s="15"/>
      <c r="AA19" s="15"/>
      <c r="AB19" s="17"/>
      <c r="AC19" s="15"/>
      <c r="AD19" s="15"/>
      <c r="AE19" s="15"/>
      <c r="AF19" s="17"/>
      <c r="AG19" s="15"/>
      <c r="AH19" s="15"/>
      <c r="AI19" s="17"/>
      <c r="AJ19" s="15"/>
      <c r="AK19" s="17"/>
      <c r="AL19" s="15"/>
      <c r="AM19" s="15"/>
      <c r="AQ19" s="15"/>
    </row>
    <row r="20" spans="1:46" s="16" customFormat="1" ht="21">
      <c r="A20" s="15"/>
      <c r="D20" s="15"/>
      <c r="E20" s="15"/>
      <c r="F20" s="17" t="s">
        <v>2054</v>
      </c>
      <c r="G20" s="15"/>
      <c r="H20" s="15"/>
      <c r="I20" s="15"/>
      <c r="J20" s="15"/>
      <c r="K20" s="15"/>
      <c r="L20" s="15"/>
      <c r="M20" s="15"/>
      <c r="N20" s="17"/>
      <c r="O20" s="17"/>
      <c r="S20" s="17"/>
      <c r="T20" s="15"/>
      <c r="U20" s="15"/>
      <c r="V20" s="15"/>
      <c r="X20" s="18"/>
      <c r="Y20" s="15"/>
      <c r="Z20" s="15"/>
      <c r="AA20" s="15"/>
      <c r="AB20" s="17"/>
      <c r="AC20" s="15"/>
      <c r="AD20" s="15"/>
      <c r="AE20" s="15"/>
      <c r="AF20" s="17"/>
      <c r="AG20" s="15"/>
      <c r="AH20" s="15"/>
      <c r="AI20" s="17"/>
      <c r="AJ20" s="15"/>
      <c r="AK20" s="17"/>
      <c r="AL20" s="15"/>
      <c r="AM20" s="15"/>
      <c r="AQ20" s="15"/>
    </row>
    <row r="21" spans="1:46" s="16" customFormat="1" ht="21">
      <c r="A21" s="15"/>
      <c r="D21" s="15"/>
      <c r="E21" s="15"/>
      <c r="F21" s="17" t="s">
        <v>17</v>
      </c>
      <c r="G21" s="15"/>
      <c r="H21" s="15"/>
      <c r="I21" s="15"/>
      <c r="J21" s="15"/>
      <c r="K21" s="15"/>
      <c r="L21" s="15"/>
      <c r="M21" s="15"/>
      <c r="N21" s="17"/>
      <c r="O21" s="17"/>
      <c r="S21" s="17"/>
      <c r="T21" s="15"/>
      <c r="U21" s="15"/>
      <c r="V21" s="15"/>
      <c r="X21" s="18"/>
      <c r="Y21" s="15"/>
      <c r="Z21" s="15"/>
      <c r="AA21" s="15"/>
      <c r="AB21" s="17"/>
      <c r="AC21" s="15"/>
      <c r="AD21" s="15"/>
      <c r="AE21" s="15"/>
      <c r="AF21" s="17"/>
      <c r="AG21" s="15"/>
      <c r="AH21" s="15"/>
      <c r="AI21" s="17"/>
      <c r="AJ21" s="15"/>
      <c r="AK21" s="17"/>
      <c r="AL21" s="15"/>
      <c r="AM21" s="15"/>
      <c r="AQ21" s="15"/>
    </row>
    <row r="22" spans="1:46" s="16" customFormat="1" ht="21">
      <c r="A22" s="15"/>
      <c r="B22" s="16" t="s">
        <v>18</v>
      </c>
      <c r="C22" s="16" t="s">
        <v>19</v>
      </c>
      <c r="D22" s="15"/>
      <c r="E22" s="15"/>
      <c r="F22" s="15" t="s">
        <v>20</v>
      </c>
      <c r="G22" s="15"/>
      <c r="H22" s="15"/>
      <c r="I22" s="15"/>
      <c r="J22" s="15"/>
      <c r="K22" s="15"/>
      <c r="L22" s="15"/>
      <c r="M22" s="15"/>
      <c r="N22" s="17"/>
      <c r="O22" s="17"/>
      <c r="S22" s="17"/>
      <c r="T22" s="15"/>
      <c r="U22" s="15"/>
      <c r="V22" s="15"/>
      <c r="X22" s="18"/>
      <c r="Y22" s="15"/>
      <c r="Z22" s="15"/>
      <c r="AA22" s="15"/>
      <c r="AB22" s="17"/>
      <c r="AC22" s="15" t="s">
        <v>21</v>
      </c>
      <c r="AD22" s="15" t="s">
        <v>21</v>
      </c>
      <c r="AE22" s="15" t="s">
        <v>21</v>
      </c>
      <c r="AF22" s="17"/>
      <c r="AG22" s="15" t="s">
        <v>22</v>
      </c>
      <c r="AH22" s="15" t="s">
        <v>22</v>
      </c>
      <c r="AI22" s="17"/>
      <c r="AJ22" s="15"/>
      <c r="AK22" s="17"/>
      <c r="AL22" s="15" t="s">
        <v>23</v>
      </c>
      <c r="AM22" s="15" t="s">
        <v>23</v>
      </c>
      <c r="AN22" s="15" t="s">
        <v>24</v>
      </c>
      <c r="AO22" s="15"/>
      <c r="AQ22" s="15"/>
    </row>
    <row r="23" spans="1:46" s="20" customFormat="1" ht="22" thickBot="1">
      <c r="A23" s="19"/>
      <c r="B23" s="20" t="s">
        <v>25</v>
      </c>
      <c r="C23" s="20" t="s">
        <v>25</v>
      </c>
      <c r="D23" s="19"/>
      <c r="E23" s="19"/>
      <c r="F23" s="19" t="s">
        <v>26</v>
      </c>
      <c r="G23" s="19" t="s">
        <v>27</v>
      </c>
      <c r="H23" s="19" t="s">
        <v>28</v>
      </c>
      <c r="I23" s="19" t="s">
        <v>29</v>
      </c>
      <c r="J23" s="19" t="s">
        <v>14</v>
      </c>
      <c r="K23" s="19" t="s">
        <v>24</v>
      </c>
      <c r="L23" s="19" t="s">
        <v>30</v>
      </c>
      <c r="M23" s="19"/>
      <c r="N23" s="21" t="s">
        <v>31</v>
      </c>
      <c r="O23" s="21" t="s">
        <v>962</v>
      </c>
      <c r="P23" s="20" t="s">
        <v>32</v>
      </c>
      <c r="Q23" s="20" t="s">
        <v>33</v>
      </c>
      <c r="R23" s="20" t="s">
        <v>34</v>
      </c>
      <c r="S23" s="21" t="s">
        <v>35</v>
      </c>
      <c r="T23" s="21" t="s">
        <v>118</v>
      </c>
      <c r="U23" s="21" t="s">
        <v>119</v>
      </c>
      <c r="V23" s="19"/>
      <c r="W23" s="20" t="s">
        <v>37</v>
      </c>
      <c r="X23" s="21" t="s">
        <v>38</v>
      </c>
      <c r="Y23" s="19" t="s">
        <v>39</v>
      </c>
      <c r="Z23" s="21" t="s">
        <v>40</v>
      </c>
      <c r="AA23" s="19" t="s">
        <v>39</v>
      </c>
      <c r="AB23" s="21" t="s">
        <v>21</v>
      </c>
      <c r="AC23" s="19" t="s">
        <v>41</v>
      </c>
      <c r="AD23" s="19" t="s">
        <v>39</v>
      </c>
      <c r="AE23" s="19" t="s">
        <v>42</v>
      </c>
      <c r="AF23" s="21" t="s">
        <v>22</v>
      </c>
      <c r="AG23" s="19" t="s">
        <v>39</v>
      </c>
      <c r="AH23" s="19" t="s">
        <v>43</v>
      </c>
      <c r="AI23" s="21" t="s">
        <v>44</v>
      </c>
      <c r="AJ23" s="19" t="s">
        <v>39</v>
      </c>
      <c r="AK23" s="21" t="s">
        <v>23</v>
      </c>
      <c r="AL23" s="19" t="s">
        <v>39</v>
      </c>
      <c r="AM23" s="19" t="s">
        <v>42</v>
      </c>
      <c r="AN23" s="19" t="s">
        <v>45</v>
      </c>
      <c r="AO23" s="20" t="s">
        <v>39</v>
      </c>
      <c r="AP23" s="19" t="s">
        <v>42</v>
      </c>
      <c r="AQ23" s="19"/>
      <c r="AR23" s="20" t="s">
        <v>46</v>
      </c>
    </row>
    <row r="24" spans="1:46">
      <c r="E24" s="210"/>
      <c r="F24" s="9"/>
      <c r="G24" s="9"/>
      <c r="H24" s="9"/>
      <c r="I24" s="9"/>
      <c r="J24" s="9"/>
      <c r="K24" s="9"/>
      <c r="L24" s="9"/>
      <c r="M24" s="210"/>
      <c r="V24" s="210"/>
      <c r="AQ24" s="210"/>
    </row>
    <row r="25" spans="1:46" s="22" customFormat="1">
      <c r="B25" s="22" t="s">
        <v>47</v>
      </c>
      <c r="C25" s="22" t="s">
        <v>1799</v>
      </c>
      <c r="E25" s="210"/>
      <c r="F25" s="23">
        <v>1</v>
      </c>
      <c r="G25" s="23"/>
      <c r="H25" s="23"/>
      <c r="I25" s="23"/>
      <c r="J25" s="23"/>
      <c r="K25" s="23"/>
      <c r="L25" s="23"/>
      <c r="M25" s="210"/>
      <c r="N25" s="22" t="s">
        <v>3096</v>
      </c>
      <c r="O25" s="22" t="s">
        <v>1777</v>
      </c>
      <c r="P25" s="22" t="s">
        <v>1904</v>
      </c>
      <c r="Q25" s="22" t="s">
        <v>1903</v>
      </c>
      <c r="R25" s="22" t="s">
        <v>551</v>
      </c>
      <c r="S25" s="22">
        <v>34212</v>
      </c>
      <c r="V25" s="210"/>
      <c r="W25" s="22" t="s">
        <v>1843</v>
      </c>
      <c r="AQ25" s="210"/>
      <c r="AR25" s="22" t="s">
        <v>1880</v>
      </c>
      <c r="AT25" s="22" t="s">
        <v>1844</v>
      </c>
    </row>
    <row r="26" spans="1:46" s="22" customFormat="1">
      <c r="B26" s="22" t="s">
        <v>1800</v>
      </c>
      <c r="C26" s="22" t="s">
        <v>1814</v>
      </c>
      <c r="E26" s="210"/>
      <c r="F26" s="23">
        <v>1</v>
      </c>
      <c r="G26" s="23"/>
      <c r="H26" s="23"/>
      <c r="I26" s="23"/>
      <c r="J26" s="23"/>
      <c r="K26" s="23"/>
      <c r="L26" s="23"/>
      <c r="M26" s="210"/>
      <c r="N26" s="22" t="s">
        <v>3096</v>
      </c>
      <c r="O26" s="22" t="s">
        <v>1784</v>
      </c>
      <c r="P26" s="22" t="s">
        <v>1919</v>
      </c>
      <c r="Q26" s="22" t="s">
        <v>1905</v>
      </c>
      <c r="R26" s="22" t="s">
        <v>446</v>
      </c>
      <c r="S26" s="22">
        <v>27520</v>
      </c>
      <c r="V26" s="210"/>
      <c r="W26" s="22" t="s">
        <v>1845</v>
      </c>
      <c r="AQ26" s="210"/>
      <c r="AR26" s="22" t="s">
        <v>1881</v>
      </c>
      <c r="AT26" s="22" t="s">
        <v>1848</v>
      </c>
    </row>
    <row r="27" spans="1:46" s="22" customFormat="1">
      <c r="B27" s="22" t="s">
        <v>1801</v>
      </c>
      <c r="C27" s="22" t="s">
        <v>1815</v>
      </c>
      <c r="E27" s="210"/>
      <c r="F27" s="23">
        <v>1</v>
      </c>
      <c r="G27" s="23"/>
      <c r="H27" s="23"/>
      <c r="I27" s="23"/>
      <c r="J27" s="23"/>
      <c r="K27" s="23"/>
      <c r="L27" s="23"/>
      <c r="M27" s="210"/>
      <c r="N27" s="22" t="s">
        <v>3096</v>
      </c>
      <c r="O27" s="22" t="s">
        <v>1779</v>
      </c>
      <c r="P27" s="22" t="s">
        <v>1920</v>
      </c>
      <c r="Q27" s="22" t="s">
        <v>55</v>
      </c>
      <c r="R27" s="22" t="s">
        <v>56</v>
      </c>
      <c r="S27" s="22">
        <v>78626</v>
      </c>
      <c r="V27" s="210"/>
      <c r="W27" s="22" t="s">
        <v>1846</v>
      </c>
      <c r="AQ27" s="210"/>
      <c r="AR27" s="22" t="s">
        <v>1882</v>
      </c>
      <c r="AT27" s="22" t="s">
        <v>1847</v>
      </c>
    </row>
    <row r="28" spans="1:46" s="22" customFormat="1">
      <c r="B28" s="22" t="s">
        <v>1305</v>
      </c>
      <c r="C28" s="22" t="s">
        <v>1816</v>
      </c>
      <c r="E28" s="210"/>
      <c r="F28" s="23">
        <v>1</v>
      </c>
      <c r="G28" s="23"/>
      <c r="H28" s="23"/>
      <c r="I28" s="23"/>
      <c r="J28" s="23"/>
      <c r="K28" s="23"/>
      <c r="L28" s="23"/>
      <c r="M28" s="210"/>
      <c r="N28" s="22" t="s">
        <v>3096</v>
      </c>
      <c r="O28" s="22" t="s">
        <v>1790</v>
      </c>
      <c r="P28" s="22" t="s">
        <v>1921</v>
      </c>
      <c r="Q28" s="22" t="s">
        <v>1906</v>
      </c>
      <c r="R28" s="22" t="s">
        <v>551</v>
      </c>
      <c r="S28" s="22">
        <v>33418</v>
      </c>
      <c r="V28" s="210"/>
      <c r="W28" s="22" t="s">
        <v>1849</v>
      </c>
      <c r="AQ28" s="210"/>
      <c r="AR28" s="22" t="s">
        <v>1883</v>
      </c>
      <c r="AT28" s="22" t="s">
        <v>1850</v>
      </c>
    </row>
    <row r="29" spans="1:46" s="22" customFormat="1">
      <c r="B29" s="22" t="s">
        <v>1802</v>
      </c>
      <c r="C29" s="22" t="s">
        <v>1817</v>
      </c>
      <c r="E29" s="210"/>
      <c r="F29" s="23">
        <v>1</v>
      </c>
      <c r="G29" s="23"/>
      <c r="H29" s="23"/>
      <c r="I29" s="23"/>
      <c r="J29" s="23"/>
      <c r="K29" s="23"/>
      <c r="L29" s="23"/>
      <c r="M29" s="210"/>
      <c r="N29" s="22" t="s">
        <v>3096</v>
      </c>
      <c r="O29" s="22" t="s">
        <v>1796</v>
      </c>
      <c r="P29" s="22" t="s">
        <v>1922</v>
      </c>
      <c r="Q29" s="22" t="s">
        <v>1837</v>
      </c>
      <c r="R29" s="22" t="s">
        <v>510</v>
      </c>
      <c r="S29" s="22">
        <v>98003</v>
      </c>
      <c r="V29" s="210"/>
      <c r="W29" s="22" t="s">
        <v>1851</v>
      </c>
      <c r="AQ29" s="210"/>
      <c r="AR29" s="22" t="s">
        <v>1884</v>
      </c>
      <c r="AT29" s="22" t="s">
        <v>1847</v>
      </c>
    </row>
    <row r="30" spans="1:46" s="22" customFormat="1">
      <c r="B30" s="22" t="s">
        <v>1299</v>
      </c>
      <c r="C30" s="22" t="s">
        <v>1818</v>
      </c>
      <c r="E30" s="210"/>
      <c r="F30" s="23">
        <v>1</v>
      </c>
      <c r="G30" s="23"/>
      <c r="H30" s="23"/>
      <c r="I30" s="23"/>
      <c r="J30" s="23"/>
      <c r="K30" s="23"/>
      <c r="L30" s="23"/>
      <c r="M30" s="210"/>
      <c r="N30" s="22" t="s">
        <v>3096</v>
      </c>
      <c r="O30" s="22" t="s">
        <v>1775</v>
      </c>
      <c r="P30" s="22" t="s">
        <v>1923</v>
      </c>
      <c r="Q30" s="22" t="s">
        <v>1798</v>
      </c>
      <c r="R30" s="22" t="s">
        <v>186</v>
      </c>
      <c r="S30" s="22">
        <v>35210</v>
      </c>
      <c r="V30" s="210"/>
      <c r="W30" s="22" t="s">
        <v>1852</v>
      </c>
      <c r="AQ30" s="210"/>
      <c r="AR30" s="22" t="s">
        <v>1885</v>
      </c>
      <c r="AS30" s="22" t="s">
        <v>1773</v>
      </c>
      <c r="AT30" s="22" t="s">
        <v>1853</v>
      </c>
    </row>
    <row r="31" spans="1:46" s="22" customFormat="1">
      <c r="B31" s="22" t="s">
        <v>1803</v>
      </c>
      <c r="C31" s="37" t="s">
        <v>1819</v>
      </c>
      <c r="E31" s="210"/>
      <c r="F31" s="23">
        <v>1</v>
      </c>
      <c r="G31" s="23"/>
      <c r="H31" s="23"/>
      <c r="I31" s="23"/>
      <c r="K31" s="23"/>
      <c r="L31" s="23"/>
      <c r="M31" s="210"/>
      <c r="N31" s="22" t="s">
        <v>3096</v>
      </c>
      <c r="O31" s="22" t="s">
        <v>1791</v>
      </c>
      <c r="P31" s="22" t="s">
        <v>1924</v>
      </c>
      <c r="Q31" s="22" t="s">
        <v>1907</v>
      </c>
      <c r="R31" s="22" t="s">
        <v>1256</v>
      </c>
      <c r="S31" s="22">
        <v>20879</v>
      </c>
      <c r="V31" s="210"/>
      <c r="W31" s="22" t="s">
        <v>1854</v>
      </c>
      <c r="AQ31" s="210"/>
      <c r="AR31" s="22" t="s">
        <v>284</v>
      </c>
      <c r="AT31" s="22" t="s">
        <v>1847</v>
      </c>
    </row>
    <row r="32" spans="1:46" s="22" customFormat="1">
      <c r="B32" s="22" t="s">
        <v>1804</v>
      </c>
      <c r="C32" s="22" t="s">
        <v>1820</v>
      </c>
      <c r="E32" s="210"/>
      <c r="F32" s="23">
        <v>1</v>
      </c>
      <c r="G32" s="23"/>
      <c r="H32" s="23">
        <v>1</v>
      </c>
      <c r="I32" s="23"/>
      <c r="J32" s="23"/>
      <c r="K32" s="23"/>
      <c r="L32" s="23"/>
      <c r="M32" s="210"/>
      <c r="N32" s="22" t="s">
        <v>3096</v>
      </c>
      <c r="O32" s="22" t="s">
        <v>1788</v>
      </c>
      <c r="P32" s="22" t="s">
        <v>1925</v>
      </c>
      <c r="Q32" s="22" t="s">
        <v>1838</v>
      </c>
      <c r="R32" s="22" t="s">
        <v>300</v>
      </c>
      <c r="S32" s="22">
        <v>92201</v>
      </c>
      <c r="V32" s="210"/>
      <c r="W32" s="22" t="s">
        <v>1855</v>
      </c>
      <c r="AQ32" s="210"/>
      <c r="AR32" s="22" t="s">
        <v>1886</v>
      </c>
      <c r="AT32" s="22" t="s">
        <v>1856</v>
      </c>
    </row>
    <row r="33" spans="2:46" s="22" customFormat="1">
      <c r="B33" s="22" t="s">
        <v>613</v>
      </c>
      <c r="C33" s="22" t="s">
        <v>1821</v>
      </c>
      <c r="E33" s="210"/>
      <c r="F33" s="23">
        <v>1</v>
      </c>
      <c r="G33" s="23"/>
      <c r="H33" s="23"/>
      <c r="I33" s="23"/>
      <c r="J33" s="23"/>
      <c r="K33" s="23"/>
      <c r="L33" s="23"/>
      <c r="M33" s="210"/>
      <c r="N33" s="22" t="s">
        <v>3096</v>
      </c>
      <c r="O33" s="22" t="s">
        <v>1778</v>
      </c>
      <c r="P33" s="22" t="s">
        <v>1926</v>
      </c>
      <c r="Q33" s="22" t="s">
        <v>1913</v>
      </c>
      <c r="R33" s="22" t="s">
        <v>300</v>
      </c>
      <c r="S33" s="22">
        <v>92704</v>
      </c>
      <c r="V33" s="210"/>
      <c r="AQ33" s="210"/>
      <c r="AR33" s="22" t="s">
        <v>1887</v>
      </c>
      <c r="AT33" s="22" t="s">
        <v>1859</v>
      </c>
    </row>
    <row r="34" spans="2:46" s="22" customFormat="1">
      <c r="B34" s="22" t="s">
        <v>1805</v>
      </c>
      <c r="C34" s="22" t="s">
        <v>1822</v>
      </c>
      <c r="E34" s="210"/>
      <c r="F34" s="23">
        <v>1</v>
      </c>
      <c r="G34" s="23"/>
      <c r="H34" s="23"/>
      <c r="I34" s="23"/>
      <c r="J34" s="23"/>
      <c r="K34" s="23"/>
      <c r="L34" s="23"/>
      <c r="M34" s="210"/>
      <c r="N34" s="22" t="s">
        <v>3096</v>
      </c>
      <c r="O34" s="22" t="s">
        <v>1771</v>
      </c>
      <c r="P34" s="22" t="s">
        <v>1797</v>
      </c>
      <c r="Q34" s="22" t="s">
        <v>1798</v>
      </c>
      <c r="R34" s="22" t="s">
        <v>186</v>
      </c>
      <c r="S34" s="22">
        <v>35242</v>
      </c>
      <c r="V34" s="210"/>
      <c r="AQ34" s="210"/>
      <c r="AR34" s="22" t="s">
        <v>1888</v>
      </c>
      <c r="AT34" s="22" t="s">
        <v>1859</v>
      </c>
    </row>
    <row r="35" spans="2:46" s="22" customFormat="1">
      <c r="B35" s="22" t="s">
        <v>366</v>
      </c>
      <c r="C35" s="22" t="s">
        <v>1823</v>
      </c>
      <c r="E35" s="210"/>
      <c r="F35" s="23">
        <v>1</v>
      </c>
      <c r="G35" s="23"/>
      <c r="H35" s="23"/>
      <c r="I35" s="23"/>
      <c r="J35" s="23"/>
      <c r="K35" s="23"/>
      <c r="L35" s="23"/>
      <c r="M35" s="210"/>
      <c r="N35" s="22" t="s">
        <v>3096</v>
      </c>
      <c r="O35" s="22" t="s">
        <v>1776</v>
      </c>
      <c r="P35" s="22" t="s">
        <v>1927</v>
      </c>
      <c r="Q35" s="22" t="s">
        <v>1914</v>
      </c>
      <c r="R35" s="22" t="s">
        <v>371</v>
      </c>
      <c r="S35" s="22">
        <v>70791</v>
      </c>
      <c r="V35" s="210"/>
      <c r="W35" s="22" t="s">
        <v>1857</v>
      </c>
      <c r="AQ35" s="210"/>
      <c r="AR35" s="22" t="s">
        <v>1889</v>
      </c>
      <c r="AS35" s="22" t="s">
        <v>1773</v>
      </c>
      <c r="AT35" s="22" t="s">
        <v>1848</v>
      </c>
    </row>
    <row r="36" spans="2:46" s="22" customFormat="1">
      <c r="B36" s="22" t="s">
        <v>1806</v>
      </c>
      <c r="C36" s="22" t="s">
        <v>1824</v>
      </c>
      <c r="E36" s="210"/>
      <c r="F36" s="23">
        <v>1</v>
      </c>
      <c r="G36" s="23"/>
      <c r="H36" s="23"/>
      <c r="I36" s="23"/>
      <c r="J36" s="23"/>
      <c r="K36" s="23"/>
      <c r="L36" s="23"/>
      <c r="M36" s="210"/>
      <c r="N36" s="22" t="s">
        <v>3096</v>
      </c>
      <c r="O36" s="22" t="s">
        <v>1776</v>
      </c>
      <c r="P36" s="22" t="s">
        <v>1928</v>
      </c>
      <c r="Q36" s="22" t="s">
        <v>1908</v>
      </c>
      <c r="R36" s="22" t="s">
        <v>300</v>
      </c>
      <c r="S36" s="22">
        <v>94531</v>
      </c>
      <c r="V36" s="210"/>
      <c r="W36" s="22" t="s">
        <v>1858</v>
      </c>
      <c r="AQ36" s="210"/>
      <c r="AR36" s="22" t="s">
        <v>1890</v>
      </c>
      <c r="AT36" s="22" t="s">
        <v>1848</v>
      </c>
    </row>
    <row r="37" spans="2:46" s="22" customFormat="1">
      <c r="B37" s="22" t="s">
        <v>1750</v>
      </c>
      <c r="C37" s="22" t="s">
        <v>1825</v>
      </c>
      <c r="E37" s="210"/>
      <c r="F37" s="23">
        <v>1</v>
      </c>
      <c r="G37" s="23"/>
      <c r="H37" s="23"/>
      <c r="I37" s="23"/>
      <c r="J37" s="23"/>
      <c r="K37" s="23"/>
      <c r="L37" s="23"/>
      <c r="M37" s="210"/>
      <c r="N37" s="22" t="s">
        <v>3096</v>
      </c>
      <c r="O37" s="22" t="s">
        <v>1780</v>
      </c>
      <c r="P37" s="22" t="s">
        <v>1929</v>
      </c>
      <c r="Q37" s="22" t="s">
        <v>1909</v>
      </c>
      <c r="R37" s="22" t="s">
        <v>559</v>
      </c>
      <c r="S37" s="22">
        <v>22401</v>
      </c>
      <c r="V37" s="210"/>
      <c r="W37" s="22" t="s">
        <v>1860</v>
      </c>
      <c r="AQ37" s="210"/>
      <c r="AR37" s="22" t="s">
        <v>1891</v>
      </c>
      <c r="AT37" s="22" t="s">
        <v>1861</v>
      </c>
    </row>
    <row r="38" spans="2:46" s="22" customFormat="1">
      <c r="B38" s="22" t="s">
        <v>441</v>
      </c>
      <c r="C38" s="22" t="s">
        <v>1799</v>
      </c>
      <c r="E38" s="210"/>
      <c r="F38" s="23">
        <v>1</v>
      </c>
      <c r="G38" s="23"/>
      <c r="H38" s="23"/>
      <c r="I38" s="23"/>
      <c r="J38" s="23"/>
      <c r="K38" s="23"/>
      <c r="L38" s="23"/>
      <c r="M38" s="210"/>
      <c r="N38" s="22" t="s">
        <v>3096</v>
      </c>
      <c r="O38" s="22" t="s">
        <v>1774</v>
      </c>
      <c r="P38" s="22" t="s">
        <v>1930</v>
      </c>
      <c r="Q38" s="22" t="s">
        <v>1910</v>
      </c>
      <c r="R38" s="22" t="s">
        <v>280</v>
      </c>
      <c r="S38" s="22">
        <v>72034</v>
      </c>
      <c r="V38" s="210"/>
      <c r="W38" s="22" t="s">
        <v>1862</v>
      </c>
      <c r="AQ38" s="210"/>
      <c r="AR38" s="22" t="s">
        <v>1892</v>
      </c>
      <c r="AS38" s="22" t="s">
        <v>1773</v>
      </c>
      <c r="AT38" s="22" t="s">
        <v>1863</v>
      </c>
    </row>
    <row r="39" spans="2:46" s="22" customFormat="1">
      <c r="B39" s="22" t="s">
        <v>1800</v>
      </c>
      <c r="C39" s="22" t="s">
        <v>1826</v>
      </c>
      <c r="E39" s="210"/>
      <c r="F39" s="23">
        <v>1</v>
      </c>
      <c r="G39" s="23"/>
      <c r="H39" s="23"/>
      <c r="I39" s="23"/>
      <c r="J39" s="23"/>
      <c r="K39" s="23"/>
      <c r="L39" s="23"/>
      <c r="M39" s="210"/>
      <c r="N39" s="22" t="s">
        <v>3096</v>
      </c>
      <c r="O39" s="22" t="s">
        <v>1786</v>
      </c>
      <c r="P39" s="22" t="s">
        <v>1931</v>
      </c>
      <c r="Q39" s="22" t="s">
        <v>1911</v>
      </c>
      <c r="R39" s="22" t="s">
        <v>551</v>
      </c>
      <c r="S39" s="22">
        <v>33966</v>
      </c>
      <c r="V39" s="210"/>
      <c r="W39" s="22" t="s">
        <v>1864</v>
      </c>
      <c r="AQ39" s="210"/>
      <c r="AR39" s="22" t="s">
        <v>1893</v>
      </c>
      <c r="AT39" s="22" t="s">
        <v>1865</v>
      </c>
    </row>
    <row r="40" spans="2:46" s="22" customFormat="1">
      <c r="B40" s="22" t="s">
        <v>1807</v>
      </c>
      <c r="C40" s="22" t="s">
        <v>1827</v>
      </c>
      <c r="E40" s="210"/>
      <c r="F40" s="23">
        <v>1</v>
      </c>
      <c r="G40" s="23"/>
      <c r="H40" s="23"/>
      <c r="I40" s="23"/>
      <c r="J40" s="23"/>
      <c r="K40" s="23"/>
      <c r="L40" s="23"/>
      <c r="M40" s="210"/>
      <c r="N40" s="22" t="s">
        <v>3096</v>
      </c>
      <c r="O40" s="22" t="s">
        <v>1795</v>
      </c>
      <c r="P40" s="36" t="s">
        <v>1932</v>
      </c>
      <c r="Q40" s="22" t="s">
        <v>1839</v>
      </c>
      <c r="R40" s="22" t="s">
        <v>300</v>
      </c>
      <c r="T40" s="36" t="s">
        <v>1867</v>
      </c>
      <c r="V40" s="210"/>
      <c r="W40" s="22" t="s">
        <v>1866</v>
      </c>
      <c r="AQ40" s="210"/>
      <c r="AR40" s="22" t="s">
        <v>1894</v>
      </c>
      <c r="AT40" s="22" t="s">
        <v>1848</v>
      </c>
    </row>
    <row r="41" spans="2:46" s="22" customFormat="1">
      <c r="B41" s="22" t="s">
        <v>1808</v>
      </c>
      <c r="C41" s="22" t="s">
        <v>1828</v>
      </c>
      <c r="E41" s="210"/>
      <c r="F41" s="23"/>
      <c r="G41" s="23">
        <v>1</v>
      </c>
      <c r="H41" s="23"/>
      <c r="I41" s="23"/>
      <c r="J41" s="23"/>
      <c r="K41" s="23"/>
      <c r="L41" s="23"/>
      <c r="M41" s="210"/>
      <c r="N41" s="22" t="s">
        <v>3096</v>
      </c>
      <c r="O41" s="22" t="s">
        <v>1782</v>
      </c>
      <c r="P41" s="36" t="s">
        <v>1933</v>
      </c>
      <c r="Q41" s="36" t="s">
        <v>526</v>
      </c>
      <c r="R41" s="22" t="s">
        <v>527</v>
      </c>
      <c r="S41" s="22">
        <v>73114</v>
      </c>
      <c r="V41" s="210"/>
      <c r="W41" s="22" t="s">
        <v>1868</v>
      </c>
      <c r="AQ41" s="210"/>
      <c r="AR41" s="22" t="s">
        <v>1895</v>
      </c>
      <c r="AT41" s="22" t="s">
        <v>1869</v>
      </c>
    </row>
    <row r="42" spans="2:46" s="22" customFormat="1">
      <c r="B42" s="22" t="s">
        <v>1328</v>
      </c>
      <c r="C42" s="22" t="s">
        <v>1829</v>
      </c>
      <c r="E42" s="210"/>
      <c r="F42" s="23">
        <v>1</v>
      </c>
      <c r="G42" s="23"/>
      <c r="H42" s="23"/>
      <c r="I42" s="23"/>
      <c r="J42" s="23"/>
      <c r="K42" s="23"/>
      <c r="L42" s="23"/>
      <c r="M42" s="210"/>
      <c r="N42" s="22" t="s">
        <v>3096</v>
      </c>
      <c r="O42" s="22" t="s">
        <v>1787</v>
      </c>
      <c r="P42" s="36" t="s">
        <v>1934</v>
      </c>
      <c r="Q42" s="36" t="s">
        <v>1915</v>
      </c>
      <c r="R42" s="22" t="s">
        <v>389</v>
      </c>
      <c r="S42" s="22">
        <v>55337</v>
      </c>
      <c r="T42" s="36" t="s">
        <v>1943</v>
      </c>
      <c r="V42" s="210"/>
      <c r="W42" s="22" t="s">
        <v>1870</v>
      </c>
      <c r="AQ42" s="210"/>
      <c r="AR42" s="22" t="s">
        <v>1896</v>
      </c>
      <c r="AT42" s="22" t="s">
        <v>1871</v>
      </c>
    </row>
    <row r="43" spans="2:46" s="22" customFormat="1">
      <c r="B43" s="22" t="s">
        <v>1809</v>
      </c>
      <c r="C43" s="22" t="s">
        <v>348</v>
      </c>
      <c r="E43" s="210"/>
      <c r="F43" s="23">
        <v>1</v>
      </c>
      <c r="G43" s="23"/>
      <c r="H43" s="23"/>
      <c r="I43" s="23"/>
      <c r="J43" s="23"/>
      <c r="K43" s="23"/>
      <c r="L43" s="23"/>
      <c r="M43" s="210"/>
      <c r="N43" s="22" t="s">
        <v>3096</v>
      </c>
      <c r="O43" s="22" t="s">
        <v>1781</v>
      </c>
      <c r="P43" s="22" t="s">
        <v>1935</v>
      </c>
      <c r="Q43" s="22" t="s">
        <v>1912</v>
      </c>
      <c r="R43" s="22" t="s">
        <v>519</v>
      </c>
      <c r="S43" s="22">
        <v>43026</v>
      </c>
      <c r="T43" s="22" t="s">
        <v>1944</v>
      </c>
      <c r="V43" s="210"/>
      <c r="W43" s="22" t="s">
        <v>3097</v>
      </c>
      <c r="AQ43" s="210"/>
      <c r="AR43" s="22" t="s">
        <v>1897</v>
      </c>
      <c r="AT43" s="22" t="s">
        <v>1865</v>
      </c>
    </row>
    <row r="44" spans="2:46" s="22" customFormat="1">
      <c r="B44" s="22" t="s">
        <v>1810</v>
      </c>
      <c r="C44" s="22" t="s">
        <v>1830</v>
      </c>
      <c r="E44" s="210"/>
      <c r="F44" s="23">
        <v>1</v>
      </c>
      <c r="G44" s="23"/>
      <c r="H44" s="23"/>
      <c r="I44" s="23"/>
      <c r="J44" s="23"/>
      <c r="K44" s="23"/>
      <c r="L44" s="23"/>
      <c r="M44" s="210"/>
      <c r="N44" s="22" t="s">
        <v>3096</v>
      </c>
      <c r="O44" s="22" t="s">
        <v>1772</v>
      </c>
      <c r="P44" s="22" t="s">
        <v>1936</v>
      </c>
      <c r="Q44" s="22" t="s">
        <v>1916</v>
      </c>
      <c r="R44" s="22" t="s">
        <v>586</v>
      </c>
      <c r="S44" s="22">
        <v>29464</v>
      </c>
      <c r="V44" s="210"/>
      <c r="W44" s="22" t="s">
        <v>1872</v>
      </c>
      <c r="AQ44" s="210"/>
      <c r="AR44" s="22" t="s">
        <v>1898</v>
      </c>
      <c r="AS44" s="22" t="s">
        <v>1773</v>
      </c>
      <c r="AT44" s="22" t="s">
        <v>1873</v>
      </c>
    </row>
    <row r="45" spans="2:46" s="22" customFormat="1">
      <c r="B45" s="22" t="s">
        <v>1811</v>
      </c>
      <c r="C45" s="22" t="s">
        <v>1831</v>
      </c>
      <c r="E45" s="210"/>
      <c r="F45" s="23">
        <v>1</v>
      </c>
      <c r="G45" s="23"/>
      <c r="H45" s="23"/>
      <c r="I45" s="23"/>
      <c r="J45" s="23"/>
      <c r="K45" s="23"/>
      <c r="L45" s="23"/>
      <c r="M45" s="210"/>
      <c r="N45" s="22" t="s">
        <v>3096</v>
      </c>
      <c r="O45" s="22" t="s">
        <v>1785</v>
      </c>
      <c r="P45" s="22" t="s">
        <v>1937</v>
      </c>
      <c r="Q45" s="22" t="s">
        <v>1917</v>
      </c>
      <c r="R45" s="22" t="s">
        <v>389</v>
      </c>
      <c r="S45" s="22">
        <v>55432</v>
      </c>
      <c r="V45" s="210"/>
      <c r="W45" s="22" t="s">
        <v>1874</v>
      </c>
      <c r="AQ45" s="210"/>
      <c r="AR45" s="22" t="s">
        <v>1899</v>
      </c>
      <c r="AT45" s="22" t="s">
        <v>1865</v>
      </c>
    </row>
    <row r="46" spans="2:46" s="22" customFormat="1">
      <c r="B46" s="22" t="s">
        <v>1812</v>
      </c>
      <c r="C46" s="22" t="s">
        <v>1832</v>
      </c>
      <c r="E46" s="210"/>
      <c r="F46" s="23">
        <v>1</v>
      </c>
      <c r="G46" s="23"/>
      <c r="H46" s="23">
        <v>1</v>
      </c>
      <c r="I46" s="23"/>
      <c r="J46" s="23"/>
      <c r="K46" s="23"/>
      <c r="L46" s="23"/>
      <c r="M46" s="210"/>
      <c r="N46" s="22" t="s">
        <v>3096</v>
      </c>
      <c r="O46" s="22" t="s">
        <v>1793</v>
      </c>
      <c r="P46" s="22" t="s">
        <v>1938</v>
      </c>
      <c r="Q46" s="22" t="s">
        <v>1840</v>
      </c>
      <c r="R46" s="22" t="s">
        <v>1257</v>
      </c>
      <c r="S46" s="22">
        <v>89120</v>
      </c>
      <c r="T46" s="22" t="s">
        <v>1945</v>
      </c>
      <c r="V46" s="210"/>
      <c r="W46" s="22" t="s">
        <v>1875</v>
      </c>
      <c r="AQ46" s="210"/>
      <c r="AR46" s="22" t="s">
        <v>1884</v>
      </c>
      <c r="AT46" s="22" t="s">
        <v>1856</v>
      </c>
    </row>
    <row r="47" spans="2:46" s="22" customFormat="1">
      <c r="B47" s="22" t="s">
        <v>84</v>
      </c>
      <c r="C47" s="22" t="s">
        <v>1310</v>
      </c>
      <c r="E47" s="210"/>
      <c r="F47" s="23">
        <v>1</v>
      </c>
      <c r="G47" s="23"/>
      <c r="H47" s="23"/>
      <c r="I47" s="23"/>
      <c r="J47" s="23"/>
      <c r="K47" s="23"/>
      <c r="L47" s="23"/>
      <c r="M47" s="210"/>
      <c r="N47" s="22" t="s">
        <v>3096</v>
      </c>
      <c r="O47" s="22" t="s">
        <v>1792</v>
      </c>
      <c r="P47" s="22" t="s">
        <v>1939</v>
      </c>
      <c r="Q47" s="22" t="s">
        <v>1841</v>
      </c>
      <c r="R47" s="22" t="s">
        <v>300</v>
      </c>
      <c r="S47" s="22">
        <v>95688</v>
      </c>
      <c r="T47" s="22" t="s">
        <v>1946</v>
      </c>
      <c r="V47" s="210"/>
      <c r="W47" s="22" t="s">
        <v>1876</v>
      </c>
      <c r="AQ47" s="210"/>
      <c r="AR47" s="22" t="s">
        <v>1900</v>
      </c>
      <c r="AT47" s="22" t="s">
        <v>1869</v>
      </c>
    </row>
    <row r="48" spans="2:46" s="22" customFormat="1">
      <c r="B48" s="22" t="s">
        <v>514</v>
      </c>
      <c r="C48" s="22" t="s">
        <v>1833</v>
      </c>
      <c r="E48" s="210"/>
      <c r="F48" s="23">
        <v>1</v>
      </c>
      <c r="G48" s="23"/>
      <c r="H48" s="23"/>
      <c r="I48" s="23"/>
      <c r="J48" s="23"/>
      <c r="K48" s="23"/>
      <c r="L48" s="23"/>
      <c r="M48" s="210"/>
      <c r="N48" s="22" t="s">
        <v>3096</v>
      </c>
      <c r="O48" s="22" t="s">
        <v>1794</v>
      </c>
      <c r="P48" s="22" t="s">
        <v>1940</v>
      </c>
      <c r="Q48" s="22" t="s">
        <v>1842</v>
      </c>
      <c r="R48" s="22" t="s">
        <v>632</v>
      </c>
      <c r="S48" s="22">
        <v>38028</v>
      </c>
      <c r="T48" s="36" t="s">
        <v>1947</v>
      </c>
      <c r="V48" s="210"/>
      <c r="W48" s="22" t="s">
        <v>1877</v>
      </c>
      <c r="AQ48" s="210"/>
      <c r="AR48" s="22" t="s">
        <v>1901</v>
      </c>
      <c r="AT48" s="22" t="s">
        <v>1844</v>
      </c>
    </row>
    <row r="49" spans="1:46" s="22" customFormat="1">
      <c r="B49" s="22" t="s">
        <v>1813</v>
      </c>
      <c r="C49" s="22" t="s">
        <v>1834</v>
      </c>
      <c r="E49" s="210"/>
      <c r="F49" s="23"/>
      <c r="G49" s="23">
        <v>1</v>
      </c>
      <c r="H49" s="23"/>
      <c r="I49" s="23"/>
      <c r="J49" s="23"/>
      <c r="K49" s="23"/>
      <c r="L49" s="23"/>
      <c r="M49" s="210"/>
      <c r="N49" s="22" t="s">
        <v>3096</v>
      </c>
      <c r="O49" s="22" t="s">
        <v>1789</v>
      </c>
      <c r="P49" s="22" t="s">
        <v>1941</v>
      </c>
      <c r="Q49" s="22" t="s">
        <v>1836</v>
      </c>
      <c r="R49" s="22" t="s">
        <v>300</v>
      </c>
      <c r="S49" s="22">
        <v>92106</v>
      </c>
      <c r="V49" s="210"/>
      <c r="W49" s="22" t="s">
        <v>1878</v>
      </c>
      <c r="AQ49" s="210"/>
      <c r="AR49" s="22" t="s">
        <v>1898</v>
      </c>
      <c r="AT49" s="22" t="s">
        <v>1869</v>
      </c>
    </row>
    <row r="50" spans="1:46" s="22" customFormat="1">
      <c r="B50" s="22" t="s">
        <v>264</v>
      </c>
      <c r="C50" s="22" t="s">
        <v>1835</v>
      </c>
      <c r="E50" s="210"/>
      <c r="F50" s="23"/>
      <c r="G50" s="23">
        <v>1</v>
      </c>
      <c r="H50" s="23"/>
      <c r="I50" s="23"/>
      <c r="J50" s="23"/>
      <c r="K50" s="23"/>
      <c r="L50" s="23"/>
      <c r="M50" s="210"/>
      <c r="N50" s="22" t="s">
        <v>3096</v>
      </c>
      <c r="O50" s="22" t="s">
        <v>1783</v>
      </c>
      <c r="P50" s="36" t="s">
        <v>1942</v>
      </c>
      <c r="Q50" s="36" t="s">
        <v>1918</v>
      </c>
      <c r="R50" s="22" t="s">
        <v>1256</v>
      </c>
      <c r="S50" s="22">
        <v>21061</v>
      </c>
      <c r="T50" s="22" t="s">
        <v>1948</v>
      </c>
      <c r="V50" s="210"/>
      <c r="W50" s="22" t="s">
        <v>1879</v>
      </c>
      <c r="AQ50" s="210"/>
      <c r="AR50" s="22" t="s">
        <v>1902</v>
      </c>
      <c r="AT50" s="22" t="s">
        <v>1861</v>
      </c>
    </row>
    <row r="51" spans="1:46" s="22" customFormat="1"/>
    <row r="52" spans="1:46" s="22" customFormat="1"/>
    <row r="53" spans="1:46">
      <c r="E53" s="22"/>
    </row>
    <row r="54" spans="1:46" s="71" customFormat="1" ht="19">
      <c r="A54" s="87"/>
      <c r="B54" s="87" t="s">
        <v>684</v>
      </c>
      <c r="C54" s="87"/>
      <c r="D54" s="87"/>
      <c r="E54" s="87"/>
      <c r="F54" s="70">
        <f t="shared" ref="F54:L54" si="0">SUM(F25:F50)</f>
        <v>23</v>
      </c>
      <c r="G54" s="70">
        <f t="shared" si="0"/>
        <v>3</v>
      </c>
      <c r="H54" s="70">
        <f t="shared" si="0"/>
        <v>2</v>
      </c>
      <c r="I54" s="70">
        <f t="shared" si="0"/>
        <v>0</v>
      </c>
      <c r="J54" s="70">
        <f t="shared" si="0"/>
        <v>0</v>
      </c>
      <c r="K54" s="70">
        <f t="shared" si="0"/>
        <v>0</v>
      </c>
      <c r="L54" s="70">
        <f t="shared" si="0"/>
        <v>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6">
      <c r="E55" s="22"/>
    </row>
    <row r="56" spans="1:46">
      <c r="E56" s="22"/>
    </row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</sheetData>
  <sortState xmlns:xlrd2="http://schemas.microsoft.com/office/spreadsheetml/2017/richdata2" ref="B25:G81">
    <sortCondition ref="C25:C81"/>
  </sortState>
  <hyperlinks>
    <hyperlink ref="P40" r:id="rId1" display="https://www.google.com/maps/place/634 S. Normandie Ave Los Angeles, CA/@34.0621182,-118.3000744,17z" xr:uid="{E8BEE3F2-1BFA-6945-800F-52FB79381D24}"/>
    <hyperlink ref="T40" r:id="rId2" display="tel:818-287-8055" xr:uid="{59E0E2CB-7BF7-C542-B134-9EAAA4F4EDF1}"/>
    <hyperlink ref="P41" r:id="rId3" tooltip="Get Directions" display="https://goo.gl/maps/Zhb8EUuAM222" xr:uid="{B5DB0584-796A-1F46-B38D-B7474787ADC0}"/>
    <hyperlink ref="Q41" r:id="rId4" tooltip="Get Directions" display="https://goo.gl/maps/Zhb8EUuAM222" xr:uid="{701CC7BD-410A-9141-A00E-70E24DA09BAF}"/>
    <hyperlink ref="P42" r:id="rId5" display="https://goo.gl/maps/2xQ8V5nAWAQjY1rM9" xr:uid="{D074B45C-5615-7748-B5AD-1A0A99DD17DC}"/>
    <hyperlink ref="Q42" r:id="rId6" display="https://goo.gl/maps/2xQ8V5nAWAQjY1rM9" xr:uid="{BB43FE0B-DCD6-C644-8755-5DB83857C94F}"/>
    <hyperlink ref="T42" r:id="rId7" display="tel:1-952-255-8800" xr:uid="{5EC436E6-0635-074F-93B5-F31FAE420A1D}"/>
    <hyperlink ref="T48" r:id="rId8" display="tel:19017510095" xr:uid="{77C19898-45B4-214F-ACB2-E3DA3AC4D582}"/>
    <hyperlink ref="P50" r:id="rId9" display="https://www.google.com/maps/dir/UNION+CHURCH+BWI/data=!4m6!4m5!1m1!4e2!1m2!1m1!1s0x89b7e451b9dfd235:0x7219ed54d38b397c?sa=X&amp;ved=2ahUKEwj1ipjXyKTzAhWjmuAKHSzTClYQ9Rd6BAhmEAU" xr:uid="{1F418031-171B-1B4C-B6A8-CB1CABC90DC4}"/>
    <hyperlink ref="Q50" r:id="rId10" display="https://www.google.com/maps/dir/UNION+CHURCH+BWI/data=!4m6!4m5!1m1!4e2!1m2!1m1!1s0x89b7e451b9dfd235:0x7219ed54d38b397c?sa=X&amp;ved=2ahUKEwj1ipjXyKTzAhWjmuAKHSzTClYQ9Rd6BAhmEAU" xr:uid="{8B2EDF34-EDC7-7E4C-82CB-8C3A32EA886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6299-F033-694D-89A4-8CF2C4AA5F17}">
  <dimension ref="A1:AT54"/>
  <sheetViews>
    <sheetView workbookViewId="0">
      <selection activeCell="B15" sqref="B15"/>
    </sheetView>
  </sheetViews>
  <sheetFormatPr baseColWidth="10" defaultRowHeight="16"/>
  <cols>
    <col min="1" max="1" width="10.83203125" style="7"/>
    <col min="2" max="2" width="23.33203125" style="7" bestFit="1" customWidth="1"/>
    <col min="3" max="4" width="10.83203125" style="7"/>
    <col min="5" max="5" width="5.83203125" style="7" customWidth="1"/>
    <col min="6" max="12" width="10.83203125" style="7"/>
    <col min="13" max="13" width="5.83203125" style="7" customWidth="1"/>
    <col min="14" max="14" width="35.1640625" style="7" customWidth="1"/>
    <col min="15" max="15" width="15.6640625" style="7" bestFit="1" customWidth="1"/>
    <col min="16" max="16" width="43.6640625" style="7" bestFit="1" customWidth="1"/>
    <col min="17" max="17" width="12.83203125" style="7" bestFit="1" customWidth="1"/>
    <col min="18" max="18" width="7.1640625" style="7" bestFit="1" customWidth="1"/>
    <col min="19" max="19" width="6.1640625" style="7" bestFit="1" customWidth="1"/>
    <col min="20" max="21" width="12.5" style="7" bestFit="1" customWidth="1"/>
    <col min="22" max="22" width="5.83203125" style="7" customWidth="1"/>
    <col min="23" max="23" width="33.6640625" style="7" bestFit="1" customWidth="1"/>
    <col min="24" max="24" width="28.6640625" style="7" bestFit="1" customWidth="1"/>
    <col min="25" max="25" width="10.83203125" style="7"/>
    <col min="26" max="26" width="9.33203125" style="7" bestFit="1" customWidth="1"/>
    <col min="27" max="27" width="5.33203125" style="7" bestFit="1" customWidth="1"/>
    <col min="28" max="30" width="9.5" style="7" bestFit="1" customWidth="1"/>
    <col min="31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10.83203125" style="9"/>
    <col min="45" max="45" width="8.5" style="7" bestFit="1" customWidth="1"/>
    <col min="46" max="46" width="37.5" style="7" bestFit="1" customWidth="1"/>
    <col min="47" max="16384" width="10.83203125" style="7"/>
  </cols>
  <sheetData>
    <row r="1" spans="2:44" customFormat="1">
      <c r="C1" s="32"/>
      <c r="D1" s="32"/>
      <c r="G1" s="32"/>
      <c r="AR1" s="32"/>
    </row>
    <row r="2" spans="2:44" s="1" customFormat="1" ht="21">
      <c r="B2" s="1" t="s">
        <v>1366</v>
      </c>
      <c r="C2" s="33"/>
      <c r="D2" s="33"/>
      <c r="F2" s="1" t="s">
        <v>1367</v>
      </c>
      <c r="G2" s="33"/>
      <c r="AR2" s="33"/>
    </row>
    <row r="3" spans="2:44" s="1" customFormat="1" ht="21">
      <c r="C3" s="33"/>
      <c r="D3" s="33"/>
      <c r="G3" s="33"/>
      <c r="AR3" s="33"/>
    </row>
    <row r="4" spans="2:44" s="1" customFormat="1" ht="21">
      <c r="C4" s="33"/>
      <c r="D4" s="33"/>
      <c r="G4" s="33"/>
      <c r="AR4" s="33"/>
    </row>
    <row r="5" spans="2:44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  <c r="AR5" s="3"/>
    </row>
    <row r="6" spans="2:44" s="4" customFormat="1">
      <c r="N6" s="55"/>
      <c r="AR6" s="6"/>
    </row>
    <row r="7" spans="2:44" ht="21">
      <c r="N7" s="82" t="s">
        <v>6</v>
      </c>
    </row>
    <row r="8" spans="2:44">
      <c r="N8" s="7" t="s">
        <v>3171</v>
      </c>
      <c r="O8" s="7" t="s">
        <v>3187</v>
      </c>
    </row>
    <row r="9" spans="2:44">
      <c r="N9" s="12" t="s">
        <v>3170</v>
      </c>
    </row>
    <row r="11" spans="2:44">
      <c r="O11" s="84"/>
    </row>
    <row r="14" spans="2:44" ht="21">
      <c r="N14" s="207" t="s">
        <v>3094</v>
      </c>
    </row>
    <row r="15" spans="2:44">
      <c r="B15" s="225" t="s">
        <v>1949</v>
      </c>
      <c r="C15" s="99">
        <v>821</v>
      </c>
      <c r="N15" s="7" t="s">
        <v>3092</v>
      </c>
    </row>
    <row r="23" spans="1:44" s="16" customFormat="1" ht="21">
      <c r="A23" s="15"/>
      <c r="D23" s="15"/>
      <c r="E23" s="15"/>
      <c r="F23" s="17" t="s">
        <v>17</v>
      </c>
      <c r="G23" s="15"/>
      <c r="H23" s="15"/>
      <c r="I23" s="15"/>
      <c r="J23" s="15"/>
      <c r="K23" s="15"/>
      <c r="L23" s="15"/>
      <c r="M23" s="15"/>
      <c r="N23" s="17"/>
      <c r="O23" s="17"/>
      <c r="S23" s="17"/>
      <c r="T23" s="15"/>
      <c r="U23" s="15"/>
      <c r="V23" s="15"/>
      <c r="X23" s="18"/>
      <c r="Y23" s="15"/>
      <c r="Z23" s="15"/>
      <c r="AA23" s="15"/>
      <c r="AB23" s="17"/>
      <c r="AC23" s="15"/>
      <c r="AD23" s="15"/>
      <c r="AE23" s="15"/>
      <c r="AF23" s="17"/>
      <c r="AG23" s="15"/>
      <c r="AH23" s="15"/>
      <c r="AI23" s="17"/>
      <c r="AJ23" s="15"/>
      <c r="AK23" s="17"/>
      <c r="AL23" s="15"/>
      <c r="AM23" s="15"/>
      <c r="AQ23" s="15"/>
      <c r="AR23" s="15"/>
    </row>
    <row r="24" spans="1:44" s="16" customFormat="1" ht="21">
      <c r="A24" s="15"/>
      <c r="B24" s="16" t="s">
        <v>18</v>
      </c>
      <c r="C24" s="16" t="s">
        <v>19</v>
      </c>
      <c r="D24" s="15"/>
      <c r="E24" s="15"/>
      <c r="F24" s="15" t="s">
        <v>20</v>
      </c>
      <c r="G24" s="15"/>
      <c r="H24" s="15"/>
      <c r="I24" s="15"/>
      <c r="J24" s="15"/>
      <c r="K24" s="15"/>
      <c r="L24" s="15"/>
      <c r="M24" s="15"/>
      <c r="N24" s="17"/>
      <c r="O24" s="17"/>
      <c r="S24" s="17"/>
      <c r="T24" s="15"/>
      <c r="U24" s="15"/>
      <c r="V24" s="15"/>
      <c r="X24" s="18"/>
      <c r="Y24" s="15"/>
      <c r="Z24" s="15"/>
      <c r="AA24" s="15"/>
      <c r="AB24" s="17"/>
      <c r="AC24" s="15" t="s">
        <v>21</v>
      </c>
      <c r="AD24" s="15" t="s">
        <v>21</v>
      </c>
      <c r="AE24" s="15" t="s">
        <v>21</v>
      </c>
      <c r="AF24" s="17"/>
      <c r="AG24" s="15" t="s">
        <v>22</v>
      </c>
      <c r="AH24" s="15" t="s">
        <v>22</v>
      </c>
      <c r="AI24" s="17"/>
      <c r="AJ24" s="15"/>
      <c r="AK24" s="17"/>
      <c r="AL24" s="15" t="s">
        <v>23</v>
      </c>
      <c r="AM24" s="15" t="s">
        <v>23</v>
      </c>
      <c r="AN24" s="15" t="s">
        <v>24</v>
      </c>
      <c r="AO24" s="15"/>
      <c r="AP24" s="15"/>
      <c r="AQ24" s="15"/>
      <c r="AR24" s="15"/>
    </row>
    <row r="25" spans="1:44" s="20" customFormat="1" ht="22" thickBot="1">
      <c r="A25" s="19"/>
      <c r="B25" s="20" t="s">
        <v>25</v>
      </c>
      <c r="C25" s="20" t="s">
        <v>25</v>
      </c>
      <c r="D25" s="19"/>
      <c r="E25" s="19"/>
      <c r="F25" s="19" t="s">
        <v>26</v>
      </c>
      <c r="G25" s="19" t="s">
        <v>27</v>
      </c>
      <c r="H25" s="19" t="s">
        <v>28</v>
      </c>
      <c r="I25" s="19" t="s">
        <v>29</v>
      </c>
      <c r="J25" s="19" t="s">
        <v>14</v>
      </c>
      <c r="K25" s="19" t="s">
        <v>24</v>
      </c>
      <c r="L25" s="19" t="s">
        <v>30</v>
      </c>
      <c r="M25" s="19"/>
      <c r="N25" s="21" t="s">
        <v>31</v>
      </c>
      <c r="O25" s="21" t="s">
        <v>962</v>
      </c>
      <c r="P25" s="20" t="s">
        <v>32</v>
      </c>
      <c r="Q25" s="20" t="s">
        <v>33</v>
      </c>
      <c r="R25" s="20" t="s">
        <v>34</v>
      </c>
      <c r="S25" s="21" t="s">
        <v>35</v>
      </c>
      <c r="T25" s="21" t="s">
        <v>118</v>
      </c>
      <c r="U25" s="21" t="s">
        <v>119</v>
      </c>
      <c r="V25" s="19"/>
      <c r="W25" s="20" t="s">
        <v>37</v>
      </c>
      <c r="X25" s="21" t="s">
        <v>38</v>
      </c>
      <c r="Y25" s="19" t="s">
        <v>39</v>
      </c>
      <c r="Z25" s="21" t="s">
        <v>40</v>
      </c>
      <c r="AA25" s="19" t="s">
        <v>39</v>
      </c>
      <c r="AB25" s="21" t="s">
        <v>21</v>
      </c>
      <c r="AC25" s="19" t="s">
        <v>41</v>
      </c>
      <c r="AD25" s="19" t="s">
        <v>39</v>
      </c>
      <c r="AE25" s="19" t="s">
        <v>42</v>
      </c>
      <c r="AF25" s="21" t="s">
        <v>22</v>
      </c>
      <c r="AG25" s="19" t="s">
        <v>39</v>
      </c>
      <c r="AH25" s="19" t="s">
        <v>43</v>
      </c>
      <c r="AI25" s="21" t="s">
        <v>44</v>
      </c>
      <c r="AJ25" s="19" t="s">
        <v>39</v>
      </c>
      <c r="AK25" s="21" t="s">
        <v>23</v>
      </c>
      <c r="AL25" s="19" t="s">
        <v>39</v>
      </c>
      <c r="AM25" s="19" t="s">
        <v>42</v>
      </c>
      <c r="AN25" s="19" t="s">
        <v>45</v>
      </c>
      <c r="AO25" s="20" t="s">
        <v>39</v>
      </c>
      <c r="AP25" s="20" t="s">
        <v>42</v>
      </c>
      <c r="AQ25" s="19"/>
      <c r="AR25" s="19" t="s">
        <v>46</v>
      </c>
    </row>
    <row r="26" spans="1:44" s="22" customFormat="1">
      <c r="D26" s="23"/>
      <c r="E26" s="210"/>
      <c r="F26" s="23"/>
      <c r="G26" s="23"/>
      <c r="H26" s="23"/>
      <c r="I26" s="23"/>
      <c r="J26" s="23"/>
      <c r="K26" s="25"/>
      <c r="L26" s="23"/>
      <c r="M26" s="210"/>
      <c r="V26" s="210"/>
      <c r="AQ26" s="210"/>
      <c r="AR26" s="23"/>
    </row>
    <row r="27" spans="1:44">
      <c r="E27" s="210"/>
      <c r="F27" s="9"/>
      <c r="G27" s="9"/>
      <c r="H27" s="9"/>
      <c r="I27" s="9"/>
      <c r="J27" s="9"/>
      <c r="K27" s="9"/>
      <c r="L27" s="9"/>
      <c r="M27" s="210"/>
      <c r="V27" s="210"/>
      <c r="AQ27" s="210"/>
    </row>
    <row r="28" spans="1:44" s="22" customFormat="1">
      <c r="B28" s="22" t="s">
        <v>1885</v>
      </c>
      <c r="C28" s="22" t="s">
        <v>2095</v>
      </c>
      <c r="E28" s="210"/>
      <c r="F28" s="23">
        <v>1</v>
      </c>
      <c r="G28" s="23"/>
      <c r="H28" s="23"/>
      <c r="I28" s="23"/>
      <c r="J28" s="23"/>
      <c r="K28" s="23"/>
      <c r="L28" s="23">
        <v>1</v>
      </c>
      <c r="M28" s="210"/>
      <c r="N28" s="22" t="s">
        <v>49</v>
      </c>
      <c r="P28" s="22" t="s">
        <v>2160</v>
      </c>
      <c r="Q28" s="22" t="s">
        <v>2127</v>
      </c>
      <c r="R28" s="22" t="s">
        <v>333</v>
      </c>
      <c r="S28" s="22">
        <v>60631</v>
      </c>
      <c r="T28" s="22" t="s">
        <v>2159</v>
      </c>
      <c r="V28" s="210"/>
      <c r="X28" s="22" t="s">
        <v>2055</v>
      </c>
      <c r="AQ28" s="210"/>
      <c r="AR28" s="23"/>
    </row>
    <row r="29" spans="1:44" s="22" customFormat="1">
      <c r="B29" s="22" t="s">
        <v>2096</v>
      </c>
      <c r="C29" s="22" t="s">
        <v>2097</v>
      </c>
      <c r="E29" s="210"/>
      <c r="F29" s="23"/>
      <c r="G29" s="23"/>
      <c r="H29" s="23"/>
      <c r="I29" s="23">
        <v>1</v>
      </c>
      <c r="J29" s="23"/>
      <c r="K29" s="23"/>
      <c r="L29" s="23">
        <v>1</v>
      </c>
      <c r="M29" s="210"/>
      <c r="N29" s="22" t="s">
        <v>2056</v>
      </c>
      <c r="P29" s="22" t="s">
        <v>2160</v>
      </c>
      <c r="Q29" s="22" t="s">
        <v>2127</v>
      </c>
      <c r="R29" s="22" t="s">
        <v>333</v>
      </c>
      <c r="S29" s="22">
        <v>60631</v>
      </c>
      <c r="T29" s="22" t="s">
        <v>2159</v>
      </c>
      <c r="V29" s="210"/>
      <c r="X29" s="22" t="s">
        <v>2057</v>
      </c>
      <c r="AQ29" s="210"/>
      <c r="AR29" s="23"/>
    </row>
    <row r="30" spans="1:44" s="22" customFormat="1">
      <c r="B30" s="22" t="s">
        <v>1009</v>
      </c>
      <c r="C30" s="22" t="s">
        <v>2098</v>
      </c>
      <c r="E30" s="210"/>
      <c r="F30" s="23"/>
      <c r="G30" s="23">
        <v>1</v>
      </c>
      <c r="H30" s="23"/>
      <c r="I30" s="23"/>
      <c r="J30" s="23"/>
      <c r="K30" s="23"/>
      <c r="L30" s="23"/>
      <c r="M30" s="210"/>
      <c r="N30" s="22" t="s">
        <v>2155</v>
      </c>
      <c r="P30" s="22" t="s">
        <v>2160</v>
      </c>
      <c r="Q30" s="22" t="s">
        <v>2127</v>
      </c>
      <c r="R30" s="22" t="s">
        <v>333</v>
      </c>
      <c r="S30" s="22">
        <v>60631</v>
      </c>
      <c r="T30" s="22" t="s">
        <v>2159</v>
      </c>
      <c r="V30" s="210"/>
      <c r="X30" s="22" t="s">
        <v>2058</v>
      </c>
      <c r="AQ30" s="210"/>
      <c r="AR30" s="23"/>
    </row>
    <row r="31" spans="1:44" s="22" customFormat="1">
      <c r="B31" s="22" t="s">
        <v>1009</v>
      </c>
      <c r="C31" s="22" t="s">
        <v>2099</v>
      </c>
      <c r="E31" s="210"/>
      <c r="F31" s="23">
        <v>1</v>
      </c>
      <c r="G31" s="23"/>
      <c r="H31" s="23"/>
      <c r="I31" s="23"/>
      <c r="J31" s="23"/>
      <c r="K31" s="23"/>
      <c r="L31" s="23"/>
      <c r="M31" s="210"/>
      <c r="N31" s="22" t="s">
        <v>2156</v>
      </c>
      <c r="P31" s="22" t="s">
        <v>2160</v>
      </c>
      <c r="Q31" s="22" t="s">
        <v>2127</v>
      </c>
      <c r="R31" s="22" t="s">
        <v>333</v>
      </c>
      <c r="S31" s="22">
        <v>60631</v>
      </c>
      <c r="T31" s="22" t="s">
        <v>2159</v>
      </c>
      <c r="V31" s="210"/>
      <c r="X31" s="22" t="s">
        <v>2059</v>
      </c>
      <c r="AQ31" s="210"/>
      <c r="AR31" s="23"/>
    </row>
    <row r="32" spans="1:44" s="22" customFormat="1">
      <c r="B32" s="22" t="s">
        <v>1892</v>
      </c>
      <c r="C32" s="22" t="s">
        <v>2100</v>
      </c>
      <c r="E32" s="210"/>
      <c r="F32" s="23"/>
      <c r="G32" s="23">
        <v>1</v>
      </c>
      <c r="H32" s="23"/>
      <c r="I32" s="23"/>
      <c r="J32" s="23"/>
      <c r="K32" s="23"/>
      <c r="L32" s="23">
        <v>1</v>
      </c>
      <c r="M32" s="210"/>
      <c r="N32" s="22" t="s">
        <v>2157</v>
      </c>
      <c r="P32" s="22" t="s">
        <v>2160</v>
      </c>
      <c r="Q32" s="22" t="s">
        <v>2127</v>
      </c>
      <c r="R32" s="22" t="s">
        <v>333</v>
      </c>
      <c r="S32" s="22">
        <v>60631</v>
      </c>
      <c r="T32" s="22" t="s">
        <v>2159</v>
      </c>
      <c r="V32" s="210"/>
      <c r="X32" s="22" t="s">
        <v>2060</v>
      </c>
      <c r="AQ32" s="210"/>
      <c r="AR32" s="23"/>
    </row>
    <row r="33" spans="2:46" s="22" customFormat="1">
      <c r="B33" s="22" t="s">
        <v>2101</v>
      </c>
      <c r="C33" s="22" t="s">
        <v>2102</v>
      </c>
      <c r="E33" s="210"/>
      <c r="F33" s="23"/>
      <c r="G33" s="23"/>
      <c r="H33" s="23"/>
      <c r="I33" s="23">
        <v>1</v>
      </c>
      <c r="J33" s="23"/>
      <c r="K33" s="23"/>
      <c r="L33" s="23">
        <v>1</v>
      </c>
      <c r="M33" s="210"/>
      <c r="N33" s="22" t="s">
        <v>2158</v>
      </c>
      <c r="P33" s="22" t="s">
        <v>2160</v>
      </c>
      <c r="Q33" s="22" t="s">
        <v>2127</v>
      </c>
      <c r="R33" s="22" t="s">
        <v>333</v>
      </c>
      <c r="S33" s="22">
        <v>60631</v>
      </c>
      <c r="T33" s="22" t="s">
        <v>2159</v>
      </c>
      <c r="V33" s="210"/>
      <c r="X33" s="22" t="s">
        <v>2061</v>
      </c>
      <c r="AQ33" s="210"/>
      <c r="AR33" s="23"/>
    </row>
    <row r="34" spans="2:46" s="22" customFormat="1">
      <c r="E34" s="210"/>
      <c r="F34" s="23"/>
      <c r="G34" s="23"/>
      <c r="H34" s="23"/>
      <c r="I34" s="23"/>
      <c r="J34" s="23"/>
      <c r="K34" s="23"/>
      <c r="L34" s="23"/>
      <c r="M34" s="210"/>
      <c r="V34" s="210"/>
      <c r="AQ34" s="210"/>
      <c r="AR34" s="23"/>
    </row>
    <row r="35" spans="2:46" s="22" customFormat="1">
      <c r="E35" s="210"/>
      <c r="F35" s="23"/>
      <c r="G35" s="23"/>
      <c r="H35" s="23"/>
      <c r="I35" s="23"/>
      <c r="J35" s="23"/>
      <c r="K35" s="23"/>
      <c r="L35" s="23"/>
      <c r="M35" s="210"/>
      <c r="V35" s="210"/>
      <c r="AQ35" s="210"/>
      <c r="AR35" s="23"/>
    </row>
    <row r="36" spans="2:46">
      <c r="E36" s="210"/>
      <c r="F36" s="9"/>
      <c r="G36" s="9"/>
      <c r="H36" s="9"/>
      <c r="I36" s="9"/>
      <c r="J36" s="9"/>
      <c r="K36" s="9"/>
      <c r="L36" s="9"/>
      <c r="M36" s="210"/>
      <c r="V36" s="210"/>
      <c r="AQ36" s="210"/>
    </row>
    <row r="37" spans="2:46">
      <c r="E37" s="210"/>
      <c r="F37" s="9"/>
      <c r="G37" s="9"/>
      <c r="H37" s="9"/>
      <c r="I37" s="9"/>
      <c r="J37" s="9"/>
      <c r="K37" s="9"/>
      <c r="L37" s="9"/>
      <c r="M37" s="210"/>
      <c r="V37" s="210"/>
      <c r="AQ37" s="210"/>
    </row>
    <row r="38" spans="2:46" s="22" customFormat="1">
      <c r="E38" s="210"/>
      <c r="F38" s="23"/>
      <c r="G38" s="23"/>
      <c r="H38" s="23"/>
      <c r="I38" s="23"/>
      <c r="J38" s="23"/>
      <c r="K38" s="23"/>
      <c r="L38" s="23"/>
      <c r="M38" s="210"/>
      <c r="V38" s="210"/>
      <c r="AQ38" s="210"/>
      <c r="AR38" s="23"/>
    </row>
    <row r="39" spans="2:46" s="22" customFormat="1" ht="19">
      <c r="B39" s="95" t="s">
        <v>3089</v>
      </c>
      <c r="E39" s="210"/>
      <c r="M39" s="210"/>
      <c r="N39" s="95" t="s">
        <v>3090</v>
      </c>
      <c r="O39" s="86"/>
      <c r="V39" s="210"/>
      <c r="AQ39" s="210"/>
      <c r="AR39" s="23"/>
    </row>
    <row r="40" spans="2:46" s="22" customFormat="1">
      <c r="B40" s="22" t="s">
        <v>2103</v>
      </c>
      <c r="C40" s="22" t="s">
        <v>2104</v>
      </c>
      <c r="E40" s="210"/>
      <c r="F40" s="23">
        <v>1</v>
      </c>
      <c r="G40" s="23"/>
      <c r="H40" s="23"/>
      <c r="I40" s="23"/>
      <c r="J40" s="23"/>
      <c r="K40" s="23"/>
      <c r="L40" s="23"/>
      <c r="M40" s="210"/>
      <c r="O40" s="36" t="s">
        <v>2116</v>
      </c>
      <c r="P40" s="22" t="s">
        <v>2137</v>
      </c>
      <c r="Q40" s="22" t="s">
        <v>251</v>
      </c>
      <c r="R40" s="22" t="s">
        <v>252</v>
      </c>
      <c r="S40" s="22">
        <v>99501</v>
      </c>
      <c r="T40" s="22" t="s">
        <v>2146</v>
      </c>
      <c r="V40" s="210"/>
      <c r="W40" s="22" t="s">
        <v>2063</v>
      </c>
      <c r="X40" s="22" t="s">
        <v>2154</v>
      </c>
      <c r="AQ40" s="210"/>
      <c r="AR40" s="23">
        <v>19</v>
      </c>
      <c r="AS40" s="22" t="s">
        <v>2</v>
      </c>
    </row>
    <row r="41" spans="2:46" s="22" customFormat="1">
      <c r="B41" s="22" t="s">
        <v>474</v>
      </c>
      <c r="C41" s="22" t="s">
        <v>2105</v>
      </c>
      <c r="E41" s="210"/>
      <c r="F41" s="23">
        <v>1</v>
      </c>
      <c r="G41" s="23"/>
      <c r="H41" s="23"/>
      <c r="I41" s="23"/>
      <c r="J41" s="23"/>
      <c r="K41" s="23"/>
      <c r="L41" s="23"/>
      <c r="M41" s="210"/>
      <c r="N41" s="22" t="s">
        <v>2065</v>
      </c>
      <c r="O41" s="36" t="s">
        <v>2117</v>
      </c>
      <c r="P41" s="22" t="s">
        <v>2138</v>
      </c>
      <c r="Q41" s="22" t="s">
        <v>2136</v>
      </c>
      <c r="R41" s="22" t="s">
        <v>2125</v>
      </c>
      <c r="S41" s="22" t="s">
        <v>2126</v>
      </c>
      <c r="T41" s="36" t="s">
        <v>2147</v>
      </c>
      <c r="V41" s="210"/>
      <c r="W41" s="22" t="s">
        <v>2064</v>
      </c>
      <c r="X41" s="22" t="s">
        <v>2066</v>
      </c>
      <c r="AQ41" s="210"/>
      <c r="AR41" s="23">
        <v>34</v>
      </c>
      <c r="AS41" s="22" t="s">
        <v>2</v>
      </c>
    </row>
    <row r="42" spans="2:46" s="22" customFormat="1">
      <c r="B42" s="22" t="s">
        <v>1984</v>
      </c>
      <c r="C42" s="22" t="s">
        <v>1820</v>
      </c>
      <c r="E42" s="210"/>
      <c r="F42" s="23">
        <v>1</v>
      </c>
      <c r="G42" s="23"/>
      <c r="H42" s="23">
        <v>1</v>
      </c>
      <c r="I42" s="23"/>
      <c r="J42" s="23"/>
      <c r="K42" s="23"/>
      <c r="L42" s="23"/>
      <c r="M42" s="210"/>
      <c r="N42" s="22" t="s">
        <v>182</v>
      </c>
      <c r="O42" s="36" t="s">
        <v>2118</v>
      </c>
      <c r="P42" s="22" t="s">
        <v>2139</v>
      </c>
      <c r="Q42" s="22" t="s">
        <v>2127</v>
      </c>
      <c r="R42" s="22" t="s">
        <v>333</v>
      </c>
      <c r="S42" s="22">
        <v>60646</v>
      </c>
      <c r="V42" s="210"/>
      <c r="W42" s="22" t="s">
        <v>2067</v>
      </c>
      <c r="X42" s="22" t="s">
        <v>2068</v>
      </c>
      <c r="AQ42" s="210"/>
      <c r="AR42" s="23">
        <v>89</v>
      </c>
      <c r="AS42" s="22" t="s">
        <v>2</v>
      </c>
      <c r="AT42" s="22" t="s">
        <v>2069</v>
      </c>
    </row>
    <row r="43" spans="2:46" s="22" customFormat="1">
      <c r="B43" s="22" t="s">
        <v>2106</v>
      </c>
      <c r="C43" s="22" t="s">
        <v>2107</v>
      </c>
      <c r="E43" s="210"/>
      <c r="F43" s="23">
        <v>1</v>
      </c>
      <c r="G43" s="23"/>
      <c r="H43" s="23"/>
      <c r="I43" s="23"/>
      <c r="J43" s="23"/>
      <c r="K43" s="23"/>
      <c r="L43" s="23"/>
      <c r="M43" s="210"/>
      <c r="N43" s="22" t="s">
        <v>182</v>
      </c>
      <c r="O43" s="36" t="s">
        <v>2119</v>
      </c>
      <c r="P43" s="22" t="s">
        <v>2071</v>
      </c>
      <c r="Q43" s="22" t="s">
        <v>2128</v>
      </c>
      <c r="R43" s="22" t="s">
        <v>2011</v>
      </c>
      <c r="S43" s="22">
        <v>6416</v>
      </c>
      <c r="T43" s="22" t="s">
        <v>2148</v>
      </c>
      <c r="V43" s="210"/>
      <c r="W43" s="22" t="s">
        <v>2070</v>
      </c>
      <c r="X43" s="22" t="s">
        <v>2072</v>
      </c>
      <c r="AQ43" s="210"/>
      <c r="AR43" s="23">
        <v>88</v>
      </c>
      <c r="AS43" s="22" t="s">
        <v>2</v>
      </c>
      <c r="AT43" s="22" t="s">
        <v>2073</v>
      </c>
    </row>
    <row r="44" spans="2:46" s="22" customFormat="1">
      <c r="B44" s="22" t="s">
        <v>2108</v>
      </c>
      <c r="C44" s="22" t="s">
        <v>2109</v>
      </c>
      <c r="E44" s="210"/>
      <c r="F44" s="23">
        <v>1</v>
      </c>
      <c r="G44" s="23"/>
      <c r="H44" s="23"/>
      <c r="I44" s="23"/>
      <c r="J44" s="23"/>
      <c r="K44" s="23"/>
      <c r="L44" s="23"/>
      <c r="M44" s="210"/>
      <c r="N44" s="22" t="s">
        <v>182</v>
      </c>
      <c r="O44" s="36" t="s">
        <v>1978</v>
      </c>
      <c r="P44" s="22" t="s">
        <v>2140</v>
      </c>
      <c r="Q44" s="22" t="s">
        <v>2130</v>
      </c>
      <c r="R44" s="22" t="s">
        <v>380</v>
      </c>
      <c r="S44" s="22">
        <v>48075</v>
      </c>
      <c r="T44" s="22" t="s">
        <v>2075</v>
      </c>
      <c r="U44" s="22" t="s">
        <v>2129</v>
      </c>
      <c r="V44" s="210"/>
      <c r="W44" s="22" t="s">
        <v>2074</v>
      </c>
      <c r="X44" s="36" t="s">
        <v>2076</v>
      </c>
      <c r="AQ44" s="210"/>
      <c r="AR44" s="23">
        <v>77</v>
      </c>
      <c r="AS44" s="22" t="s">
        <v>2</v>
      </c>
      <c r="AT44" s="22" t="s">
        <v>2077</v>
      </c>
    </row>
    <row r="45" spans="2:46" s="22" customFormat="1">
      <c r="E45" s="210"/>
      <c r="F45" s="23"/>
      <c r="G45" s="23"/>
      <c r="H45" s="23"/>
      <c r="I45" s="23"/>
      <c r="J45" s="23"/>
      <c r="K45" s="23"/>
      <c r="L45" s="23"/>
      <c r="M45" s="210"/>
      <c r="O45" s="36" t="s">
        <v>2120</v>
      </c>
      <c r="P45" s="22" t="s">
        <v>2141</v>
      </c>
      <c r="Q45" s="22" t="s">
        <v>2131</v>
      </c>
      <c r="R45" s="22" t="s">
        <v>280</v>
      </c>
      <c r="S45" s="22">
        <v>72756</v>
      </c>
      <c r="V45" s="210"/>
      <c r="W45" s="22" t="s">
        <v>2078</v>
      </c>
      <c r="AQ45" s="210"/>
      <c r="AR45" s="23">
        <v>26</v>
      </c>
      <c r="AS45" s="22" t="s">
        <v>2</v>
      </c>
      <c r="AT45" s="22" t="s">
        <v>2079</v>
      </c>
    </row>
    <row r="46" spans="2:46" s="22" customFormat="1">
      <c r="B46" s="22" t="s">
        <v>1330</v>
      </c>
      <c r="C46" s="22" t="s">
        <v>1291</v>
      </c>
      <c r="E46" s="210"/>
      <c r="F46" s="23">
        <v>1</v>
      </c>
      <c r="G46" s="23"/>
      <c r="H46" s="23"/>
      <c r="I46" s="23"/>
      <c r="J46" s="23"/>
      <c r="K46" s="23"/>
      <c r="L46" s="23"/>
      <c r="M46" s="210"/>
      <c r="N46" s="22" t="s">
        <v>2081</v>
      </c>
      <c r="O46" s="36" t="s">
        <v>2121</v>
      </c>
      <c r="P46" s="22" t="s">
        <v>2142</v>
      </c>
      <c r="Q46" s="22" t="s">
        <v>2132</v>
      </c>
      <c r="R46" s="22" t="s">
        <v>412</v>
      </c>
      <c r="S46" s="22">
        <v>68130</v>
      </c>
      <c r="T46" s="22" t="s">
        <v>2149</v>
      </c>
      <c r="V46" s="210"/>
      <c r="W46" s="22" t="s">
        <v>2080</v>
      </c>
      <c r="AQ46" s="210"/>
      <c r="AR46" s="23">
        <v>96</v>
      </c>
      <c r="AS46" s="22" t="s">
        <v>2</v>
      </c>
      <c r="AT46" s="22" t="s">
        <v>2082</v>
      </c>
    </row>
    <row r="47" spans="2:46" s="22" customFormat="1">
      <c r="B47" s="22" t="s">
        <v>2110</v>
      </c>
      <c r="C47" s="22" t="s">
        <v>2111</v>
      </c>
      <c r="E47" s="210"/>
      <c r="F47" s="23">
        <v>1</v>
      </c>
      <c r="G47" s="23"/>
      <c r="H47" s="23"/>
      <c r="I47" s="23"/>
      <c r="J47" s="23"/>
      <c r="K47" s="23"/>
      <c r="L47" s="23">
        <v>1</v>
      </c>
      <c r="M47" s="210"/>
      <c r="N47" s="22" t="s">
        <v>182</v>
      </c>
      <c r="O47" s="36" t="s">
        <v>1992</v>
      </c>
      <c r="P47" s="22" t="s">
        <v>2143</v>
      </c>
      <c r="Q47" s="22" t="s">
        <v>388</v>
      </c>
      <c r="R47" s="22" t="s">
        <v>389</v>
      </c>
      <c r="S47" s="22">
        <v>55406</v>
      </c>
      <c r="T47" s="22" t="s">
        <v>2150</v>
      </c>
      <c r="V47" s="210"/>
      <c r="W47" s="22" t="s">
        <v>2083</v>
      </c>
      <c r="AQ47" s="210"/>
      <c r="AR47" s="23">
        <v>137</v>
      </c>
      <c r="AS47" s="22" t="s">
        <v>2</v>
      </c>
      <c r="AT47" s="22" t="s">
        <v>2084</v>
      </c>
    </row>
    <row r="48" spans="2:46" s="22" customFormat="1">
      <c r="B48" s="22" t="s">
        <v>1810</v>
      </c>
      <c r="C48" s="22" t="s">
        <v>2097</v>
      </c>
      <c r="E48" s="210"/>
      <c r="F48" s="23"/>
      <c r="G48" s="23"/>
      <c r="H48" s="23"/>
      <c r="I48" s="23">
        <v>1</v>
      </c>
      <c r="J48" s="23"/>
      <c r="K48" s="23"/>
      <c r="L48" s="23"/>
      <c r="M48" s="210"/>
      <c r="N48" s="22" t="s">
        <v>182</v>
      </c>
      <c r="O48" s="36" t="s">
        <v>2122</v>
      </c>
      <c r="P48" s="22" t="s">
        <v>2087</v>
      </c>
      <c r="Q48" s="22" t="s">
        <v>2133</v>
      </c>
      <c r="R48" s="22" t="s">
        <v>510</v>
      </c>
      <c r="S48" s="22">
        <v>98040</v>
      </c>
      <c r="T48" s="22" t="s">
        <v>2151</v>
      </c>
      <c r="V48" s="210"/>
      <c r="W48" s="22" t="s">
        <v>2085</v>
      </c>
      <c r="X48" s="36" t="s">
        <v>2086</v>
      </c>
      <c r="AQ48" s="210"/>
      <c r="AR48" s="23">
        <v>74</v>
      </c>
      <c r="AS48" s="22" t="s">
        <v>2</v>
      </c>
      <c r="AT48" s="22" t="s">
        <v>2088</v>
      </c>
    </row>
    <row r="49" spans="1:46" s="22" customFormat="1">
      <c r="B49" s="36" t="s">
        <v>2112</v>
      </c>
      <c r="C49" s="22" t="s">
        <v>2113</v>
      </c>
      <c r="E49" s="210"/>
      <c r="F49" s="23"/>
      <c r="G49" s="23"/>
      <c r="H49" s="23"/>
      <c r="I49" s="23"/>
      <c r="J49" s="23">
        <v>1</v>
      </c>
      <c r="K49" s="23"/>
      <c r="L49" s="23"/>
      <c r="M49" s="210"/>
      <c r="N49" s="22" t="s">
        <v>182</v>
      </c>
      <c r="O49" s="36" t="s">
        <v>2123</v>
      </c>
      <c r="P49" s="22" t="s">
        <v>2144</v>
      </c>
      <c r="Q49" s="22" t="s">
        <v>2134</v>
      </c>
      <c r="R49" s="22" t="s">
        <v>300</v>
      </c>
      <c r="S49" s="22">
        <v>94597</v>
      </c>
      <c r="T49" s="22" t="s">
        <v>2152</v>
      </c>
      <c r="V49" s="210"/>
      <c r="W49" s="22" t="s">
        <v>2089</v>
      </c>
      <c r="X49" s="22" t="s">
        <v>2090</v>
      </c>
      <c r="AQ49" s="210"/>
      <c r="AR49" s="23">
        <v>152</v>
      </c>
      <c r="AS49" s="22" t="s">
        <v>2</v>
      </c>
      <c r="AT49" s="22" t="s">
        <v>2091</v>
      </c>
    </row>
    <row r="50" spans="1:46" s="22" customFormat="1">
      <c r="B50" s="22" t="s">
        <v>2114</v>
      </c>
      <c r="C50" s="22" t="s">
        <v>2115</v>
      </c>
      <c r="E50" s="210"/>
      <c r="F50" s="23"/>
      <c r="G50" s="23">
        <v>1</v>
      </c>
      <c r="H50" s="23"/>
      <c r="I50" s="23"/>
      <c r="J50" s="23"/>
      <c r="K50" s="23"/>
      <c r="L50" s="23">
        <v>1</v>
      </c>
      <c r="M50" s="210"/>
      <c r="N50" s="22" t="s">
        <v>182</v>
      </c>
      <c r="O50" s="36" t="s">
        <v>2124</v>
      </c>
      <c r="P50" s="22" t="s">
        <v>2145</v>
      </c>
      <c r="Q50" s="22" t="s">
        <v>2135</v>
      </c>
      <c r="R50" s="22" t="s">
        <v>663</v>
      </c>
      <c r="S50" s="22">
        <v>30329</v>
      </c>
      <c r="T50" s="22" t="s">
        <v>2153</v>
      </c>
      <c r="V50" s="210"/>
      <c r="W50" s="22" t="s">
        <v>2092</v>
      </c>
      <c r="X50" s="22" t="s">
        <v>2093</v>
      </c>
      <c r="AQ50" s="210"/>
      <c r="AR50" s="23">
        <v>29</v>
      </c>
      <c r="AS50" s="22" t="s">
        <v>2</v>
      </c>
      <c r="AT50" s="22" t="s">
        <v>2094</v>
      </c>
    </row>
    <row r="51" spans="1:46" s="22" customFormat="1">
      <c r="F51" s="23"/>
      <c r="G51" s="23"/>
      <c r="H51" s="23"/>
      <c r="I51" s="23"/>
      <c r="J51" s="23"/>
      <c r="K51" s="23"/>
      <c r="L51" s="23"/>
      <c r="AR51" s="23"/>
    </row>
    <row r="52" spans="1:46" s="4" customFormat="1">
      <c r="B52"/>
      <c r="F52" s="6"/>
      <c r="G52" s="6"/>
      <c r="H52" s="6"/>
      <c r="I52" s="6"/>
      <c r="J52" s="6"/>
      <c r="K52" s="6"/>
      <c r="L52" s="6"/>
      <c r="AR52" s="6"/>
    </row>
    <row r="53" spans="1:46" s="68" customFormat="1" ht="19">
      <c r="A53" s="87"/>
      <c r="B53" s="87" t="s">
        <v>684</v>
      </c>
      <c r="C53" s="87"/>
      <c r="D53" s="87"/>
      <c r="E53" s="192"/>
      <c r="F53" s="70">
        <f t="shared" ref="F53:L53" si="0">SUM(F28:F50)</f>
        <v>9</v>
      </c>
      <c r="G53" s="70">
        <f t="shared" si="0"/>
        <v>3</v>
      </c>
      <c r="H53" s="70">
        <f t="shared" si="0"/>
        <v>1</v>
      </c>
      <c r="I53" s="70">
        <f t="shared" si="0"/>
        <v>3</v>
      </c>
      <c r="J53" s="70">
        <f t="shared" si="0"/>
        <v>1</v>
      </c>
      <c r="K53" s="70">
        <f t="shared" si="0"/>
        <v>0</v>
      </c>
      <c r="L53" s="70">
        <f t="shared" si="0"/>
        <v>6</v>
      </c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70">
        <f>SUM(Y28:Y50)</f>
        <v>0</v>
      </c>
      <c r="Z53" s="192"/>
      <c r="AA53" s="70">
        <f>SUM(AA28:AA50)</f>
        <v>0</v>
      </c>
      <c r="AB53" s="192"/>
      <c r="AC53" s="70">
        <f>SUM(AC28:AC50)</f>
        <v>0</v>
      </c>
      <c r="AD53" s="70">
        <f>SUM(AD28:AD50)</f>
        <v>0</v>
      </c>
      <c r="AE53" s="70">
        <f>SUM(AE28:AE50)</f>
        <v>0</v>
      </c>
      <c r="AF53" s="192"/>
      <c r="AG53" s="70">
        <f>SUM(AG28:AG50)</f>
        <v>0</v>
      </c>
      <c r="AH53" s="70">
        <f>SUM(AH28:AH50)</f>
        <v>0</v>
      </c>
      <c r="AI53" s="192"/>
      <c r="AJ53" s="70">
        <f>SUM(AJ28:AJ50)</f>
        <v>0</v>
      </c>
      <c r="AK53" s="192"/>
      <c r="AL53" s="70">
        <f>SUM(AL28:AL50)</f>
        <v>0</v>
      </c>
      <c r="AM53" s="70">
        <f>SUM(AM28:AM50)</f>
        <v>0</v>
      </c>
      <c r="AN53" s="192"/>
      <c r="AO53" s="70">
        <f>SUM(AO28:AO50)</f>
        <v>0</v>
      </c>
      <c r="AP53" s="70">
        <f>SUM(AP28:AP50)</f>
        <v>0</v>
      </c>
      <c r="AR53" s="71">
        <f>SUM(AR40:AR52)</f>
        <v>821</v>
      </c>
    </row>
    <row r="54" spans="1:46">
      <c r="B54"/>
    </row>
  </sheetData>
  <hyperlinks>
    <hyperlink ref="O40" r:id="rId1" display="https://www.alaskacovenant.org/" xr:uid="{3C72DC27-8D37-1C44-AF82-F05615C5607B}"/>
    <hyperlink ref="O41" r:id="rId2" display="https://www.covchurch.ca/" xr:uid="{C86E6A6C-EE80-0942-9A50-5668328F4667}"/>
    <hyperlink ref="O42" r:id="rId3" display="https://centralconf.org/" xr:uid="{4372ED7A-AAFA-B646-8C85-7939368A6AB7}"/>
    <hyperlink ref="O43" r:id="rId4" display="https://eastcoastconf.org/" xr:uid="{F0BA5974-9A2F-BC4A-BFFF-294EAE924AAC}"/>
    <hyperlink ref="O44" r:id="rId5" display="https://greatlakes.cc/" xr:uid="{4BC54102-424A-134B-8966-2E9B1C775C6E}"/>
    <hyperlink ref="O45" r:id="rId6" display="http://www.midsouthcov.org/" xr:uid="{743D8531-D173-DC46-8DFD-C2238A4F5EDB}"/>
    <hyperlink ref="O46" r:id="rId7" display="http://midwestcovenant.org/" xr:uid="{FBD10AA1-5880-6C4D-B203-E68DD3A53E77}"/>
    <hyperlink ref="O47" r:id="rId8" display="https://www.northwestconference.org/" xr:uid="{DE051256-BC89-2845-94F3-7FFA7FD5E1B2}"/>
    <hyperlink ref="O48" r:id="rId9" display="http://pacnwc.org/" xr:uid="{F571F206-5651-1D46-A74F-8B5F5235AFB9}"/>
    <hyperlink ref="O49" r:id="rId10" display="https://pswc.org/" xr:uid="{11F5D192-F4CC-AE4E-98CE-C5ACE98FC362}"/>
    <hyperlink ref="O50" r:id="rId11" display="http://southeastconf.org/" xr:uid="{133D3B66-270C-2D4C-9300-A7D4161C1BCA}"/>
    <hyperlink ref="T41" r:id="rId12" display="tel:403.324.9552" xr:uid="{746D4D62-4747-944C-B7AF-7BCB04CA9FDB}"/>
    <hyperlink ref="X44" r:id="rId13" display="mailto:garth@greatlakes.cc" xr:uid="{C4F0FF03-547A-C94B-A641-16026BD9A7F7}"/>
    <hyperlink ref="X48" r:id="rId14" display="mailto:greg@pacnwc.org" xr:uid="{17FA62DA-8362-9B40-A778-FD897FA65037}"/>
    <hyperlink ref="B49" r:id="rId15" display="mailto:Bryan.Murphy@pswc.org" xr:uid="{AB36088B-96F5-6845-A716-80012A73CAC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535E-103E-2E41-82C5-A4D4FBD1D271}">
  <dimension ref="A1:AU87"/>
  <sheetViews>
    <sheetView workbookViewId="0">
      <selection activeCell="B14" sqref="B14"/>
    </sheetView>
  </sheetViews>
  <sheetFormatPr baseColWidth="10" defaultRowHeight="16"/>
  <cols>
    <col min="1" max="1" width="10.83203125" style="7"/>
    <col min="2" max="2" width="14.5" style="7" customWidth="1"/>
    <col min="3" max="3" width="11.5" style="7" bestFit="1" customWidth="1"/>
    <col min="4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28.83203125" style="7" bestFit="1" customWidth="1"/>
    <col min="15" max="15" width="26.1640625" style="7" bestFit="1" customWidth="1"/>
    <col min="16" max="16" width="25" style="7" bestFit="1" customWidth="1"/>
    <col min="17" max="17" width="14.83203125" style="7" bestFit="1" customWidth="1"/>
    <col min="18" max="18" width="7.1640625" style="7" bestFit="1" customWidth="1"/>
    <col min="19" max="19" width="6.1640625" style="7" bestFit="1" customWidth="1"/>
    <col min="20" max="20" width="13" style="7" bestFit="1" customWidth="1"/>
    <col min="21" max="21" width="10.5" style="7" bestFit="1" customWidth="1"/>
    <col min="22" max="22" width="5.83203125" style="7" customWidth="1"/>
    <col min="23" max="23" width="35.33203125" style="7" bestFit="1" customWidth="1"/>
    <col min="24" max="24" width="30.83203125" style="7" bestFit="1" customWidth="1"/>
    <col min="25" max="25" width="5.33203125" style="9" bestFit="1" customWidth="1"/>
    <col min="26" max="26" width="9.33203125" style="7" bestFit="1" customWidth="1"/>
    <col min="27" max="27" width="5.33203125" style="7" bestFit="1" customWidth="1"/>
    <col min="28" max="30" width="9.5" style="7" bestFit="1" customWidth="1"/>
    <col min="31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7.83203125" style="9" bestFit="1" customWidth="1"/>
    <col min="45" max="45" width="10.83203125" style="7"/>
    <col min="46" max="46" width="130.5" style="7" bestFit="1" customWidth="1"/>
    <col min="47" max="16384" width="10.83203125" style="7"/>
  </cols>
  <sheetData>
    <row r="1" spans="2:44" customFormat="1">
      <c r="C1" s="32"/>
      <c r="D1" s="32"/>
      <c r="E1" s="32"/>
      <c r="G1" s="32"/>
      <c r="M1" s="32"/>
      <c r="V1" s="32"/>
      <c r="Y1" s="32"/>
      <c r="AQ1" s="32"/>
      <c r="AR1" s="32"/>
    </row>
    <row r="2" spans="2:44" s="1" customFormat="1" ht="21">
      <c r="B2" s="1" t="s">
        <v>1368</v>
      </c>
      <c r="C2" s="33"/>
      <c r="D2" s="33"/>
      <c r="E2" s="33"/>
      <c r="F2" s="1" t="s">
        <v>1369</v>
      </c>
      <c r="G2" s="33"/>
      <c r="M2" s="33"/>
      <c r="V2" s="33"/>
      <c r="Y2" s="33"/>
      <c r="AQ2" s="33"/>
      <c r="AR2" s="33"/>
    </row>
    <row r="3" spans="2:44" s="1" customFormat="1" ht="21">
      <c r="C3" s="33"/>
      <c r="D3" s="33"/>
      <c r="E3" s="33"/>
      <c r="G3" s="33"/>
      <c r="M3" s="33"/>
      <c r="V3" s="33"/>
      <c r="Y3" s="33"/>
      <c r="AQ3" s="33"/>
      <c r="AR3" s="33"/>
    </row>
    <row r="4" spans="2:44" s="1" customFormat="1" ht="21">
      <c r="C4" s="33"/>
      <c r="D4" s="33"/>
      <c r="E4" s="33"/>
      <c r="G4" s="33"/>
      <c r="M4" s="33"/>
      <c r="V4" s="33"/>
      <c r="Y4" s="33"/>
      <c r="AQ4" s="33"/>
      <c r="AR4" s="33"/>
    </row>
    <row r="5" spans="2:44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  <c r="Y5" s="3"/>
      <c r="AR5" s="3"/>
    </row>
    <row r="6" spans="2:44" s="4" customFormat="1">
      <c r="N6" s="55"/>
      <c r="Y6" s="6"/>
      <c r="AR6" s="6"/>
    </row>
    <row r="7" spans="2:44" ht="21">
      <c r="N7" s="82" t="s">
        <v>6</v>
      </c>
    </row>
    <row r="8" spans="2:44">
      <c r="N8" s="7" t="s">
        <v>3173</v>
      </c>
      <c r="O8" s="89" t="s">
        <v>3174</v>
      </c>
    </row>
    <row r="9" spans="2:44">
      <c r="N9" s="7" t="s">
        <v>3172</v>
      </c>
      <c r="O9" s="7" t="s">
        <v>3189</v>
      </c>
    </row>
    <row r="11" spans="2:44">
      <c r="N11" s="12"/>
    </row>
    <row r="14" spans="2:44" ht="21">
      <c r="B14" s="225" t="s">
        <v>1949</v>
      </c>
      <c r="C14" s="99">
        <v>1600</v>
      </c>
      <c r="N14" s="207" t="s">
        <v>3094</v>
      </c>
    </row>
    <row r="15" spans="2:44">
      <c r="N15" s="7" t="s">
        <v>3175</v>
      </c>
    </row>
    <row r="23" spans="1:44" s="16" customFormat="1" ht="21">
      <c r="A23" s="15"/>
      <c r="D23" s="15"/>
      <c r="E23" s="15"/>
      <c r="F23" s="17" t="s">
        <v>17</v>
      </c>
      <c r="G23" s="15"/>
      <c r="H23" s="15"/>
      <c r="I23" s="15"/>
      <c r="J23" s="15"/>
      <c r="K23" s="15"/>
      <c r="L23" s="15"/>
      <c r="M23" s="15"/>
      <c r="N23" s="17"/>
      <c r="O23" s="17"/>
      <c r="S23" s="17"/>
      <c r="T23" s="15"/>
      <c r="U23" s="15"/>
      <c r="V23" s="15"/>
      <c r="X23" s="18"/>
      <c r="Y23" s="15"/>
      <c r="Z23" s="15"/>
      <c r="AA23" s="15"/>
      <c r="AB23" s="17"/>
      <c r="AC23" s="15"/>
      <c r="AD23" s="15"/>
      <c r="AE23" s="15"/>
      <c r="AF23" s="17"/>
      <c r="AG23" s="15"/>
      <c r="AH23" s="15"/>
      <c r="AI23" s="17"/>
      <c r="AJ23" s="15"/>
      <c r="AK23" s="17"/>
      <c r="AL23" s="15"/>
      <c r="AM23" s="15"/>
      <c r="AQ23" s="15"/>
      <c r="AR23" s="15"/>
    </row>
    <row r="24" spans="1:44" s="16" customFormat="1" ht="21">
      <c r="A24" s="15"/>
      <c r="B24" s="16" t="s">
        <v>18</v>
      </c>
      <c r="C24" s="16" t="s">
        <v>19</v>
      </c>
      <c r="D24" s="15"/>
      <c r="E24" s="15"/>
      <c r="F24" s="15" t="s">
        <v>20</v>
      </c>
      <c r="G24" s="15"/>
      <c r="H24" s="15"/>
      <c r="I24" s="15"/>
      <c r="J24" s="15"/>
      <c r="K24" s="15"/>
      <c r="L24" s="15"/>
      <c r="M24" s="15"/>
      <c r="N24" s="17"/>
      <c r="O24" s="17"/>
      <c r="S24" s="17"/>
      <c r="T24" s="15"/>
      <c r="U24" s="15"/>
      <c r="V24" s="15"/>
      <c r="X24" s="18"/>
      <c r="Y24" s="15"/>
      <c r="Z24" s="15"/>
      <c r="AA24" s="15"/>
      <c r="AB24" s="17"/>
      <c r="AC24" s="15" t="s">
        <v>21</v>
      </c>
      <c r="AD24" s="15" t="s">
        <v>21</v>
      </c>
      <c r="AE24" s="15" t="s">
        <v>21</v>
      </c>
      <c r="AF24" s="17"/>
      <c r="AG24" s="15" t="s">
        <v>22</v>
      </c>
      <c r="AH24" s="15" t="s">
        <v>22</v>
      </c>
      <c r="AI24" s="17"/>
      <c r="AJ24" s="15"/>
      <c r="AK24" s="17"/>
      <c r="AL24" s="15" t="s">
        <v>23</v>
      </c>
      <c r="AM24" s="15" t="s">
        <v>23</v>
      </c>
      <c r="AN24" s="15" t="s">
        <v>24</v>
      </c>
      <c r="AO24" s="15"/>
      <c r="AQ24" s="15"/>
      <c r="AR24" s="15"/>
    </row>
    <row r="25" spans="1:44" s="20" customFormat="1" ht="22" thickBot="1">
      <c r="A25" s="19"/>
      <c r="B25" s="20" t="s">
        <v>25</v>
      </c>
      <c r="C25" s="20" t="s">
        <v>25</v>
      </c>
      <c r="D25" s="19"/>
      <c r="E25" s="19"/>
      <c r="F25" s="19" t="s">
        <v>26</v>
      </c>
      <c r="G25" s="19" t="s">
        <v>27</v>
      </c>
      <c r="H25" s="19" t="s">
        <v>28</v>
      </c>
      <c r="I25" s="19" t="s">
        <v>29</v>
      </c>
      <c r="J25" s="19" t="s">
        <v>14</v>
      </c>
      <c r="K25" s="19" t="s">
        <v>24</v>
      </c>
      <c r="L25" s="19" t="s">
        <v>30</v>
      </c>
      <c r="M25" s="19"/>
      <c r="N25" s="21" t="s">
        <v>31</v>
      </c>
      <c r="O25" s="21" t="s">
        <v>962</v>
      </c>
      <c r="P25" s="20" t="s">
        <v>32</v>
      </c>
      <c r="Q25" s="20" t="s">
        <v>33</v>
      </c>
      <c r="R25" s="20" t="s">
        <v>34</v>
      </c>
      <c r="S25" s="21" t="s">
        <v>35</v>
      </c>
      <c r="T25" s="21" t="s">
        <v>118</v>
      </c>
      <c r="U25" s="21" t="s">
        <v>119</v>
      </c>
      <c r="V25" s="19"/>
      <c r="W25" s="20" t="s">
        <v>37</v>
      </c>
      <c r="X25" s="21" t="s">
        <v>38</v>
      </c>
      <c r="Y25" s="19" t="s">
        <v>39</v>
      </c>
      <c r="Z25" s="21" t="s">
        <v>40</v>
      </c>
      <c r="AA25" s="19" t="s">
        <v>39</v>
      </c>
      <c r="AB25" s="21" t="s">
        <v>21</v>
      </c>
      <c r="AC25" s="19" t="s">
        <v>41</v>
      </c>
      <c r="AD25" s="19" t="s">
        <v>39</v>
      </c>
      <c r="AE25" s="19" t="s">
        <v>42</v>
      </c>
      <c r="AF25" s="21" t="s">
        <v>22</v>
      </c>
      <c r="AG25" s="19" t="s">
        <v>39</v>
      </c>
      <c r="AH25" s="19" t="s">
        <v>43</v>
      </c>
      <c r="AI25" s="21" t="s">
        <v>44</v>
      </c>
      <c r="AJ25" s="19" t="s">
        <v>39</v>
      </c>
      <c r="AK25" s="21" t="s">
        <v>23</v>
      </c>
      <c r="AL25" s="19" t="s">
        <v>39</v>
      </c>
      <c r="AM25" s="19" t="s">
        <v>42</v>
      </c>
      <c r="AN25" s="19" t="s">
        <v>45</v>
      </c>
      <c r="AO25" s="20" t="s">
        <v>39</v>
      </c>
      <c r="AP25" s="19" t="s">
        <v>42</v>
      </c>
      <c r="AQ25" s="19"/>
      <c r="AR25" s="19" t="s">
        <v>46</v>
      </c>
    </row>
    <row r="26" spans="1:44" s="22" customFormat="1">
      <c r="D26" s="23"/>
      <c r="E26" s="210"/>
      <c r="F26" s="23"/>
      <c r="G26" s="23"/>
      <c r="H26" s="23"/>
      <c r="I26" s="23"/>
      <c r="J26" s="23"/>
      <c r="K26" s="25"/>
      <c r="L26" s="23"/>
      <c r="M26" s="210"/>
      <c r="V26" s="210"/>
      <c r="Y26" s="23"/>
      <c r="AQ26" s="210"/>
      <c r="AR26" s="23"/>
    </row>
    <row r="27" spans="1:44">
      <c r="E27" s="210"/>
      <c r="M27" s="210"/>
      <c r="V27" s="210"/>
      <c r="AQ27" s="210"/>
    </row>
    <row r="28" spans="1:44" s="22" customFormat="1">
      <c r="B28" s="22" t="s">
        <v>1011</v>
      </c>
      <c r="C28" s="22" t="s">
        <v>2248</v>
      </c>
      <c r="E28" s="210"/>
      <c r="F28" s="22">
        <v>1</v>
      </c>
      <c r="M28" s="210"/>
      <c r="N28" s="22" t="s">
        <v>49</v>
      </c>
      <c r="O28" s="22" t="s">
        <v>2273</v>
      </c>
      <c r="P28" s="22" t="s">
        <v>2274</v>
      </c>
      <c r="Q28" s="22" t="s">
        <v>388</v>
      </c>
      <c r="R28" s="22" t="s">
        <v>389</v>
      </c>
      <c r="S28" s="22">
        <v>55420</v>
      </c>
      <c r="T28" s="22" t="s">
        <v>2275</v>
      </c>
      <c r="V28" s="210"/>
      <c r="W28" s="22" t="s">
        <v>1369</v>
      </c>
      <c r="Y28" s="23"/>
      <c r="AQ28" s="210"/>
      <c r="AR28" s="23"/>
    </row>
    <row r="29" spans="1:44" s="22" customFormat="1">
      <c r="E29" s="210"/>
      <c r="M29" s="210"/>
      <c r="V29" s="210"/>
      <c r="Y29" s="23"/>
      <c r="AQ29" s="210"/>
      <c r="AR29" s="23"/>
    </row>
    <row r="30" spans="1:44" s="22" customFormat="1">
      <c r="E30" s="210"/>
      <c r="M30" s="210"/>
      <c r="V30" s="210"/>
      <c r="Y30" s="23"/>
      <c r="AQ30" s="210"/>
      <c r="AR30" s="23"/>
    </row>
    <row r="31" spans="1:44" s="22" customFormat="1">
      <c r="E31" s="210"/>
      <c r="M31" s="210"/>
      <c r="V31" s="210"/>
      <c r="Y31" s="23"/>
      <c r="AQ31" s="210"/>
      <c r="AR31" s="23"/>
    </row>
    <row r="32" spans="1:44" s="22" customFormat="1">
      <c r="E32" s="210"/>
      <c r="M32" s="210"/>
      <c r="V32" s="210"/>
      <c r="Y32" s="23"/>
      <c r="AQ32" s="210"/>
      <c r="AR32" s="23"/>
    </row>
    <row r="33" spans="2:47" s="22" customFormat="1">
      <c r="E33" s="210"/>
      <c r="M33" s="210"/>
      <c r="V33" s="210"/>
      <c r="Y33" s="23"/>
      <c r="AQ33" s="210"/>
      <c r="AR33" s="23"/>
    </row>
    <row r="34" spans="2:47" s="22" customFormat="1">
      <c r="E34" s="210"/>
      <c r="M34" s="210"/>
      <c r="V34" s="210"/>
      <c r="Y34" s="23"/>
      <c r="AQ34" s="210"/>
      <c r="AR34" s="23"/>
    </row>
    <row r="35" spans="2:47" s="22" customFormat="1">
      <c r="E35" s="210"/>
      <c r="M35" s="210"/>
      <c r="V35" s="210"/>
      <c r="Y35" s="23"/>
      <c r="AQ35" s="210"/>
      <c r="AR35" s="23"/>
    </row>
    <row r="36" spans="2:47" s="22" customFormat="1">
      <c r="E36" s="210"/>
      <c r="M36" s="210"/>
      <c r="V36" s="210"/>
      <c r="Y36" s="23"/>
      <c r="AQ36" s="210"/>
      <c r="AR36" s="23"/>
    </row>
    <row r="37" spans="2:47" s="22" customFormat="1">
      <c r="E37" s="210"/>
      <c r="M37" s="210"/>
      <c r="V37" s="210"/>
      <c r="Y37" s="23"/>
      <c r="AQ37" s="210"/>
      <c r="AR37" s="23"/>
    </row>
    <row r="38" spans="2:47" s="22" customFormat="1">
      <c r="E38" s="210"/>
      <c r="M38" s="210"/>
      <c r="V38" s="210"/>
      <c r="Y38" s="23"/>
      <c r="AQ38" s="210"/>
      <c r="AR38" s="23"/>
    </row>
    <row r="39" spans="2:47" s="22" customFormat="1">
      <c r="B39" s="95" t="s">
        <v>3089</v>
      </c>
      <c r="E39" s="210"/>
      <c r="M39" s="210"/>
      <c r="N39" s="95" t="s">
        <v>3090</v>
      </c>
      <c r="V39" s="210"/>
      <c r="Y39" s="23"/>
      <c r="AQ39" s="210"/>
      <c r="AR39" s="23"/>
    </row>
    <row r="40" spans="2:47" s="22" customFormat="1">
      <c r="B40" s="22" t="s">
        <v>2249</v>
      </c>
      <c r="C40" s="22" t="s">
        <v>2250</v>
      </c>
      <c r="E40" s="210"/>
      <c r="F40" s="23">
        <v>1</v>
      </c>
      <c r="G40" s="23"/>
      <c r="H40" s="23"/>
      <c r="I40" s="23"/>
      <c r="J40" s="23"/>
      <c r="K40" s="23"/>
      <c r="L40" s="23"/>
      <c r="M40" s="210"/>
      <c r="N40" s="22" t="s">
        <v>276</v>
      </c>
      <c r="O40" s="22" t="s">
        <v>2161</v>
      </c>
      <c r="P40" s="22" t="s">
        <v>3098</v>
      </c>
      <c r="Q40" s="22" t="s">
        <v>3111</v>
      </c>
      <c r="R40" s="22" t="s">
        <v>543</v>
      </c>
      <c r="S40" s="22">
        <v>15068</v>
      </c>
      <c r="T40" s="36" t="s">
        <v>2242</v>
      </c>
      <c r="V40" s="210"/>
      <c r="W40" s="36" t="s">
        <v>2163</v>
      </c>
      <c r="X40" s="36" t="s">
        <v>2229</v>
      </c>
      <c r="Y40" s="23">
        <v>1</v>
      </c>
      <c r="AQ40" s="210"/>
      <c r="AR40" s="23">
        <v>34</v>
      </c>
      <c r="AS40" s="22" t="s">
        <v>2209</v>
      </c>
      <c r="AT40" s="22" t="s">
        <v>2162</v>
      </c>
    </row>
    <row r="41" spans="2:47" s="22" customFormat="1">
      <c r="B41" s="22" t="s">
        <v>424</v>
      </c>
      <c r="C41" s="22" t="s">
        <v>2251</v>
      </c>
      <c r="E41" s="210"/>
      <c r="F41" s="23">
        <v>1</v>
      </c>
      <c r="G41" s="23"/>
      <c r="H41" s="23"/>
      <c r="I41" s="23"/>
      <c r="J41" s="23"/>
      <c r="K41" s="23"/>
      <c r="L41" s="23"/>
      <c r="M41" s="210"/>
      <c r="N41" s="22" t="s">
        <v>2210</v>
      </c>
      <c r="O41" s="22" t="s">
        <v>1454</v>
      </c>
      <c r="P41" s="22" t="s">
        <v>3099</v>
      </c>
      <c r="Q41" s="22" t="s">
        <v>3112</v>
      </c>
      <c r="R41" s="22" t="s">
        <v>352</v>
      </c>
      <c r="S41" s="22">
        <v>50036</v>
      </c>
      <c r="T41" s="36" t="s">
        <v>2243</v>
      </c>
      <c r="V41" s="210"/>
      <c r="W41" s="36" t="s">
        <v>2165</v>
      </c>
      <c r="X41" s="36" t="s">
        <v>2230</v>
      </c>
      <c r="Y41" s="23">
        <v>1</v>
      </c>
      <c r="AQ41" s="210"/>
      <c r="AR41" s="23">
        <v>144</v>
      </c>
      <c r="AS41" s="22" t="s">
        <v>2209</v>
      </c>
      <c r="AT41" s="22" t="s">
        <v>2164</v>
      </c>
    </row>
    <row r="42" spans="2:47" s="22" customFormat="1">
      <c r="B42" s="36" t="s">
        <v>2252</v>
      </c>
      <c r="C42" s="22" t="s">
        <v>2253</v>
      </c>
      <c r="E42" s="210"/>
      <c r="F42" s="23"/>
      <c r="G42" s="23">
        <v>1</v>
      </c>
      <c r="H42" s="23"/>
      <c r="I42" s="23"/>
      <c r="J42" s="23"/>
      <c r="K42" s="23"/>
      <c r="L42" s="23"/>
      <c r="M42" s="210"/>
      <c r="N42" s="22" t="s">
        <v>2211</v>
      </c>
      <c r="O42" s="22" t="s">
        <v>2166</v>
      </c>
      <c r="P42" s="22" t="s">
        <v>3100</v>
      </c>
      <c r="Q42" s="22" t="s">
        <v>3113</v>
      </c>
      <c r="R42" s="22" t="s">
        <v>543</v>
      </c>
      <c r="S42" s="22">
        <v>17011</v>
      </c>
      <c r="T42" s="36" t="s">
        <v>3118</v>
      </c>
      <c r="V42" s="210"/>
      <c r="W42" s="36" t="s">
        <v>2168</v>
      </c>
      <c r="Y42" s="23"/>
      <c r="AQ42" s="210"/>
      <c r="AR42" s="23">
        <v>124</v>
      </c>
      <c r="AS42" s="22" t="s">
        <v>2209</v>
      </c>
      <c r="AT42" s="22" t="s">
        <v>2167</v>
      </c>
    </row>
    <row r="43" spans="2:47" s="22" customFormat="1">
      <c r="B43" s="36" t="s">
        <v>2254</v>
      </c>
      <c r="C43" s="22" t="s">
        <v>2255</v>
      </c>
      <c r="E43" s="210"/>
      <c r="F43" s="23">
        <v>1</v>
      </c>
      <c r="G43" s="23"/>
      <c r="H43" s="23"/>
      <c r="I43" s="23"/>
      <c r="J43" s="23"/>
      <c r="K43" s="23"/>
      <c r="L43" s="23"/>
      <c r="M43" s="210"/>
      <c r="N43" s="22" t="s">
        <v>2211</v>
      </c>
      <c r="O43" s="22" t="s">
        <v>2166</v>
      </c>
      <c r="P43" s="22" t="s">
        <v>3100</v>
      </c>
      <c r="Q43" s="22" t="s">
        <v>3113</v>
      </c>
      <c r="R43" s="22" t="s">
        <v>543</v>
      </c>
      <c r="S43" s="22">
        <v>17011</v>
      </c>
      <c r="T43" s="36" t="s">
        <v>3118</v>
      </c>
      <c r="V43" s="210"/>
      <c r="W43" s="36" t="s">
        <v>2168</v>
      </c>
      <c r="Y43" s="23"/>
      <c r="AQ43" s="210"/>
      <c r="AR43" s="23"/>
      <c r="AS43" s="22" t="s">
        <v>2209</v>
      </c>
      <c r="AT43" s="22" t="s">
        <v>2167</v>
      </c>
    </row>
    <row r="44" spans="2:47" s="22" customFormat="1">
      <c r="B44" s="22" t="s">
        <v>2256</v>
      </c>
      <c r="C44" s="22" t="s">
        <v>2257</v>
      </c>
      <c r="E44" s="210"/>
      <c r="F44" s="23">
        <v>1</v>
      </c>
      <c r="G44" s="23"/>
      <c r="H44" s="23"/>
      <c r="I44" s="23"/>
      <c r="J44" s="23"/>
      <c r="K44" s="23"/>
      <c r="L44" s="23"/>
      <c r="M44" s="210"/>
      <c r="N44" s="22" t="s">
        <v>276</v>
      </c>
      <c r="O44" s="22" t="s">
        <v>2169</v>
      </c>
      <c r="P44" s="22" t="s">
        <v>2235</v>
      </c>
      <c r="Q44" s="22" t="s">
        <v>1236</v>
      </c>
      <c r="R44" s="22" t="s">
        <v>551</v>
      </c>
      <c r="S44" s="22">
        <v>32225</v>
      </c>
      <c r="T44" s="36" t="s">
        <v>2244</v>
      </c>
      <c r="V44" s="210"/>
      <c r="W44" s="36" t="s">
        <v>2171</v>
      </c>
      <c r="X44" s="36" t="s">
        <v>2231</v>
      </c>
      <c r="Y44" s="23">
        <v>1</v>
      </c>
      <c r="AQ44" s="210"/>
      <c r="AR44" s="23">
        <v>100</v>
      </c>
      <c r="AS44" s="22" t="s">
        <v>2209</v>
      </c>
      <c r="AT44" s="22" t="s">
        <v>2170</v>
      </c>
    </row>
    <row r="45" spans="2:47" s="22" customFormat="1">
      <c r="B45" s="22" t="s">
        <v>838</v>
      </c>
      <c r="C45" s="22" t="s">
        <v>2269</v>
      </c>
      <c r="E45" s="210"/>
      <c r="F45" s="23">
        <v>1</v>
      </c>
      <c r="G45" s="23"/>
      <c r="H45" s="23"/>
      <c r="I45" s="23"/>
      <c r="J45" s="23"/>
      <c r="K45" s="23"/>
      <c r="L45" s="23"/>
      <c r="M45" s="210"/>
      <c r="N45" s="22" t="s">
        <v>276</v>
      </c>
      <c r="O45" s="22" t="s">
        <v>2172</v>
      </c>
      <c r="P45" s="22" t="s">
        <v>2213</v>
      </c>
      <c r="Q45" s="22" t="s">
        <v>2240</v>
      </c>
      <c r="R45" s="22" t="s">
        <v>56</v>
      </c>
      <c r="S45" s="22">
        <v>77479</v>
      </c>
      <c r="T45" s="22" t="s">
        <v>2245</v>
      </c>
      <c r="V45" s="210"/>
      <c r="W45" s="36" t="s">
        <v>2174</v>
      </c>
      <c r="X45" s="36" t="s">
        <v>2212</v>
      </c>
      <c r="Y45" s="23">
        <v>1</v>
      </c>
      <c r="AQ45" s="210"/>
      <c r="AR45" s="23">
        <v>126</v>
      </c>
      <c r="AS45" s="22" t="s">
        <v>2209</v>
      </c>
      <c r="AT45" s="22" t="s">
        <v>2173</v>
      </c>
    </row>
    <row r="46" spans="2:47" s="22" customFormat="1">
      <c r="B46" s="22" t="s">
        <v>466</v>
      </c>
      <c r="C46" s="22" t="s">
        <v>2258</v>
      </c>
      <c r="E46" s="210"/>
      <c r="F46" s="23">
        <v>1</v>
      </c>
      <c r="G46" s="23"/>
      <c r="H46" s="23"/>
      <c r="I46" s="23"/>
      <c r="J46" s="23"/>
      <c r="K46" s="23"/>
      <c r="L46" s="23"/>
      <c r="M46" s="210"/>
      <c r="N46" s="22" t="s">
        <v>276</v>
      </c>
      <c r="O46" s="22" t="s">
        <v>2175</v>
      </c>
      <c r="T46" s="36" t="s">
        <v>3101</v>
      </c>
      <c r="V46" s="210"/>
      <c r="W46" s="36" t="s">
        <v>2177</v>
      </c>
      <c r="X46" s="36" t="s">
        <v>2232</v>
      </c>
      <c r="Y46" s="23">
        <v>1</v>
      </c>
      <c r="AQ46" s="210"/>
      <c r="AR46" s="23">
        <v>224</v>
      </c>
      <c r="AS46" s="22" t="s">
        <v>2209</v>
      </c>
      <c r="AT46" s="22" t="s">
        <v>2176</v>
      </c>
    </row>
    <row r="47" spans="2:47" s="22" customFormat="1">
      <c r="B47" s="22" t="s">
        <v>2259</v>
      </c>
      <c r="C47" s="22" t="s">
        <v>2260</v>
      </c>
      <c r="E47" s="210"/>
      <c r="F47" s="23">
        <v>1</v>
      </c>
      <c r="G47" s="23"/>
      <c r="H47" s="23"/>
      <c r="I47" s="23"/>
      <c r="J47" s="23"/>
      <c r="K47" s="23"/>
      <c r="L47" s="23"/>
      <c r="M47" s="210"/>
      <c r="N47" s="22" t="s">
        <v>276</v>
      </c>
      <c r="O47" s="22" t="s">
        <v>2178</v>
      </c>
      <c r="P47" s="22" t="s">
        <v>2237</v>
      </c>
      <c r="Q47" s="22" t="s">
        <v>2236</v>
      </c>
      <c r="R47" s="22" t="s">
        <v>646</v>
      </c>
      <c r="S47" s="22">
        <v>54482</v>
      </c>
      <c r="V47" s="210"/>
      <c r="W47" s="36" t="s">
        <v>2180</v>
      </c>
      <c r="X47" s="36" t="s">
        <v>2214</v>
      </c>
      <c r="Y47" s="23">
        <v>1</v>
      </c>
      <c r="AQ47" s="210"/>
      <c r="AR47" s="23">
        <v>16</v>
      </c>
      <c r="AS47" s="22" t="s">
        <v>2209</v>
      </c>
      <c r="AT47" s="22" t="s">
        <v>2179</v>
      </c>
    </row>
    <row r="48" spans="2:47" s="22" customFormat="1">
      <c r="B48" s="22" t="s">
        <v>441</v>
      </c>
      <c r="C48" s="22" t="s">
        <v>2261</v>
      </c>
      <c r="E48" s="210"/>
      <c r="F48" s="23">
        <v>1</v>
      </c>
      <c r="G48" s="23"/>
      <c r="H48" s="23"/>
      <c r="I48" s="23"/>
      <c r="J48" s="23"/>
      <c r="K48" s="23"/>
      <c r="L48" s="23"/>
      <c r="M48" s="210"/>
      <c r="N48" s="22" t="s">
        <v>276</v>
      </c>
      <c r="O48" s="22" t="s">
        <v>2181</v>
      </c>
      <c r="P48" s="22" t="s">
        <v>2239</v>
      </c>
      <c r="Q48" s="22" t="s">
        <v>2238</v>
      </c>
      <c r="R48" s="22" t="s">
        <v>344</v>
      </c>
      <c r="S48" s="22">
        <v>46561</v>
      </c>
      <c r="T48" s="22" t="s">
        <v>2216</v>
      </c>
      <c r="V48" s="210"/>
      <c r="W48" s="36" t="s">
        <v>2183</v>
      </c>
      <c r="X48" s="36" t="s">
        <v>2215</v>
      </c>
      <c r="Y48" s="23">
        <v>1</v>
      </c>
      <c r="AQ48" s="210"/>
      <c r="AR48" s="23">
        <v>201</v>
      </c>
      <c r="AS48" s="22" t="s">
        <v>2209</v>
      </c>
      <c r="AT48" s="22" t="s">
        <v>2182</v>
      </c>
      <c r="AU48" s="22" t="s">
        <v>2217</v>
      </c>
    </row>
    <row r="49" spans="1:46" s="22" customFormat="1">
      <c r="B49" s="36" t="s">
        <v>1800</v>
      </c>
      <c r="C49" s="22" t="s">
        <v>2262</v>
      </c>
      <c r="E49" s="210"/>
      <c r="F49" s="23"/>
      <c r="G49" s="23"/>
      <c r="H49" s="23"/>
      <c r="I49" s="23"/>
      <c r="J49" s="23">
        <v>1</v>
      </c>
      <c r="K49" s="23"/>
      <c r="L49" s="23"/>
      <c r="M49" s="210"/>
      <c r="N49" s="22" t="s">
        <v>276</v>
      </c>
      <c r="O49" s="22" t="s">
        <v>2184</v>
      </c>
      <c r="P49" s="22" t="s">
        <v>2219</v>
      </c>
      <c r="Q49" s="22" t="s">
        <v>325</v>
      </c>
      <c r="R49" s="22" t="s">
        <v>326</v>
      </c>
      <c r="S49" s="22">
        <v>96814</v>
      </c>
      <c r="V49" s="210"/>
      <c r="X49" s="36" t="s">
        <v>2218</v>
      </c>
      <c r="Y49" s="23">
        <v>1</v>
      </c>
      <c r="AQ49" s="210"/>
      <c r="AR49" s="23">
        <v>11</v>
      </c>
      <c r="AS49" s="22" t="s">
        <v>2209</v>
      </c>
      <c r="AT49" s="22" t="s">
        <v>93</v>
      </c>
    </row>
    <row r="50" spans="1:46" s="22" customFormat="1">
      <c r="B50" s="22" t="s">
        <v>2263</v>
      </c>
      <c r="C50" s="22" t="s">
        <v>2264</v>
      </c>
      <c r="E50" s="210"/>
      <c r="F50" s="23"/>
      <c r="G50" s="23"/>
      <c r="H50" s="23"/>
      <c r="I50" s="23"/>
      <c r="J50" s="23">
        <v>1</v>
      </c>
      <c r="K50" s="23"/>
      <c r="L50" s="23"/>
      <c r="M50" s="210"/>
      <c r="N50" s="22" t="s">
        <v>276</v>
      </c>
      <c r="O50" s="22" t="s">
        <v>2185</v>
      </c>
      <c r="P50" s="22" t="s">
        <v>2220</v>
      </c>
      <c r="Q50" s="22" t="s">
        <v>2241</v>
      </c>
      <c r="R50" s="22" t="s">
        <v>510</v>
      </c>
      <c r="S50" s="22">
        <v>99019</v>
      </c>
      <c r="T50" s="36" t="s">
        <v>2221</v>
      </c>
      <c r="V50" s="210"/>
      <c r="W50" s="36" t="s">
        <v>2187</v>
      </c>
      <c r="Y50" s="23"/>
      <c r="AQ50" s="210"/>
      <c r="AR50" s="23">
        <v>25</v>
      </c>
      <c r="AS50" s="22" t="s">
        <v>2209</v>
      </c>
      <c r="AT50" s="22" t="s">
        <v>2186</v>
      </c>
    </row>
    <row r="51" spans="1:46" s="22" customFormat="1">
      <c r="B51" s="36" t="s">
        <v>2265</v>
      </c>
      <c r="C51" s="22" t="s">
        <v>2266</v>
      </c>
      <c r="E51" s="210"/>
      <c r="F51" s="23">
        <v>1</v>
      </c>
      <c r="G51" s="23"/>
      <c r="H51" s="23"/>
      <c r="I51" s="23"/>
      <c r="J51" s="23"/>
      <c r="K51" s="23"/>
      <c r="L51" s="23"/>
      <c r="M51" s="210"/>
      <c r="N51" s="22" t="s">
        <v>276</v>
      </c>
      <c r="O51" s="22" t="s">
        <v>2188</v>
      </c>
      <c r="P51" s="22" t="s">
        <v>3102</v>
      </c>
      <c r="Q51" s="22" t="s">
        <v>3114</v>
      </c>
      <c r="R51" s="22" t="s">
        <v>412</v>
      </c>
      <c r="S51" s="22">
        <v>68022</v>
      </c>
      <c r="T51" s="36" t="s">
        <v>3103</v>
      </c>
      <c r="V51" s="210"/>
      <c r="W51" s="36" t="s">
        <v>2190</v>
      </c>
      <c r="X51" s="22" t="s">
        <v>2222</v>
      </c>
      <c r="Y51" s="23">
        <v>1</v>
      </c>
      <c r="AQ51" s="210"/>
      <c r="AR51" s="23">
        <v>104</v>
      </c>
      <c r="AS51" s="22" t="s">
        <v>2209</v>
      </c>
      <c r="AT51" s="22" t="s">
        <v>2189</v>
      </c>
    </row>
    <row r="52" spans="1:46" s="22" customFormat="1">
      <c r="B52" s="22" t="s">
        <v>2270</v>
      </c>
      <c r="C52" s="22" t="s">
        <v>2271</v>
      </c>
      <c r="E52" s="210"/>
      <c r="F52" s="23">
        <v>1</v>
      </c>
      <c r="G52" s="23"/>
      <c r="H52" s="23"/>
      <c r="I52" s="23"/>
      <c r="J52" s="23"/>
      <c r="K52" s="23"/>
      <c r="L52" s="23"/>
      <c r="M52" s="210"/>
      <c r="N52" s="22" t="s">
        <v>276</v>
      </c>
      <c r="O52" s="22" t="s">
        <v>2191</v>
      </c>
      <c r="P52" s="22" t="s">
        <v>3104</v>
      </c>
      <c r="Q52" s="22" t="s">
        <v>3115</v>
      </c>
      <c r="R52" s="22" t="s">
        <v>3110</v>
      </c>
      <c r="S52" s="22">
        <v>3821</v>
      </c>
      <c r="T52" s="36" t="s">
        <v>3119</v>
      </c>
      <c r="V52" s="210"/>
      <c r="W52" s="36" t="s">
        <v>2193</v>
      </c>
      <c r="Y52" s="23"/>
      <c r="AQ52" s="210"/>
      <c r="AR52" s="23">
        <v>61</v>
      </c>
      <c r="AS52" s="22" t="s">
        <v>2209</v>
      </c>
      <c r="AT52" s="22" t="s">
        <v>2192</v>
      </c>
    </row>
    <row r="53" spans="1:46" s="22" customFormat="1">
      <c r="E53" s="210"/>
      <c r="F53" s="23"/>
      <c r="G53" s="23"/>
      <c r="H53" s="23"/>
      <c r="I53" s="23"/>
      <c r="J53" s="23">
        <v>1</v>
      </c>
      <c r="K53" s="23"/>
      <c r="L53" s="23"/>
      <c r="M53" s="210"/>
      <c r="O53" s="22" t="s">
        <v>2194</v>
      </c>
      <c r="P53" s="22" t="s">
        <v>3105</v>
      </c>
      <c r="Q53" s="22" t="s">
        <v>388</v>
      </c>
      <c r="R53" s="22" t="s">
        <v>389</v>
      </c>
      <c r="S53" s="22">
        <v>55415</v>
      </c>
      <c r="T53" s="36" t="s">
        <v>3106</v>
      </c>
      <c r="V53" s="210"/>
      <c r="W53" s="36" t="s">
        <v>2196</v>
      </c>
      <c r="Y53" s="23"/>
      <c r="AQ53" s="210"/>
      <c r="AR53" s="23"/>
      <c r="AS53" s="22" t="s">
        <v>2209</v>
      </c>
      <c r="AT53" s="22" t="s">
        <v>2195</v>
      </c>
    </row>
    <row r="54" spans="1:46" s="22" customFormat="1">
      <c r="B54" s="22" t="s">
        <v>1330</v>
      </c>
      <c r="C54" s="22" t="s">
        <v>2267</v>
      </c>
      <c r="E54" s="210"/>
      <c r="F54" s="23">
        <v>1</v>
      </c>
      <c r="G54" s="23"/>
      <c r="H54" s="23"/>
      <c r="I54" s="23"/>
      <c r="J54" s="23"/>
      <c r="K54" s="23"/>
      <c r="L54" s="23"/>
      <c r="M54" s="210"/>
      <c r="N54" s="22" t="s">
        <v>276</v>
      </c>
      <c r="O54" s="22" t="s">
        <v>2197</v>
      </c>
      <c r="P54" s="22" t="s">
        <v>3107</v>
      </c>
      <c r="Q54" s="22" t="s">
        <v>3116</v>
      </c>
      <c r="R54" s="22" t="s">
        <v>456</v>
      </c>
      <c r="S54" s="22">
        <v>58072</v>
      </c>
      <c r="T54" s="36" t="s">
        <v>3108</v>
      </c>
      <c r="V54" s="210"/>
      <c r="W54" s="36" t="s">
        <v>2199</v>
      </c>
      <c r="X54" s="36" t="s">
        <v>2223</v>
      </c>
      <c r="Y54" s="23">
        <v>1</v>
      </c>
      <c r="AQ54" s="210"/>
      <c r="AR54" s="23">
        <v>39</v>
      </c>
      <c r="AS54" s="22" t="s">
        <v>2209</v>
      </c>
      <c r="AT54" s="22" t="s">
        <v>2198</v>
      </c>
    </row>
    <row r="55" spans="1:46" s="22" customFormat="1">
      <c r="B55" s="22" t="s">
        <v>2268</v>
      </c>
      <c r="C55" s="22" t="s">
        <v>1300</v>
      </c>
      <c r="E55" s="210"/>
      <c r="F55" s="23">
        <v>1</v>
      </c>
      <c r="G55" s="23"/>
      <c r="H55" s="23"/>
      <c r="I55" s="23"/>
      <c r="J55" s="23"/>
      <c r="K55" s="23"/>
      <c r="L55" s="23"/>
      <c r="M55" s="210"/>
      <c r="N55" s="22" t="s">
        <v>276</v>
      </c>
      <c r="O55" s="22" t="s">
        <v>2200</v>
      </c>
      <c r="P55" s="22" t="s">
        <v>3109</v>
      </c>
      <c r="Q55" s="22" t="s">
        <v>3117</v>
      </c>
      <c r="R55" s="22" t="s">
        <v>510</v>
      </c>
      <c r="S55" s="22">
        <v>98548</v>
      </c>
      <c r="T55" s="36" t="s">
        <v>2246</v>
      </c>
      <c r="V55" s="210"/>
      <c r="W55" s="36" t="s">
        <v>2202</v>
      </c>
      <c r="X55" s="36" t="s">
        <v>2233</v>
      </c>
      <c r="Y55" s="23">
        <v>1</v>
      </c>
      <c r="AQ55" s="210"/>
      <c r="AR55" s="23">
        <v>41</v>
      </c>
      <c r="AS55" s="22" t="s">
        <v>2209</v>
      </c>
      <c r="AT55" s="22" t="s">
        <v>2201</v>
      </c>
    </row>
    <row r="56" spans="1:46" s="22" customFormat="1">
      <c r="B56" s="36" t="s">
        <v>1322</v>
      </c>
      <c r="C56" s="22" t="s">
        <v>2272</v>
      </c>
      <c r="E56" s="210"/>
      <c r="F56" s="23">
        <v>1</v>
      </c>
      <c r="G56" s="23"/>
      <c r="H56" s="23"/>
      <c r="I56" s="23"/>
      <c r="J56" s="23"/>
      <c r="K56" s="23"/>
      <c r="L56" s="23"/>
      <c r="M56" s="210"/>
      <c r="N56" s="22" t="s">
        <v>2224</v>
      </c>
      <c r="O56" s="22" t="s">
        <v>2203</v>
      </c>
      <c r="P56" s="36" t="s">
        <v>2225</v>
      </c>
      <c r="Q56" s="36" t="s">
        <v>573</v>
      </c>
      <c r="R56" s="22" t="s">
        <v>300</v>
      </c>
      <c r="S56" s="22">
        <v>80908</v>
      </c>
      <c r="T56" s="22" t="s">
        <v>2226</v>
      </c>
      <c r="V56" s="210"/>
      <c r="W56" s="36" t="s">
        <v>2205</v>
      </c>
      <c r="Y56" s="23"/>
      <c r="AQ56" s="210"/>
      <c r="AR56" s="23"/>
      <c r="AS56" s="22" t="s">
        <v>2209</v>
      </c>
      <c r="AT56" s="22" t="s">
        <v>2204</v>
      </c>
    </row>
    <row r="57" spans="1:46" s="22" customFormat="1">
      <c r="B57" s="22" t="s">
        <v>1800</v>
      </c>
      <c r="C57" s="22" t="s">
        <v>275</v>
      </c>
      <c r="E57" s="210"/>
      <c r="F57" s="23"/>
      <c r="G57" s="23"/>
      <c r="H57" s="23"/>
      <c r="I57" s="23"/>
      <c r="J57" s="23">
        <v>1</v>
      </c>
      <c r="K57" s="23"/>
      <c r="L57" s="23"/>
      <c r="M57" s="210"/>
      <c r="N57" s="22" t="s">
        <v>2227</v>
      </c>
      <c r="O57" s="22" t="s">
        <v>2206</v>
      </c>
      <c r="R57" s="22" t="s">
        <v>300</v>
      </c>
      <c r="T57" s="36" t="s">
        <v>2247</v>
      </c>
      <c r="V57" s="210"/>
      <c r="W57" s="36" t="s">
        <v>2208</v>
      </c>
      <c r="X57" s="36" t="s">
        <v>2234</v>
      </c>
      <c r="Y57" s="23">
        <v>1</v>
      </c>
      <c r="AQ57" s="210"/>
      <c r="AR57" s="23">
        <v>56</v>
      </c>
      <c r="AS57" s="22" t="s">
        <v>2209</v>
      </c>
      <c r="AT57" s="22" t="s">
        <v>2207</v>
      </c>
    </row>
    <row r="58" spans="1:46" s="22" customFormat="1">
      <c r="F58" s="23"/>
      <c r="G58" s="23"/>
      <c r="H58" s="23"/>
      <c r="I58" s="23"/>
      <c r="J58" s="23"/>
      <c r="K58" s="23"/>
      <c r="L58" s="23"/>
      <c r="Y58" s="23"/>
      <c r="AR58" s="23">
        <f>SUM(AR39:AR57)</f>
        <v>1306</v>
      </c>
    </row>
    <row r="59" spans="1:46" s="22" customFormat="1">
      <c r="Y59" s="23"/>
      <c r="AR59" s="23"/>
    </row>
    <row r="60" spans="1:46" s="88" customFormat="1" ht="19">
      <c r="A60" s="87"/>
      <c r="B60" s="87" t="s">
        <v>684</v>
      </c>
      <c r="C60" s="87"/>
      <c r="D60" s="87"/>
      <c r="E60" s="87"/>
      <c r="F60" s="87">
        <f t="shared" ref="F60:L60" si="0">SUM(F40:F57)</f>
        <v>13</v>
      </c>
      <c r="G60" s="87">
        <f t="shared" si="0"/>
        <v>1</v>
      </c>
      <c r="H60" s="87">
        <f t="shared" si="0"/>
        <v>0</v>
      </c>
      <c r="I60" s="87">
        <f t="shared" si="0"/>
        <v>0</v>
      </c>
      <c r="J60" s="87">
        <f t="shared" si="0"/>
        <v>4</v>
      </c>
      <c r="K60" s="87">
        <f t="shared" si="0"/>
        <v>0</v>
      </c>
      <c r="L60" s="87">
        <f t="shared" si="0"/>
        <v>0</v>
      </c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>
        <f>SUM(Y40:Y57)</f>
        <v>12</v>
      </c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R60" s="88">
        <v>1600</v>
      </c>
      <c r="AT60" s="197" t="s">
        <v>2228</v>
      </c>
    </row>
    <row r="61" spans="1:46" s="22" customFormat="1">
      <c r="N61" s="36"/>
      <c r="Y61" s="23"/>
      <c r="AR61" s="23"/>
    </row>
    <row r="64" spans="1:46">
      <c r="N64" s="74"/>
    </row>
    <row r="66" spans="14:14">
      <c r="N66" s="74"/>
    </row>
    <row r="69" spans="14:14">
      <c r="N69" s="74"/>
    </row>
    <row r="72" spans="14:14">
      <c r="N72" s="74"/>
    </row>
    <row r="75" spans="14:14">
      <c r="N75" s="74"/>
    </row>
    <row r="78" spans="14:14">
      <c r="N78" s="74"/>
    </row>
    <row r="81" spans="14:14">
      <c r="N81" s="74"/>
    </row>
    <row r="84" spans="14:14">
      <c r="N84" s="74"/>
    </row>
    <row r="87" spans="14:14">
      <c r="N87" s="74"/>
    </row>
  </sheetData>
  <sortState xmlns:xlrd2="http://schemas.microsoft.com/office/spreadsheetml/2017/richdata2" ref="A40:AR87">
    <sortCondition ref="N40:N87"/>
  </sortState>
  <hyperlinks>
    <hyperlink ref="W40" r:id="rId1" display="https://allegheny.districts.efca.org/" xr:uid="{070A4DE1-6538-054E-881B-EA650F5CD035}"/>
    <hyperlink ref="W41" r:id="rId2" display="https://www.efcacentral.org/" xr:uid="{9474E116-6911-034C-A2B7-5C0DA95BEC1E}"/>
    <hyperlink ref="W42" r:id="rId3" display="https://efcaeast.com/" xr:uid="{C55954B8-C52A-1B41-BDDA-4EA1D07853F8}"/>
    <hyperlink ref="W44" r:id="rId4" display="https://efca-southeast.districts.efca.org/" xr:uid="{7D0A5455-485D-CE40-B4BE-043041F705B0}"/>
    <hyperlink ref="W45" r:id="rId5" display="http://www.efcatxok.org/" xr:uid="{47435A2B-40C5-B84F-832A-F8286FCD83AE}"/>
    <hyperlink ref="W46" r:id="rId6" display="https://efcawest.efcadistrict.org/" xr:uid="{1C91C83F-E500-024F-9851-14EB6E4A5570}"/>
    <hyperlink ref="W47" r:id="rId7" display="https://www.forestlakes-efca.org/" xr:uid="{1216B3BA-26C4-B54F-A61C-81D6D9B793CC}"/>
    <hyperlink ref="W48" r:id="rId8" display="https://www.gld-efca.org/" xr:uid="{8932BEB3-E597-8440-A72F-AF6DD49E1E22}"/>
    <hyperlink ref="W50" r:id="rId9" display="https://inland-mountain-region.districts.efca.org/" xr:uid="{D3E5C727-62EC-964F-8AA7-F7EE83960C30}"/>
    <hyperlink ref="W51" r:id="rId10" display="https://efcamidwest.org/" xr:uid="{02FDC9AC-2A76-6444-91E4-748EC419D0E4}"/>
    <hyperlink ref="W52" r:id="rId11" display="http://efcneda.org/" xr:uid="{7FCA063C-A977-324C-B4DC-7E92C5DDAC2E}"/>
    <hyperlink ref="W53" r:id="rId12" display="http://www.ncdefca.org/" xr:uid="{7774C709-B5D3-9E43-A7C5-008A41147B82}"/>
    <hyperlink ref="W54" r:id="rId13" display="http://www.npdefca.com/" xr:uid="{28916008-FE99-AD41-8E53-C9F5A3783CFE}"/>
    <hyperlink ref="W55" r:id="rId14" display="http://www.efcapnw.org/" xr:uid="{3D4770DF-A825-D64F-B5A5-E3320F300D21}"/>
    <hyperlink ref="W56" r:id="rId15" display="http://www.rockymountaindistrict.org/" xr:uid="{A000EC5B-FF41-3C4D-8DD3-07CBDF149188}"/>
    <hyperlink ref="W57" r:id="rId16" display="http://www.westerndistrict.org/" xr:uid="{125A66B0-21BB-C748-B1C6-85894E50B42D}"/>
    <hyperlink ref="X40" r:id="rId17" display="mailto:kerry.doyal@efca.org" xr:uid="{6C83DFAA-9A28-DD4B-A3C2-E9D658DAA3CB}"/>
    <hyperlink ref="T40" r:id="rId18" display="tel:724-664-9193" xr:uid="{8C4485A3-19FE-5A44-895E-FBA9ACBF9486}"/>
    <hyperlink ref="X41" r:id="rId19" display="mailto:mshields@efcacentral.org" xr:uid="{F45166E5-3930-FD4A-8076-32B01D063DF7}"/>
    <hyperlink ref="T41" r:id="rId20" display="tel:515.232.9005" xr:uid="{B41C9E25-FAA0-EB4E-B39B-34B30B2CF9C9}"/>
    <hyperlink ref="B42" r:id="rId21" display="https://commitmentchurch.org/cedrickbrown/" xr:uid="{1EC50A0C-08F6-124B-BDEA-27E5A97FB008}"/>
    <hyperlink ref="B43" r:id="rId22" display="https://www.integrity.church/leaders/tony-balsamo" xr:uid="{F0EE298B-8017-8546-8438-B78AC7692FFA}"/>
    <hyperlink ref="W43" r:id="rId23" display="https://efcaeast.com/" xr:uid="{4EDE66A5-A7F5-BD46-BD56-2B7673A1319A}"/>
    <hyperlink ref="X44" r:id="rId24" display="mailto:glen.schrieber@efca.org" xr:uid="{1A80EFB9-92C6-C546-B09E-BFB02CDDFF20}"/>
    <hyperlink ref="T44" r:id="rId25" display="tel:904-465-2388" xr:uid="{5AAD77B5-6879-8049-9435-B48368FFD7A6}"/>
    <hyperlink ref="X45" r:id="rId26" display="mailto:brent@efcatxok.org" xr:uid="{7611AA96-46AF-9342-BEE8-90F4CF2AA7C3}"/>
    <hyperlink ref="X46" r:id="rId27" display="mailto:tim.jacobs@efca.org" xr:uid="{00838498-939D-DE43-8201-D1F6F3773AB6}"/>
    <hyperlink ref="X47" r:id="rId28" display="mailto:jpayne@forestlakes-efca.org" xr:uid="{875EA8CB-D883-3F4B-AA4D-E3CB967F35C6}"/>
    <hyperlink ref="X48" r:id="rId29" display="mailto:gld@gld-efca.org" xr:uid="{4AFFF625-1C8A-6B4B-BF33-1AE3637F2930}"/>
    <hyperlink ref="X49" r:id="rId30" display="mailto:matt@harborhawaii.org" xr:uid="{33F9701B-12BD-934D-A5D4-D7F698B0CC18}"/>
    <hyperlink ref="B49" r:id="rId31" display="https://contacts.efca.org/contacts/matt-dirks" xr:uid="{28205996-0C71-134E-8A2D-CA470167537C}"/>
    <hyperlink ref="T50" r:id="rId32" display="tel:509-255-7646" xr:uid="{D0D64DF6-805D-0E48-9B1B-E1239B38FEFF}"/>
    <hyperlink ref="B51" r:id="rId33" display="mailto:mwd@efcamidwest.org" xr:uid="{68BC4538-125B-E844-937F-4CC2C1ACE21D}"/>
    <hyperlink ref="X54" r:id="rId34" display="mailto:npdefca.ds@gmail.com" xr:uid="{6B3AE24B-2729-A749-A817-CB9D8603DC63}"/>
    <hyperlink ref="X55" r:id="rId35" display="mailto:rivoaks@gmail.com" xr:uid="{00C3B008-FFCC-9042-A912-8482AB7F2FA8}"/>
    <hyperlink ref="T55" r:id="rId36" display="tel:541-653-7114" xr:uid="{DD631A20-5FC0-5F47-8D0D-5BA1636DFBE6}"/>
    <hyperlink ref="B56" r:id="rId37" display="http://www.rockymountaindistrict.org/our-team.html" xr:uid="{8EF3997B-6659-6C4D-93A8-17EB0692A3B0}"/>
    <hyperlink ref="P56" r:id="rId38" display="http://www.rockymountaindistrict.org/our-team.html" xr:uid="{FD164928-5F82-0A4C-B7DF-3DEA9753E900}"/>
    <hyperlink ref="Q56" r:id="rId39" display="http://www.rockymountaindistrict.org/our-team.html" xr:uid="{1668AB61-7CCA-5D45-B3D5-A45AB34D65E8}"/>
    <hyperlink ref="X57" r:id="rId40" display="mailto:matthewstanleymoore@gmail.com" xr:uid="{1E9EBB38-C245-C24D-BEB4-4B821AB8F752}"/>
    <hyperlink ref="T57" r:id="rId41" display="tel:916-917-7133" xr:uid="{0631704E-862F-5F44-B9C4-FE2A4FE5A383}"/>
    <hyperlink ref="T42" r:id="rId42" display="tel:+16103959034" xr:uid="{AD79D723-D228-454D-BEA0-A06303E74567}"/>
    <hyperlink ref="T46" r:id="rId43" display="tel:+19528531755" xr:uid="{9C6D9145-2E58-0740-BAF3-B19A3DBE3F6B}"/>
    <hyperlink ref="T51" r:id="rId44" display="tel:+13084550878" xr:uid="{E64E8E20-2180-7841-ABA7-65C5DFA33A39}"/>
    <hyperlink ref="T52" r:id="rId45" display="tel:+16038424482" xr:uid="{A7651C9D-2933-404F-BCDD-3A1C5CD159E4}"/>
    <hyperlink ref="T53" r:id="rId46" display="tel:+16123381716" xr:uid="{EFB54A6B-8C6F-4B45-907E-98C9EEF020F9}"/>
    <hyperlink ref="T54" r:id="rId47" display="tel:+17018407261" xr:uid="{A7AAAC17-FBF1-5C49-A200-2ECB58D40674}"/>
    <hyperlink ref="T43" r:id="rId48" display="tel:+16103959034" xr:uid="{75484007-3534-3C45-97DD-4014C54AECEE}"/>
    <hyperlink ref="O8" r:id="rId49" display="https://fullertonfree.com/" xr:uid="{C1B6C777-71CC-124B-B58E-E7B0D6162F3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AD38-AF0B-7547-90A6-3CDB3F2D7338}">
  <dimension ref="A1:AT52"/>
  <sheetViews>
    <sheetView workbookViewId="0">
      <selection activeCell="O11" sqref="O11"/>
    </sheetView>
  </sheetViews>
  <sheetFormatPr baseColWidth="10" defaultRowHeight="16"/>
  <cols>
    <col min="1" max="1" width="10.83203125" style="7"/>
    <col min="2" max="2" width="15.6640625" style="7" customWidth="1"/>
    <col min="3" max="3" width="11.5" style="7" bestFit="1" customWidth="1"/>
    <col min="4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23.83203125" style="7" bestFit="1" customWidth="1"/>
    <col min="15" max="15" width="28" style="7" bestFit="1" customWidth="1"/>
    <col min="16" max="16" width="23.83203125" style="7" bestFit="1" customWidth="1"/>
    <col min="17" max="17" width="10.6640625" style="7" bestFit="1" customWidth="1"/>
    <col min="18" max="18" width="7.1640625" style="7" bestFit="1" customWidth="1"/>
    <col min="19" max="19" width="6.1640625" style="7" bestFit="1" customWidth="1"/>
    <col min="20" max="20" width="12.5" style="7" bestFit="1" customWidth="1"/>
    <col min="21" max="21" width="10.5" style="7" bestFit="1" customWidth="1"/>
    <col min="22" max="22" width="5.83203125" style="7" customWidth="1"/>
    <col min="23" max="23" width="32" style="7" bestFit="1" customWidth="1"/>
    <col min="24" max="24" width="24.6640625" style="7" bestFit="1" customWidth="1"/>
    <col min="25" max="25" width="5.33203125" style="7" bestFit="1" customWidth="1"/>
    <col min="26" max="26" width="9.33203125" style="7" bestFit="1" customWidth="1"/>
    <col min="27" max="27" width="5.33203125" style="7" bestFit="1" customWidth="1"/>
    <col min="28" max="30" width="9.5" style="7" bestFit="1" customWidth="1"/>
    <col min="31" max="31" width="12" style="7" bestFit="1" customWidth="1"/>
    <col min="32" max="32" width="42.5" style="7" bestFit="1" customWidth="1"/>
    <col min="33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7.83203125" style="9" bestFit="1" customWidth="1"/>
    <col min="45" max="16384" width="10.83203125" style="7"/>
  </cols>
  <sheetData>
    <row r="1" spans="2:44" customFormat="1">
      <c r="C1" s="32"/>
      <c r="D1" s="32"/>
      <c r="E1" s="32"/>
      <c r="G1" s="32"/>
      <c r="M1" s="32"/>
      <c r="V1" s="32"/>
      <c r="AQ1" s="32"/>
      <c r="AR1" s="32"/>
    </row>
    <row r="2" spans="2:44" s="1" customFormat="1" ht="21">
      <c r="B2" s="1" t="s">
        <v>1344</v>
      </c>
      <c r="C2" s="33"/>
      <c r="D2" s="33"/>
      <c r="E2" s="33"/>
      <c r="F2" s="1" t="s">
        <v>1370</v>
      </c>
      <c r="G2" s="33"/>
      <c r="M2" s="33"/>
      <c r="V2" s="33"/>
      <c r="AQ2" s="33"/>
      <c r="AR2" s="33"/>
    </row>
    <row r="3" spans="2:44" s="1" customFormat="1" ht="21">
      <c r="C3" s="33"/>
      <c r="D3" s="33"/>
      <c r="E3" s="33"/>
      <c r="G3" s="33"/>
      <c r="M3" s="33"/>
      <c r="V3" s="33"/>
      <c r="AQ3" s="33"/>
      <c r="AR3" s="33"/>
    </row>
    <row r="4" spans="2:44" s="1" customFormat="1" ht="21">
      <c r="C4" s="33"/>
      <c r="D4" s="33"/>
      <c r="E4" s="33"/>
      <c r="G4" s="33"/>
      <c r="M4" s="33"/>
      <c r="V4" s="33"/>
      <c r="AQ4" s="33"/>
      <c r="AR4" s="33"/>
    </row>
    <row r="5" spans="2:44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  <c r="AR5" s="3"/>
    </row>
    <row r="6" spans="2:44" s="4" customFormat="1">
      <c r="N6" s="55"/>
      <c r="AR6" s="6"/>
    </row>
    <row r="7" spans="2:44" ht="21">
      <c r="N7" s="82" t="s">
        <v>6</v>
      </c>
    </row>
    <row r="8" spans="2:44">
      <c r="N8" s="7" t="s">
        <v>3854</v>
      </c>
    </row>
    <row r="11" spans="2:44">
      <c r="N11" s="12"/>
      <c r="O11" s="84"/>
    </row>
    <row r="13" spans="2:44">
      <c r="B13" s="225" t="s">
        <v>1949</v>
      </c>
      <c r="C13" s="99">
        <v>300</v>
      </c>
    </row>
    <row r="14" spans="2:44" ht="21">
      <c r="N14" s="207" t="s">
        <v>3094</v>
      </c>
    </row>
    <row r="15" spans="2:44">
      <c r="N15" s="7" t="s">
        <v>3093</v>
      </c>
    </row>
    <row r="26" spans="1:44" s="16" customFormat="1" ht="21">
      <c r="A26" s="15"/>
      <c r="D26" s="15"/>
      <c r="E26" s="17"/>
      <c r="F26" s="17" t="s">
        <v>17</v>
      </c>
      <c r="G26" s="15"/>
      <c r="H26" s="15"/>
      <c r="I26" s="15"/>
      <c r="J26" s="15"/>
      <c r="K26" s="15"/>
      <c r="L26" s="15"/>
      <c r="M26" s="17"/>
      <c r="N26" s="17"/>
      <c r="O26" s="17"/>
      <c r="S26" s="17"/>
      <c r="T26" s="15"/>
      <c r="U26" s="15"/>
      <c r="V26" s="17"/>
      <c r="X26" s="18"/>
      <c r="Y26" s="15"/>
      <c r="Z26" s="15"/>
      <c r="AA26" s="15"/>
      <c r="AB26" s="17"/>
      <c r="AC26" s="15"/>
      <c r="AD26" s="15"/>
      <c r="AE26" s="15"/>
      <c r="AF26" s="17"/>
      <c r="AG26" s="15"/>
      <c r="AH26" s="15"/>
      <c r="AI26" s="17"/>
      <c r="AJ26" s="15"/>
      <c r="AK26" s="17"/>
      <c r="AL26" s="15"/>
      <c r="AM26" s="15"/>
      <c r="AQ26" s="17"/>
      <c r="AR26" s="15"/>
    </row>
    <row r="27" spans="1:44" s="16" customFormat="1" ht="21">
      <c r="A27" s="15"/>
      <c r="B27" s="16" t="s">
        <v>18</v>
      </c>
      <c r="C27" s="16" t="s">
        <v>19</v>
      </c>
      <c r="D27" s="15"/>
      <c r="E27" s="15"/>
      <c r="F27" s="15" t="s">
        <v>20</v>
      </c>
      <c r="G27" s="15"/>
      <c r="H27" s="15"/>
      <c r="I27" s="15"/>
      <c r="J27" s="15"/>
      <c r="K27" s="15"/>
      <c r="L27" s="15"/>
      <c r="M27" s="15"/>
      <c r="N27" s="17"/>
      <c r="O27" s="17"/>
      <c r="S27" s="17"/>
      <c r="T27" s="15"/>
      <c r="U27" s="15"/>
      <c r="V27" s="15"/>
      <c r="X27" s="18"/>
      <c r="Y27" s="15"/>
      <c r="Z27" s="15"/>
      <c r="AA27" s="15"/>
      <c r="AB27" s="17"/>
      <c r="AC27" s="15" t="s">
        <v>21</v>
      </c>
      <c r="AD27" s="15" t="s">
        <v>21</v>
      </c>
      <c r="AE27" s="15" t="s">
        <v>21</v>
      </c>
      <c r="AF27" s="17"/>
      <c r="AG27" s="15" t="s">
        <v>22</v>
      </c>
      <c r="AH27" s="15" t="s">
        <v>22</v>
      </c>
      <c r="AI27" s="17"/>
      <c r="AJ27" s="15"/>
      <c r="AK27" s="17"/>
      <c r="AL27" s="15" t="s">
        <v>23</v>
      </c>
      <c r="AM27" s="15" t="s">
        <v>23</v>
      </c>
      <c r="AN27" s="15" t="s">
        <v>24</v>
      </c>
      <c r="AO27" s="15"/>
      <c r="AQ27" s="15"/>
      <c r="AR27" s="15"/>
    </row>
    <row r="28" spans="1:44" s="20" customFormat="1" ht="22" thickBot="1">
      <c r="A28" s="19"/>
      <c r="B28" s="20" t="s">
        <v>25</v>
      </c>
      <c r="C28" s="20" t="s">
        <v>25</v>
      </c>
      <c r="D28" s="19"/>
      <c r="E28" s="19"/>
      <c r="F28" s="19" t="s">
        <v>26</v>
      </c>
      <c r="G28" s="19" t="s">
        <v>27</v>
      </c>
      <c r="H28" s="19" t="s">
        <v>28</v>
      </c>
      <c r="I28" s="19" t="s">
        <v>29</v>
      </c>
      <c r="J28" s="19" t="s">
        <v>14</v>
      </c>
      <c r="K28" s="19" t="s">
        <v>24</v>
      </c>
      <c r="L28" s="19" t="s">
        <v>30</v>
      </c>
      <c r="M28" s="19"/>
      <c r="N28" s="21" t="s">
        <v>31</v>
      </c>
      <c r="O28" s="21" t="s">
        <v>962</v>
      </c>
      <c r="P28" s="20" t="s">
        <v>32</v>
      </c>
      <c r="Q28" s="20" t="s">
        <v>33</v>
      </c>
      <c r="R28" s="20" t="s">
        <v>34</v>
      </c>
      <c r="S28" s="21" t="s">
        <v>35</v>
      </c>
      <c r="T28" s="21" t="s">
        <v>118</v>
      </c>
      <c r="U28" s="21" t="s">
        <v>119</v>
      </c>
      <c r="V28" s="19"/>
      <c r="W28" s="20" t="s">
        <v>37</v>
      </c>
      <c r="X28" s="21" t="s">
        <v>38</v>
      </c>
      <c r="Y28" s="19" t="s">
        <v>39</v>
      </c>
      <c r="Z28" s="21" t="s">
        <v>40</v>
      </c>
      <c r="AA28" s="19" t="s">
        <v>39</v>
      </c>
      <c r="AB28" s="21" t="s">
        <v>21</v>
      </c>
      <c r="AC28" s="19" t="s">
        <v>41</v>
      </c>
      <c r="AD28" s="19" t="s">
        <v>39</v>
      </c>
      <c r="AE28" s="19" t="s">
        <v>42</v>
      </c>
      <c r="AF28" s="21" t="s">
        <v>22</v>
      </c>
      <c r="AG28" s="19" t="s">
        <v>39</v>
      </c>
      <c r="AH28" s="19" t="s">
        <v>43</v>
      </c>
      <c r="AI28" s="21" t="s">
        <v>44</v>
      </c>
      <c r="AJ28" s="19" t="s">
        <v>39</v>
      </c>
      <c r="AK28" s="21" t="s">
        <v>23</v>
      </c>
      <c r="AL28" s="19" t="s">
        <v>39</v>
      </c>
      <c r="AM28" s="19" t="s">
        <v>42</v>
      </c>
      <c r="AN28" s="19" t="s">
        <v>45</v>
      </c>
      <c r="AO28" s="20" t="s">
        <v>39</v>
      </c>
      <c r="AP28" s="19" t="s">
        <v>42</v>
      </c>
      <c r="AQ28" s="19"/>
      <c r="AR28" s="19" t="s">
        <v>46</v>
      </c>
    </row>
    <row r="29" spans="1:44" s="22" customFormat="1">
      <c r="D29" s="23"/>
      <c r="E29" s="210"/>
      <c r="F29" s="23"/>
      <c r="G29" s="23"/>
      <c r="H29" s="23"/>
      <c r="I29" s="23"/>
      <c r="J29" s="23"/>
      <c r="K29" s="25"/>
      <c r="L29" s="23"/>
      <c r="M29" s="210"/>
      <c r="V29" s="210"/>
      <c r="AQ29" s="210"/>
      <c r="AR29" s="23"/>
    </row>
    <row r="30" spans="1:44">
      <c r="E30" s="210"/>
      <c r="M30" s="210"/>
      <c r="V30" s="210"/>
      <c r="AQ30" s="210"/>
    </row>
    <row r="31" spans="1:44" s="22" customFormat="1">
      <c r="B31" s="22" t="s">
        <v>2301</v>
      </c>
      <c r="C31" s="22" t="s">
        <v>2302</v>
      </c>
      <c r="E31" s="210"/>
      <c r="F31" s="23">
        <v>1</v>
      </c>
      <c r="G31" s="23"/>
      <c r="H31" s="23"/>
      <c r="I31" s="23"/>
      <c r="J31" s="23"/>
      <c r="K31" s="23"/>
      <c r="L31" s="23"/>
      <c r="M31" s="210"/>
      <c r="N31" s="22" t="s">
        <v>49</v>
      </c>
      <c r="P31" s="22" t="s">
        <v>2315</v>
      </c>
      <c r="Q31" s="22" t="s">
        <v>579</v>
      </c>
      <c r="R31" s="22" t="s">
        <v>352</v>
      </c>
      <c r="S31" s="22">
        <v>50315</v>
      </c>
      <c r="V31" s="210"/>
      <c r="AQ31" s="210"/>
      <c r="AR31" s="23"/>
    </row>
    <row r="32" spans="1:44" s="22" customFormat="1">
      <c r="B32" s="22" t="s">
        <v>2268</v>
      </c>
      <c r="C32" s="22" t="s">
        <v>2303</v>
      </c>
      <c r="E32" s="210"/>
      <c r="F32" s="23">
        <v>1</v>
      </c>
      <c r="G32" s="23"/>
      <c r="H32" s="23"/>
      <c r="I32" s="23"/>
      <c r="J32" s="23"/>
      <c r="K32" s="23"/>
      <c r="L32" s="23"/>
      <c r="M32" s="210"/>
      <c r="N32" s="22" t="s">
        <v>2276</v>
      </c>
      <c r="V32" s="210"/>
      <c r="AQ32" s="210"/>
      <c r="AR32" s="23"/>
    </row>
    <row r="33" spans="1:46" s="22" customFormat="1">
      <c r="B33" s="22" t="s">
        <v>1330</v>
      </c>
      <c r="C33" s="22" t="s">
        <v>2304</v>
      </c>
      <c r="E33" s="210"/>
      <c r="F33" s="23">
        <v>1</v>
      </c>
      <c r="G33" s="23"/>
      <c r="H33" s="23"/>
      <c r="I33" s="23"/>
      <c r="J33" s="23"/>
      <c r="K33" s="23"/>
      <c r="L33" s="23"/>
      <c r="M33" s="210"/>
      <c r="N33" s="22" t="s">
        <v>2277</v>
      </c>
      <c r="V33" s="210"/>
      <c r="AQ33" s="210"/>
      <c r="AR33" s="23"/>
    </row>
    <row r="34" spans="1:46" s="22" customFormat="1">
      <c r="B34" s="22" t="s">
        <v>2305</v>
      </c>
      <c r="C34" s="22" t="s">
        <v>2306</v>
      </c>
      <c r="E34" s="210"/>
      <c r="F34" s="23">
        <v>1</v>
      </c>
      <c r="G34" s="23"/>
      <c r="H34" s="23"/>
      <c r="I34" s="23"/>
      <c r="J34" s="23"/>
      <c r="K34" s="23"/>
      <c r="L34" s="23"/>
      <c r="M34" s="210"/>
      <c r="N34" s="22" t="s">
        <v>2278</v>
      </c>
      <c r="V34" s="210"/>
      <c r="AQ34" s="210"/>
      <c r="AR34" s="23"/>
    </row>
    <row r="35" spans="1:46" s="22" customFormat="1">
      <c r="B35" s="22" t="s">
        <v>2307</v>
      </c>
      <c r="C35" s="22" t="s">
        <v>2308</v>
      </c>
      <c r="E35" s="210"/>
      <c r="F35" s="23"/>
      <c r="G35" s="23"/>
      <c r="H35" s="23">
        <v>1</v>
      </c>
      <c r="I35" s="23"/>
      <c r="J35" s="23"/>
      <c r="K35" s="23"/>
      <c r="L35" s="23"/>
      <c r="M35" s="210"/>
      <c r="N35" s="22" t="s">
        <v>2279</v>
      </c>
      <c r="V35" s="210"/>
      <c r="AQ35" s="210"/>
      <c r="AR35" s="23"/>
    </row>
    <row r="36" spans="1:46" s="22" customFormat="1">
      <c r="B36" s="22" t="s">
        <v>2309</v>
      </c>
      <c r="C36" s="22" t="s">
        <v>2310</v>
      </c>
      <c r="E36" s="210"/>
      <c r="F36" s="23"/>
      <c r="G36" s="23"/>
      <c r="H36" s="23">
        <v>1</v>
      </c>
      <c r="I36" s="23"/>
      <c r="J36" s="23"/>
      <c r="K36" s="23"/>
      <c r="L36" s="23"/>
      <c r="M36" s="210"/>
      <c r="N36" s="22" t="s">
        <v>2280</v>
      </c>
      <c r="V36" s="210"/>
      <c r="AQ36" s="210"/>
      <c r="AR36" s="23"/>
    </row>
    <row r="37" spans="1:46" s="22" customFormat="1">
      <c r="E37" s="210"/>
      <c r="F37" s="23"/>
      <c r="G37" s="23"/>
      <c r="H37" s="23"/>
      <c r="I37" s="23"/>
      <c r="J37" s="23"/>
      <c r="K37" s="23"/>
      <c r="L37" s="23"/>
      <c r="M37" s="210"/>
      <c r="V37" s="210"/>
      <c r="AQ37" s="210"/>
      <c r="AR37" s="23"/>
    </row>
    <row r="38" spans="1:46" s="22" customFormat="1">
      <c r="E38" s="210"/>
      <c r="F38" s="23"/>
      <c r="G38" s="23"/>
      <c r="H38" s="23"/>
      <c r="I38" s="23"/>
      <c r="J38" s="23"/>
      <c r="K38" s="23"/>
      <c r="L38" s="23"/>
      <c r="M38" s="210"/>
      <c r="V38" s="210"/>
      <c r="AQ38" s="210"/>
      <c r="AR38" s="23"/>
    </row>
    <row r="39" spans="1:46" s="22" customFormat="1">
      <c r="E39" s="210"/>
      <c r="F39" s="23"/>
      <c r="G39" s="23"/>
      <c r="H39" s="23"/>
      <c r="I39" s="23"/>
      <c r="J39" s="23"/>
      <c r="K39" s="23"/>
      <c r="L39" s="23"/>
      <c r="M39" s="210"/>
      <c r="V39" s="210"/>
      <c r="AQ39" s="210"/>
      <c r="AR39" s="23"/>
    </row>
    <row r="40" spans="1:46" s="22" customFormat="1">
      <c r="E40" s="210"/>
      <c r="F40" s="23"/>
      <c r="G40" s="23"/>
      <c r="H40" s="23"/>
      <c r="I40" s="23"/>
      <c r="J40" s="23"/>
      <c r="K40" s="23"/>
      <c r="L40" s="23"/>
      <c r="M40" s="210"/>
      <c r="V40" s="210"/>
      <c r="AQ40" s="210"/>
      <c r="AR40" s="23"/>
    </row>
    <row r="41" spans="1:46" s="22" customFormat="1">
      <c r="B41" s="95" t="s">
        <v>3089</v>
      </c>
      <c r="E41" s="210"/>
      <c r="F41" s="23"/>
      <c r="G41" s="23"/>
      <c r="H41" s="23"/>
      <c r="I41" s="23"/>
      <c r="J41" s="23"/>
      <c r="K41" s="23"/>
      <c r="L41" s="23"/>
      <c r="M41" s="210"/>
      <c r="N41" s="95" t="s">
        <v>3090</v>
      </c>
      <c r="V41" s="210"/>
      <c r="AQ41" s="210"/>
      <c r="AR41" s="23"/>
    </row>
    <row r="42" spans="1:46" s="22" customFormat="1">
      <c r="B42" s="22" t="s">
        <v>2268</v>
      </c>
      <c r="C42" s="22" t="s">
        <v>2303</v>
      </c>
      <c r="E42" s="210"/>
      <c r="F42" s="23">
        <v>1</v>
      </c>
      <c r="G42" s="23"/>
      <c r="H42" s="23"/>
      <c r="I42" s="23"/>
      <c r="J42" s="23"/>
      <c r="K42" s="23"/>
      <c r="L42" s="23"/>
      <c r="M42" s="210"/>
      <c r="N42" s="22" t="s">
        <v>182</v>
      </c>
      <c r="O42" s="22" t="s">
        <v>2281</v>
      </c>
      <c r="P42" s="22" t="s">
        <v>2315</v>
      </c>
      <c r="Q42" s="22" t="s">
        <v>579</v>
      </c>
      <c r="R42" s="22" t="s">
        <v>352</v>
      </c>
      <c r="S42" s="22">
        <v>50315</v>
      </c>
      <c r="T42" s="22" t="s">
        <v>2298</v>
      </c>
      <c r="V42" s="210"/>
      <c r="W42" s="22" t="s">
        <v>2286</v>
      </c>
      <c r="X42" s="22" t="s">
        <v>2287</v>
      </c>
      <c r="Y42" s="23">
        <v>1</v>
      </c>
      <c r="AF42" s="22" t="s">
        <v>2288</v>
      </c>
      <c r="AG42" s="23">
        <v>1</v>
      </c>
      <c r="AH42" s="23">
        <v>230</v>
      </c>
      <c r="AQ42" s="210"/>
      <c r="AR42" s="23"/>
    </row>
    <row r="43" spans="1:46" s="22" customFormat="1">
      <c r="B43" s="22" t="s">
        <v>2044</v>
      </c>
      <c r="C43" s="22" t="s">
        <v>2311</v>
      </c>
      <c r="E43" s="210"/>
      <c r="F43" s="23">
        <v>1</v>
      </c>
      <c r="G43" s="23"/>
      <c r="H43" s="23"/>
      <c r="I43" s="23"/>
      <c r="J43" s="23"/>
      <c r="K43" s="23"/>
      <c r="L43" s="23"/>
      <c r="M43" s="210"/>
      <c r="N43" s="22" t="s">
        <v>182</v>
      </c>
      <c r="O43" s="22" t="s">
        <v>2282</v>
      </c>
      <c r="P43" t="s">
        <v>3121</v>
      </c>
      <c r="Q43" s="22" t="s">
        <v>3120</v>
      </c>
      <c r="R43" s="22" t="s">
        <v>519</v>
      </c>
      <c r="S43" s="22">
        <v>45377</v>
      </c>
      <c r="T43" s="89" t="s">
        <v>3122</v>
      </c>
      <c r="V43" s="210"/>
      <c r="W43" s="22" t="s">
        <v>2289</v>
      </c>
      <c r="Y43" s="23"/>
      <c r="AQ43" s="210"/>
      <c r="AR43" s="23">
        <v>38</v>
      </c>
      <c r="AS43" s="22" t="s">
        <v>2</v>
      </c>
      <c r="AT43" s="22" t="s">
        <v>2290</v>
      </c>
    </row>
    <row r="44" spans="1:46" s="22" customFormat="1">
      <c r="B44" s="22" t="s">
        <v>247</v>
      </c>
      <c r="C44" s="22" t="s">
        <v>2312</v>
      </c>
      <c r="E44" s="210"/>
      <c r="F44" s="23">
        <v>1</v>
      </c>
      <c r="G44" s="23"/>
      <c r="H44" s="23"/>
      <c r="I44" s="23"/>
      <c r="J44" s="23"/>
      <c r="K44" s="23"/>
      <c r="L44" s="23"/>
      <c r="M44" s="210"/>
      <c r="N44" s="22" t="s">
        <v>1118</v>
      </c>
      <c r="O44" s="22" t="s">
        <v>2283</v>
      </c>
      <c r="P44" s="22" t="s">
        <v>3123</v>
      </c>
      <c r="Q44" s="22" t="s">
        <v>61</v>
      </c>
      <c r="R44" s="22" t="s">
        <v>62</v>
      </c>
      <c r="S44" s="22">
        <v>59102</v>
      </c>
      <c r="T44" s="22" t="s">
        <v>3124</v>
      </c>
      <c r="V44" s="210"/>
      <c r="W44" s="22" t="s">
        <v>2291</v>
      </c>
      <c r="X44" s="22" t="s">
        <v>2292</v>
      </c>
      <c r="Y44" s="23">
        <v>1</v>
      </c>
      <c r="AQ44" s="210"/>
      <c r="AR44" s="23">
        <v>19</v>
      </c>
      <c r="AT44" s="22" t="s">
        <v>2293</v>
      </c>
    </row>
    <row r="45" spans="1:46" s="22" customFormat="1">
      <c r="B45" s="22" t="s">
        <v>1299</v>
      </c>
      <c r="C45" s="22" t="s">
        <v>2313</v>
      </c>
      <c r="E45" s="210"/>
      <c r="F45" s="23">
        <v>1</v>
      </c>
      <c r="G45" s="23"/>
      <c r="H45" s="23"/>
      <c r="I45" s="23"/>
      <c r="J45" s="23"/>
      <c r="K45" s="23"/>
      <c r="L45" s="23"/>
      <c r="M45" s="210"/>
      <c r="O45" s="22" t="s">
        <v>2284</v>
      </c>
      <c r="P45" s="22" t="s">
        <v>2317</v>
      </c>
      <c r="Q45" s="22" t="s">
        <v>2316</v>
      </c>
      <c r="R45" s="22" t="s">
        <v>51</v>
      </c>
      <c r="S45" s="22">
        <v>97405</v>
      </c>
      <c r="T45" s="22" t="s">
        <v>2320</v>
      </c>
      <c r="V45" s="210"/>
      <c r="W45" s="22" t="s">
        <v>2294</v>
      </c>
      <c r="X45" s="22" t="s">
        <v>2295</v>
      </c>
      <c r="Y45" s="23">
        <v>1</v>
      </c>
      <c r="AQ45" s="210"/>
      <c r="AR45" s="23">
        <v>78</v>
      </c>
      <c r="AT45" s="22" t="s">
        <v>2299</v>
      </c>
    </row>
    <row r="46" spans="1:46" s="22" customFormat="1">
      <c r="B46" s="22" t="s">
        <v>1326</v>
      </c>
      <c r="C46" s="22" t="s">
        <v>2314</v>
      </c>
      <c r="E46" s="210"/>
      <c r="F46" s="23">
        <v>1</v>
      </c>
      <c r="G46" s="23"/>
      <c r="H46" s="23"/>
      <c r="I46" s="23"/>
      <c r="J46" s="23"/>
      <c r="K46" s="23"/>
      <c r="L46" s="23"/>
      <c r="M46" s="210"/>
      <c r="N46" s="22" t="s">
        <v>2297</v>
      </c>
      <c r="O46" s="22" t="s">
        <v>2285</v>
      </c>
      <c r="P46" s="22" t="s">
        <v>2319</v>
      </c>
      <c r="Q46" s="22" t="s">
        <v>2318</v>
      </c>
      <c r="R46" s="22" t="s">
        <v>551</v>
      </c>
      <c r="S46" s="22">
        <v>33596</v>
      </c>
      <c r="T46" s="198" t="s">
        <v>3125</v>
      </c>
      <c r="V46" s="210"/>
      <c r="W46" s="22" t="s">
        <v>2296</v>
      </c>
      <c r="Y46" s="23"/>
      <c r="AQ46" s="210"/>
      <c r="AR46" s="23">
        <v>31</v>
      </c>
      <c r="AT46" s="22" t="s">
        <v>2300</v>
      </c>
    </row>
    <row r="47" spans="1:46" s="22" customFormat="1">
      <c r="AR47" s="23"/>
    </row>
    <row r="48" spans="1:46" s="31" customFormat="1" ht="19">
      <c r="A48" s="87"/>
      <c r="B48" s="87" t="s">
        <v>684</v>
      </c>
      <c r="C48" s="87"/>
      <c r="D48" s="87"/>
      <c r="E48" s="222"/>
      <c r="F48" s="222">
        <f t="shared" ref="F48:L48" si="0">SUM(F31:F46)</f>
        <v>9</v>
      </c>
      <c r="G48" s="222">
        <f t="shared" si="0"/>
        <v>0</v>
      </c>
      <c r="H48" s="222">
        <f t="shared" si="0"/>
        <v>2</v>
      </c>
      <c r="I48" s="222">
        <f t="shared" si="0"/>
        <v>0</v>
      </c>
      <c r="J48" s="222">
        <f t="shared" si="0"/>
        <v>0</v>
      </c>
      <c r="K48" s="222">
        <f t="shared" si="0"/>
        <v>0</v>
      </c>
      <c r="L48" s="222">
        <f t="shared" si="0"/>
        <v>0</v>
      </c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>
        <f>SUM(Y31:Y46)</f>
        <v>3</v>
      </c>
      <c r="Z48" s="222"/>
      <c r="AA48" s="222"/>
      <c r="AB48" s="222"/>
      <c r="AC48" s="222"/>
      <c r="AD48" s="222"/>
      <c r="AE48" s="222"/>
      <c r="AF48" s="222"/>
      <c r="AG48" s="222">
        <f>SUM(AG31:AG46)</f>
        <v>1</v>
      </c>
      <c r="AH48" s="222">
        <f>SUM(AH31:AH46)</f>
        <v>230</v>
      </c>
      <c r="AI48" s="222"/>
      <c r="AJ48" s="222"/>
      <c r="AK48" s="222"/>
      <c r="AL48" s="222"/>
      <c r="AM48" s="222"/>
      <c r="AN48" s="222"/>
      <c r="AO48" s="222"/>
      <c r="AP48" s="222"/>
      <c r="AR48" s="31">
        <f>SUM(AR42:AR46)</f>
        <v>166</v>
      </c>
      <c r="AS48" s="31" t="s">
        <v>2</v>
      </c>
    </row>
    <row r="49" spans="44:44" s="22" customFormat="1">
      <c r="AR49" s="23"/>
    </row>
    <row r="50" spans="44:44" s="22" customFormat="1">
      <c r="AR50" s="23"/>
    </row>
    <row r="51" spans="44:44" s="22" customFormat="1">
      <c r="AR51" s="23"/>
    </row>
    <row r="52" spans="44:44" s="22" customFormat="1">
      <c r="AR52" s="23"/>
    </row>
  </sheetData>
  <hyperlinks>
    <hyperlink ref="T43" r:id="rId1" display="tel:937-898-2864" xr:uid="{F3CEE332-9934-4542-9669-28139A4CC50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96F5-E944-DB4F-A404-A4425C682486}">
  <dimension ref="A1:AU120"/>
  <sheetViews>
    <sheetView workbookViewId="0">
      <selection activeCell="C14" sqref="C14"/>
    </sheetView>
  </sheetViews>
  <sheetFormatPr baseColWidth="10" defaultRowHeight="16"/>
  <cols>
    <col min="1" max="1" width="10.83203125" style="7"/>
    <col min="2" max="2" width="15.1640625" style="7" customWidth="1"/>
    <col min="3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26.6640625" style="7" bestFit="1" customWidth="1"/>
    <col min="15" max="15" width="30.83203125" style="7" bestFit="1" customWidth="1"/>
    <col min="16" max="16" width="52.1640625" style="7" bestFit="1" customWidth="1"/>
    <col min="17" max="17" width="18.83203125" style="7" bestFit="1" customWidth="1"/>
    <col min="18" max="18" width="7.1640625" style="7" bestFit="1" customWidth="1"/>
    <col min="19" max="19" width="8.5" style="10" bestFit="1" customWidth="1"/>
    <col min="20" max="20" width="12.83203125" style="7" bestFit="1" customWidth="1"/>
    <col min="21" max="21" width="13.6640625" style="7" bestFit="1" customWidth="1"/>
    <col min="22" max="22" width="5.83203125" style="7" customWidth="1"/>
    <col min="23" max="23" width="38.6640625" style="7" bestFit="1" customWidth="1"/>
    <col min="24" max="24" width="34.5" style="7" bestFit="1" customWidth="1"/>
    <col min="25" max="25" width="5.33203125" style="7" bestFit="1" customWidth="1"/>
    <col min="26" max="26" width="30.6640625" style="7" bestFit="1" customWidth="1"/>
    <col min="27" max="27" width="5.33203125" style="9" bestFit="1" customWidth="1"/>
    <col min="28" max="28" width="26" style="7" bestFit="1" customWidth="1"/>
    <col min="29" max="30" width="9.5" style="7" bestFit="1" customWidth="1"/>
    <col min="31" max="31" width="12" style="7" bestFit="1" customWidth="1"/>
    <col min="32" max="32" width="33.1640625" style="7" bestFit="1" customWidth="1"/>
    <col min="33" max="34" width="12" style="7" bestFit="1" customWidth="1"/>
    <col min="35" max="35" width="6.1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7.83203125" style="9" bestFit="1" customWidth="1"/>
    <col min="45" max="45" width="8.5" style="7" bestFit="1" customWidth="1"/>
    <col min="46" max="46" width="16.33203125" style="7" bestFit="1" customWidth="1"/>
    <col min="47" max="47" width="38.6640625" style="7" bestFit="1" customWidth="1"/>
    <col min="48" max="16384" width="10.83203125" style="7"/>
  </cols>
  <sheetData>
    <row r="1" spans="2:44" customFormat="1">
      <c r="C1" s="32"/>
      <c r="D1" s="32"/>
      <c r="E1" s="32"/>
      <c r="G1" s="32"/>
      <c r="M1" s="32"/>
      <c r="S1" s="188"/>
      <c r="V1" s="32"/>
      <c r="AA1" s="32"/>
      <c r="AQ1" s="32"/>
      <c r="AR1" s="32"/>
    </row>
    <row r="2" spans="2:44" s="1" customFormat="1" ht="21">
      <c r="B2" s="1" t="s">
        <v>1955</v>
      </c>
      <c r="C2" s="33"/>
      <c r="D2" s="33"/>
      <c r="E2" s="33"/>
      <c r="F2" s="1" t="s">
        <v>2321</v>
      </c>
      <c r="G2" s="33"/>
      <c r="M2" s="33"/>
      <c r="O2" s="186"/>
      <c r="S2" s="69"/>
      <c r="V2" s="33"/>
      <c r="AA2" s="33"/>
      <c r="AQ2" s="33"/>
      <c r="AR2" s="33"/>
    </row>
    <row r="3" spans="2:44" s="1" customFormat="1" ht="21">
      <c r="C3" s="33"/>
      <c r="D3" s="33"/>
      <c r="E3" s="33"/>
      <c r="G3" s="33"/>
      <c r="M3" s="33"/>
      <c r="O3" s="186"/>
      <c r="S3" s="69"/>
      <c r="V3" s="33"/>
      <c r="AA3" s="33"/>
      <c r="AQ3" s="33"/>
      <c r="AR3" s="33"/>
    </row>
    <row r="4" spans="2:44" s="1" customFormat="1" ht="21">
      <c r="C4" s="33"/>
      <c r="D4" s="33"/>
      <c r="E4" s="33"/>
      <c r="G4" s="33"/>
      <c r="M4" s="33"/>
      <c r="O4" s="186"/>
      <c r="S4" s="69"/>
      <c r="V4" s="33"/>
      <c r="AA4" s="33"/>
      <c r="AQ4" s="33"/>
      <c r="AR4" s="33"/>
    </row>
    <row r="5" spans="2:44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  <c r="O5" s="187"/>
      <c r="S5" s="189"/>
      <c r="AA5" s="3"/>
      <c r="AR5" s="3"/>
    </row>
    <row r="6" spans="2:44" s="4" customFormat="1">
      <c r="N6" s="55"/>
      <c r="S6" s="190"/>
      <c r="AA6" s="6"/>
      <c r="AR6" s="6"/>
    </row>
    <row r="7" spans="2:44" ht="21">
      <c r="N7" s="82" t="s">
        <v>6</v>
      </c>
    </row>
    <row r="8" spans="2:44">
      <c r="N8" s="7" t="s">
        <v>3176</v>
      </c>
      <c r="O8" s="7" t="s">
        <v>863</v>
      </c>
    </row>
    <row r="10" spans="2:44">
      <c r="N10" s="7" t="s">
        <v>3177</v>
      </c>
    </row>
    <row r="11" spans="2:44">
      <c r="H11" s="11"/>
      <c r="N11" s="12"/>
    </row>
    <row r="13" spans="2:44">
      <c r="B13" s="225" t="s">
        <v>1949</v>
      </c>
      <c r="C13" s="185">
        <v>5100</v>
      </c>
    </row>
    <row r="14" spans="2:44" ht="21">
      <c r="B14" s="7" t="s">
        <v>2323</v>
      </c>
      <c r="C14" s="9">
        <v>78</v>
      </c>
      <c r="N14" s="207" t="s">
        <v>3094</v>
      </c>
    </row>
    <row r="15" spans="2:44">
      <c r="N15" s="7" t="s">
        <v>3180</v>
      </c>
    </row>
    <row r="23" spans="1:44" s="16" customFormat="1" ht="21">
      <c r="A23" s="15"/>
      <c r="D23" s="15"/>
      <c r="E23" s="15"/>
      <c r="F23" s="17" t="s">
        <v>17</v>
      </c>
      <c r="G23" s="15"/>
      <c r="H23" s="15"/>
      <c r="I23" s="15"/>
      <c r="J23" s="15"/>
      <c r="K23" s="15"/>
      <c r="L23" s="15"/>
      <c r="M23" s="15"/>
      <c r="N23" s="17"/>
      <c r="O23" s="18"/>
      <c r="S23" s="17"/>
      <c r="T23" s="15"/>
      <c r="U23" s="15"/>
      <c r="V23" s="15"/>
      <c r="X23" s="18"/>
      <c r="Y23" s="15"/>
      <c r="Z23" s="15"/>
      <c r="AA23" s="15"/>
      <c r="AB23" s="17"/>
      <c r="AC23" s="15"/>
      <c r="AD23" s="15"/>
      <c r="AE23" s="15"/>
      <c r="AF23" s="17"/>
      <c r="AG23" s="15"/>
      <c r="AH23" s="15"/>
      <c r="AI23" s="17"/>
      <c r="AJ23" s="15"/>
      <c r="AK23" s="17"/>
      <c r="AL23" s="15"/>
      <c r="AM23" s="15"/>
      <c r="AQ23" s="15"/>
      <c r="AR23" s="15"/>
    </row>
    <row r="24" spans="1:44" s="16" customFormat="1" ht="21">
      <c r="A24" s="15"/>
      <c r="B24" s="16" t="s">
        <v>18</v>
      </c>
      <c r="C24" s="16" t="s">
        <v>19</v>
      </c>
      <c r="D24" s="15"/>
      <c r="E24" s="15"/>
      <c r="F24" s="15" t="s">
        <v>20</v>
      </c>
      <c r="G24" s="15"/>
      <c r="H24" s="15"/>
      <c r="I24" s="15"/>
      <c r="J24" s="15"/>
      <c r="K24" s="15"/>
      <c r="L24" s="15"/>
      <c r="M24" s="15"/>
      <c r="N24" s="17"/>
      <c r="O24" s="18"/>
      <c r="S24" s="17"/>
      <c r="T24" s="15"/>
      <c r="U24" s="15"/>
      <c r="V24" s="15"/>
      <c r="X24" s="18"/>
      <c r="Y24" s="15"/>
      <c r="Z24" s="15"/>
      <c r="AA24" s="15"/>
      <c r="AB24" s="17"/>
      <c r="AC24" s="15" t="s">
        <v>21</v>
      </c>
      <c r="AD24" s="15" t="s">
        <v>21</v>
      </c>
      <c r="AE24" s="15" t="s">
        <v>21</v>
      </c>
      <c r="AF24" s="17"/>
      <c r="AG24" s="15" t="s">
        <v>22</v>
      </c>
      <c r="AH24" s="15" t="s">
        <v>22</v>
      </c>
      <c r="AI24" s="17"/>
      <c r="AJ24" s="15"/>
      <c r="AK24" s="17"/>
      <c r="AL24" s="15" t="s">
        <v>23</v>
      </c>
      <c r="AM24" s="15" t="s">
        <v>23</v>
      </c>
      <c r="AN24" s="15" t="s">
        <v>24</v>
      </c>
      <c r="AO24" s="15"/>
      <c r="AQ24" s="15"/>
      <c r="AR24" s="15"/>
    </row>
    <row r="25" spans="1:44" s="20" customFormat="1" ht="22" thickBot="1">
      <c r="A25" s="19"/>
      <c r="B25" s="20" t="s">
        <v>25</v>
      </c>
      <c r="C25" s="20" t="s">
        <v>25</v>
      </c>
      <c r="D25" s="19"/>
      <c r="E25" s="19"/>
      <c r="F25" s="19" t="s">
        <v>26</v>
      </c>
      <c r="G25" s="19" t="s">
        <v>27</v>
      </c>
      <c r="H25" s="19" t="s">
        <v>28</v>
      </c>
      <c r="I25" s="19" t="s">
        <v>29</v>
      </c>
      <c r="J25" s="19" t="s">
        <v>14</v>
      </c>
      <c r="K25" s="19" t="s">
        <v>24</v>
      </c>
      <c r="L25" s="19" t="s">
        <v>30</v>
      </c>
      <c r="M25" s="19"/>
      <c r="N25" s="21" t="s">
        <v>31</v>
      </c>
      <c r="O25" s="21" t="s">
        <v>962</v>
      </c>
      <c r="P25" s="20" t="s">
        <v>32</v>
      </c>
      <c r="Q25" s="20" t="s">
        <v>33</v>
      </c>
      <c r="R25" s="20" t="s">
        <v>34</v>
      </c>
      <c r="S25" s="21" t="s">
        <v>35</v>
      </c>
      <c r="T25" s="21" t="s">
        <v>118</v>
      </c>
      <c r="U25" s="21" t="s">
        <v>119</v>
      </c>
      <c r="V25" s="19"/>
      <c r="W25" s="20" t="s">
        <v>37</v>
      </c>
      <c r="X25" s="21" t="s">
        <v>38</v>
      </c>
      <c r="Y25" s="19" t="s">
        <v>39</v>
      </c>
      <c r="Z25" s="21" t="s">
        <v>40</v>
      </c>
      <c r="AA25" s="19" t="s">
        <v>39</v>
      </c>
      <c r="AB25" s="21" t="s">
        <v>21</v>
      </c>
      <c r="AC25" s="19" t="s">
        <v>41</v>
      </c>
      <c r="AD25" s="19" t="s">
        <v>39</v>
      </c>
      <c r="AE25" s="19" t="s">
        <v>42</v>
      </c>
      <c r="AF25" s="21" t="s">
        <v>22</v>
      </c>
      <c r="AG25" s="19" t="s">
        <v>39</v>
      </c>
      <c r="AH25" s="19" t="s">
        <v>43</v>
      </c>
      <c r="AI25" s="21" t="s">
        <v>44</v>
      </c>
      <c r="AJ25" s="19" t="s">
        <v>39</v>
      </c>
      <c r="AK25" s="21" t="s">
        <v>23</v>
      </c>
      <c r="AL25" s="19" t="s">
        <v>39</v>
      </c>
      <c r="AM25" s="19" t="s">
        <v>42</v>
      </c>
      <c r="AN25" s="19" t="s">
        <v>45</v>
      </c>
      <c r="AO25" s="20" t="s">
        <v>39</v>
      </c>
      <c r="AP25" s="19" t="s">
        <v>42</v>
      </c>
      <c r="AQ25" s="19"/>
      <c r="AR25" s="19" t="s">
        <v>46</v>
      </c>
    </row>
    <row r="26" spans="1:44" s="22" customFormat="1">
      <c r="D26" s="23"/>
      <c r="E26" s="210"/>
      <c r="F26" s="23"/>
      <c r="G26" s="23"/>
      <c r="H26" s="23"/>
      <c r="I26" s="23"/>
      <c r="J26" s="23"/>
      <c r="K26" s="25"/>
      <c r="L26" s="23"/>
      <c r="M26" s="210"/>
      <c r="S26" s="37"/>
      <c r="V26" s="210"/>
      <c r="AA26" s="23"/>
      <c r="AQ26" s="210"/>
      <c r="AR26" s="23"/>
    </row>
    <row r="27" spans="1:44">
      <c r="E27" s="210"/>
      <c r="M27" s="210"/>
      <c r="V27" s="210"/>
      <c r="AQ27" s="210"/>
    </row>
    <row r="28" spans="1:44">
      <c r="E28" s="210"/>
      <c r="F28" s="9"/>
      <c r="G28" s="9"/>
      <c r="H28" s="9"/>
      <c r="I28" s="9"/>
      <c r="J28" s="9"/>
      <c r="K28" s="9"/>
      <c r="L28" s="9"/>
      <c r="M28" s="210"/>
      <c r="V28" s="210"/>
      <c r="AQ28" s="210"/>
    </row>
    <row r="29" spans="1:44">
      <c r="B29" s="7" t="s">
        <v>2324</v>
      </c>
      <c r="C29" s="7" t="s">
        <v>2325</v>
      </c>
      <c r="E29" s="210"/>
      <c r="F29" s="9">
        <v>1</v>
      </c>
      <c r="G29" s="9"/>
      <c r="H29" s="9"/>
      <c r="I29" s="9"/>
      <c r="J29" s="9"/>
      <c r="K29" s="9"/>
      <c r="L29" s="9"/>
      <c r="M29" s="210"/>
      <c r="N29" s="22" t="s">
        <v>2326</v>
      </c>
      <c r="O29" s="22"/>
      <c r="P29" s="22" t="s">
        <v>2322</v>
      </c>
      <c r="Q29" s="22" t="s">
        <v>2648</v>
      </c>
      <c r="R29" s="22" t="s">
        <v>289</v>
      </c>
      <c r="S29" s="37">
        <v>66220</v>
      </c>
      <c r="T29" s="22" t="s">
        <v>3126</v>
      </c>
      <c r="V29" s="210"/>
      <c r="AQ29" s="210"/>
    </row>
    <row r="30" spans="1:44">
      <c r="E30" s="210"/>
      <c r="F30" s="9"/>
      <c r="G30" s="9"/>
      <c r="H30" s="9"/>
      <c r="I30" s="9"/>
      <c r="J30" s="9"/>
      <c r="K30" s="9"/>
      <c r="L30" s="9"/>
      <c r="M30" s="210"/>
      <c r="V30" s="210"/>
      <c r="AQ30" s="210"/>
    </row>
    <row r="31" spans="1:44">
      <c r="E31" s="210"/>
      <c r="F31" s="9"/>
      <c r="G31" s="9"/>
      <c r="H31" s="9"/>
      <c r="I31" s="9"/>
      <c r="J31" s="9"/>
      <c r="K31" s="9"/>
      <c r="L31" s="9"/>
      <c r="M31" s="210"/>
      <c r="V31" s="210"/>
      <c r="AQ31" s="210"/>
    </row>
    <row r="32" spans="1:44">
      <c r="E32" s="210"/>
      <c r="F32" s="9"/>
      <c r="G32" s="9"/>
      <c r="H32" s="9"/>
      <c r="I32" s="9"/>
      <c r="J32" s="9"/>
      <c r="K32" s="9"/>
      <c r="L32" s="9"/>
      <c r="M32" s="210"/>
      <c r="V32" s="210"/>
      <c r="AQ32" s="210"/>
    </row>
    <row r="33" spans="1:47">
      <c r="E33" s="210"/>
      <c r="F33" s="9"/>
      <c r="G33" s="9"/>
      <c r="H33" s="9"/>
      <c r="I33" s="9"/>
      <c r="J33" s="9"/>
      <c r="K33" s="9"/>
      <c r="L33" s="9"/>
      <c r="M33" s="210"/>
      <c r="V33" s="210"/>
      <c r="AQ33" s="210"/>
    </row>
    <row r="34" spans="1:47">
      <c r="E34" s="210"/>
      <c r="F34" s="9"/>
      <c r="G34" s="9"/>
      <c r="H34" s="9"/>
      <c r="I34" s="9"/>
      <c r="J34" s="9"/>
      <c r="K34" s="9"/>
      <c r="L34" s="9"/>
      <c r="M34" s="210"/>
      <c r="V34" s="210"/>
      <c r="AQ34" s="210"/>
    </row>
    <row r="35" spans="1:47">
      <c r="E35" s="210"/>
      <c r="F35" s="9"/>
      <c r="G35" s="9"/>
      <c r="H35" s="9"/>
      <c r="I35" s="9"/>
      <c r="J35" s="9"/>
      <c r="K35" s="9"/>
      <c r="L35" s="9"/>
      <c r="M35" s="210"/>
      <c r="V35" s="210"/>
      <c r="AQ35" s="210"/>
    </row>
    <row r="36" spans="1:47" s="22" customFormat="1">
      <c r="E36" s="210"/>
      <c r="F36" s="23"/>
      <c r="G36" s="23"/>
      <c r="H36" s="23"/>
      <c r="I36" s="23"/>
      <c r="J36" s="23"/>
      <c r="K36" s="23"/>
      <c r="L36" s="23"/>
      <c r="M36" s="210"/>
      <c r="S36" s="37"/>
      <c r="V36" s="210"/>
      <c r="AA36" s="23"/>
      <c r="AQ36" s="210"/>
      <c r="AR36" s="23"/>
    </row>
    <row r="37" spans="1:47" s="22" customFormat="1">
      <c r="B37" s="22" t="s">
        <v>3089</v>
      </c>
      <c r="E37" s="210"/>
      <c r="F37" s="23"/>
      <c r="G37" s="23"/>
      <c r="H37" s="23"/>
      <c r="I37" s="23"/>
      <c r="J37" s="23"/>
      <c r="K37" s="23"/>
      <c r="L37" s="23"/>
      <c r="M37" s="210"/>
      <c r="N37" s="22" t="s">
        <v>3090</v>
      </c>
      <c r="S37" s="37"/>
      <c r="V37" s="210"/>
      <c r="AA37" s="23"/>
      <c r="AQ37" s="210"/>
      <c r="AR37" s="23"/>
    </row>
    <row r="38" spans="1:47" s="95" customFormat="1">
      <c r="B38" s="95" t="s">
        <v>25</v>
      </c>
      <c r="C38" s="95" t="s">
        <v>25</v>
      </c>
      <c r="E38" s="210"/>
      <c r="F38" s="31"/>
      <c r="G38" s="31"/>
      <c r="H38" s="31"/>
      <c r="I38" s="31"/>
      <c r="J38" s="31"/>
      <c r="K38" s="31"/>
      <c r="L38" s="31"/>
      <c r="M38" s="210"/>
      <c r="N38" s="95" t="s">
        <v>2327</v>
      </c>
      <c r="O38" s="95" t="s">
        <v>245</v>
      </c>
      <c r="P38" s="95" t="s">
        <v>32</v>
      </c>
      <c r="S38" s="179"/>
      <c r="T38" s="95" t="s">
        <v>36</v>
      </c>
      <c r="V38" s="210"/>
      <c r="W38" s="95" t="s">
        <v>37</v>
      </c>
      <c r="X38" s="95" t="s">
        <v>1517</v>
      </c>
      <c r="AA38" s="31"/>
      <c r="AQ38" s="210"/>
      <c r="AR38" s="31" t="s">
        <v>39</v>
      </c>
      <c r="AS38" s="95" t="s">
        <v>2</v>
      </c>
      <c r="AT38" s="95" t="s">
        <v>2328</v>
      </c>
    </row>
    <row r="39" spans="1:47" s="22" customFormat="1">
      <c r="B39" s="22" t="s">
        <v>274</v>
      </c>
      <c r="C39" s="22" t="s">
        <v>496</v>
      </c>
      <c r="E39" s="210"/>
      <c r="F39" s="23"/>
      <c r="G39" s="23"/>
      <c r="H39" s="23"/>
      <c r="I39" s="23"/>
      <c r="J39" s="23">
        <v>1</v>
      </c>
      <c r="K39" s="23"/>
      <c r="L39" s="23"/>
      <c r="M39" s="210"/>
      <c r="N39" s="22" t="s">
        <v>276</v>
      </c>
      <c r="O39" s="22" t="s">
        <v>2858</v>
      </c>
      <c r="P39" s="22" t="s">
        <v>2757</v>
      </c>
      <c r="Q39" s="22" t="s">
        <v>2714</v>
      </c>
      <c r="R39" s="22" t="s">
        <v>186</v>
      </c>
      <c r="S39" s="37">
        <v>35502</v>
      </c>
      <c r="T39" s="22" t="s">
        <v>2485</v>
      </c>
      <c r="V39" s="210"/>
      <c r="W39" s="22" t="s">
        <v>3127</v>
      </c>
      <c r="X39" s="36" t="s">
        <v>2486</v>
      </c>
      <c r="Y39" s="23">
        <v>1</v>
      </c>
      <c r="AA39" s="23"/>
      <c r="AQ39" s="210"/>
      <c r="AR39" s="23">
        <v>108</v>
      </c>
      <c r="AS39" s="22" t="s">
        <v>2209</v>
      </c>
      <c r="AT39" s="22" t="s">
        <v>2479</v>
      </c>
      <c r="AU39" s="22" t="s">
        <v>2480</v>
      </c>
    </row>
    <row r="40" spans="1:47" s="22" customFormat="1">
      <c r="B40" s="22" t="s">
        <v>1009</v>
      </c>
      <c r="C40" s="22" t="s">
        <v>2555</v>
      </c>
      <c r="E40" s="210"/>
      <c r="F40" s="23"/>
      <c r="G40" s="23"/>
      <c r="H40" s="23"/>
      <c r="I40" s="23"/>
      <c r="J40" s="23">
        <v>1</v>
      </c>
      <c r="K40" s="23"/>
      <c r="L40" s="23"/>
      <c r="M40" s="210"/>
      <c r="N40" s="22" t="s">
        <v>276</v>
      </c>
      <c r="O40" s="22" t="s">
        <v>2797</v>
      </c>
      <c r="P40" s="22" t="s">
        <v>2779</v>
      </c>
      <c r="Q40" s="22" t="s">
        <v>2660</v>
      </c>
      <c r="R40" s="22" t="s">
        <v>252</v>
      </c>
      <c r="S40" s="37">
        <v>99611</v>
      </c>
      <c r="T40" s="22" t="s">
        <v>2329</v>
      </c>
      <c r="U40" s="89"/>
      <c r="V40" s="210"/>
      <c r="W40" s="36" t="s">
        <v>2331</v>
      </c>
      <c r="X40" s="36" t="s">
        <v>2330</v>
      </c>
      <c r="Y40" s="23">
        <v>1</v>
      </c>
      <c r="Z40" s="89" t="s">
        <v>3130</v>
      </c>
      <c r="AA40" s="23">
        <v>1</v>
      </c>
      <c r="AQ40" s="210"/>
      <c r="AR40" s="23">
        <v>29</v>
      </c>
      <c r="AS40" s="22" t="s">
        <v>2209</v>
      </c>
      <c r="AT40" s="22" t="s">
        <v>2332</v>
      </c>
      <c r="AU40" s="22" t="s">
        <v>2333</v>
      </c>
    </row>
    <row r="41" spans="1:47" s="22" customFormat="1">
      <c r="B41" s="22" t="s">
        <v>2584</v>
      </c>
      <c r="C41" s="22" t="s">
        <v>2585</v>
      </c>
      <c r="E41" s="210"/>
      <c r="F41" s="23">
        <v>1</v>
      </c>
      <c r="G41" s="23"/>
      <c r="H41" s="23"/>
      <c r="I41" s="23"/>
      <c r="J41" s="23"/>
      <c r="K41" s="23"/>
      <c r="L41" s="23"/>
      <c r="M41" s="210"/>
      <c r="N41" s="22" t="s">
        <v>276</v>
      </c>
      <c r="O41" s="22" t="s">
        <v>2843</v>
      </c>
      <c r="P41" s="22" t="s">
        <v>2796</v>
      </c>
      <c r="Q41" s="22" t="s">
        <v>1835</v>
      </c>
      <c r="R41" s="22" t="s">
        <v>269</v>
      </c>
      <c r="S41" s="37">
        <v>85224</v>
      </c>
      <c r="T41" s="22" t="s">
        <v>2393</v>
      </c>
      <c r="V41" s="210"/>
      <c r="W41" s="36" t="s">
        <v>2394</v>
      </c>
      <c r="X41" s="36" t="s">
        <v>3128</v>
      </c>
      <c r="Y41" s="23">
        <v>1</v>
      </c>
      <c r="AA41" s="23"/>
      <c r="AQ41" s="210"/>
      <c r="AR41" s="23">
        <v>101</v>
      </c>
      <c r="AS41" s="22" t="s">
        <v>2209</v>
      </c>
      <c r="AT41" s="22" t="s">
        <v>2366</v>
      </c>
      <c r="AU41" s="22" t="s">
        <v>2367</v>
      </c>
    </row>
    <row r="42" spans="1:47" s="22" customFormat="1">
      <c r="B42" s="22" t="s">
        <v>384</v>
      </c>
      <c r="C42" s="22" t="s">
        <v>2562</v>
      </c>
      <c r="E42" s="210"/>
      <c r="F42" s="23">
        <v>1</v>
      </c>
      <c r="G42" s="23"/>
      <c r="H42" s="23"/>
      <c r="I42" s="23"/>
      <c r="J42" s="23"/>
      <c r="K42" s="23"/>
      <c r="L42" s="23"/>
      <c r="M42" s="210"/>
      <c r="N42" s="22" t="s">
        <v>276</v>
      </c>
      <c r="O42" s="22" t="s">
        <v>2802</v>
      </c>
      <c r="P42" s="22" t="s">
        <v>2653</v>
      </c>
      <c r="Q42" s="22" t="s">
        <v>2682</v>
      </c>
      <c r="R42" s="22" t="s">
        <v>2658</v>
      </c>
      <c r="S42" s="37" t="s">
        <v>2665</v>
      </c>
      <c r="T42" s="22" t="s">
        <v>2345</v>
      </c>
      <c r="V42" s="210"/>
      <c r="W42" s="36" t="s">
        <v>2347</v>
      </c>
      <c r="X42" s="36" t="s">
        <v>2346</v>
      </c>
      <c r="Y42" s="23">
        <v>1</v>
      </c>
      <c r="AA42" s="23"/>
      <c r="AQ42" s="210"/>
      <c r="AR42" s="23">
        <v>18</v>
      </c>
      <c r="AS42" s="22" t="s">
        <v>2209</v>
      </c>
    </row>
    <row r="43" spans="1:47" s="22" customFormat="1">
      <c r="B43" s="22" t="s">
        <v>264</v>
      </c>
      <c r="C43" s="22" t="s">
        <v>2560</v>
      </c>
      <c r="E43" s="210"/>
      <c r="F43" s="23"/>
      <c r="G43" s="23">
        <v>1</v>
      </c>
      <c r="H43" s="23"/>
      <c r="I43" s="23"/>
      <c r="J43" s="23"/>
      <c r="K43" s="23"/>
      <c r="L43" s="23"/>
      <c r="M43" s="210"/>
      <c r="N43" s="22" t="s">
        <v>276</v>
      </c>
      <c r="O43" s="22" t="s">
        <v>2800</v>
      </c>
      <c r="P43" s="22" t="s">
        <v>2782</v>
      </c>
      <c r="Q43" s="22" t="s">
        <v>2680</v>
      </c>
      <c r="R43" s="22" t="s">
        <v>2656</v>
      </c>
      <c r="S43" s="37" t="s">
        <v>2663</v>
      </c>
      <c r="T43" s="22" t="s">
        <v>2339</v>
      </c>
      <c r="V43" s="210"/>
      <c r="W43" s="36" t="s">
        <v>2340</v>
      </c>
      <c r="X43" s="12" t="s">
        <v>3131</v>
      </c>
      <c r="Y43" s="23">
        <v>1</v>
      </c>
      <c r="AA43" s="23"/>
      <c r="AQ43" s="210"/>
      <c r="AR43" s="23">
        <v>55</v>
      </c>
      <c r="AS43" s="22" t="s">
        <v>2209</v>
      </c>
      <c r="AT43" s="22" t="s">
        <v>2062</v>
      </c>
      <c r="AU43" s="22" t="s">
        <v>2341</v>
      </c>
    </row>
    <row r="44" spans="1:47" s="22" customFormat="1">
      <c r="B44" s="22" t="s">
        <v>2556</v>
      </c>
      <c r="C44" s="22" t="s">
        <v>2557</v>
      </c>
      <c r="E44" s="210"/>
      <c r="F44" s="23">
        <v>1</v>
      </c>
      <c r="G44" s="23"/>
      <c r="H44" s="23"/>
      <c r="I44" s="23"/>
      <c r="J44" s="23"/>
      <c r="K44" s="23"/>
      <c r="L44" s="23"/>
      <c r="M44" s="210"/>
      <c r="N44" s="22" t="s">
        <v>276</v>
      </c>
      <c r="O44" s="22" t="s">
        <v>2798</v>
      </c>
      <c r="P44" s="22" t="s">
        <v>2780</v>
      </c>
      <c r="Q44" s="22" t="s">
        <v>2678</v>
      </c>
      <c r="R44" s="22" t="s">
        <v>2659</v>
      </c>
      <c r="S44" s="37" t="s">
        <v>2661</v>
      </c>
      <c r="T44" s="22" t="s">
        <v>2334</v>
      </c>
      <c r="V44" s="210"/>
      <c r="W44" s="22" t="s">
        <v>2872</v>
      </c>
      <c r="X44" s="22" t="s">
        <v>2335</v>
      </c>
      <c r="Y44" s="23">
        <v>1</v>
      </c>
      <c r="AA44" s="23"/>
      <c r="AQ44" s="210"/>
      <c r="AR44" s="23">
        <v>24</v>
      </c>
      <c r="AS44" s="22" t="s">
        <v>2209</v>
      </c>
      <c r="AT44" s="22" t="s">
        <v>2062</v>
      </c>
      <c r="AU44" s="22" t="s">
        <v>2336</v>
      </c>
    </row>
    <row r="45" spans="1:47" s="22" customFormat="1">
      <c r="B45" s="22" t="s">
        <v>47</v>
      </c>
      <c r="C45" s="22" t="s">
        <v>2561</v>
      </c>
      <c r="E45" s="210"/>
      <c r="F45" s="23">
        <v>1</v>
      </c>
      <c r="G45" s="23"/>
      <c r="H45" s="23"/>
      <c r="I45" s="23"/>
      <c r="J45" s="23"/>
      <c r="K45" s="23"/>
      <c r="L45" s="23"/>
      <c r="M45" s="210"/>
      <c r="N45" s="22" t="s">
        <v>276</v>
      </c>
      <c r="O45" s="22" t="s">
        <v>2801</v>
      </c>
      <c r="P45" s="22" t="s">
        <v>2783</v>
      </c>
      <c r="Q45" s="22" t="s">
        <v>2681</v>
      </c>
      <c r="R45" s="22" t="s">
        <v>2657</v>
      </c>
      <c r="S45" s="37" t="s">
        <v>2664</v>
      </c>
      <c r="T45" s="22" t="s">
        <v>2342</v>
      </c>
      <c r="V45" s="210"/>
      <c r="W45" s="36" t="s">
        <v>2344</v>
      </c>
      <c r="X45" s="36" t="s">
        <v>2343</v>
      </c>
      <c r="Y45" s="23">
        <v>1</v>
      </c>
      <c r="AA45" s="23"/>
      <c r="AQ45" s="210"/>
      <c r="AR45" s="23"/>
      <c r="AS45" s="22" t="s">
        <v>2209</v>
      </c>
      <c r="AT45" s="22" t="s">
        <v>2062</v>
      </c>
      <c r="AU45" s="22" t="s">
        <v>2341</v>
      </c>
    </row>
    <row r="46" spans="1:47" s="22" customFormat="1">
      <c r="A46" s="22">
        <v>1</v>
      </c>
      <c r="B46" s="200" t="s">
        <v>2558</v>
      </c>
      <c r="C46" s="22" t="s">
        <v>2559</v>
      </c>
      <c r="E46" s="210"/>
      <c r="F46" s="23">
        <v>1</v>
      </c>
      <c r="G46" s="23"/>
      <c r="H46" s="23"/>
      <c r="I46" s="23"/>
      <c r="J46" s="23"/>
      <c r="K46" s="23"/>
      <c r="L46" s="23">
        <v>1</v>
      </c>
      <c r="M46" s="210"/>
      <c r="N46" s="22" t="s">
        <v>276</v>
      </c>
      <c r="O46" s="22" t="s">
        <v>2799</v>
      </c>
      <c r="P46" s="22" t="s">
        <v>2781</v>
      </c>
      <c r="Q46" s="22" t="s">
        <v>2679</v>
      </c>
      <c r="R46" s="22" t="s">
        <v>2125</v>
      </c>
      <c r="S46" s="37" t="s">
        <v>2662</v>
      </c>
      <c r="T46" s="22" t="s">
        <v>2337</v>
      </c>
      <c r="V46" s="210"/>
      <c r="W46" s="22" t="s">
        <v>2873</v>
      </c>
      <c r="X46" s="22" t="s">
        <v>2338</v>
      </c>
      <c r="Y46" s="23">
        <v>1</v>
      </c>
      <c r="AA46" s="23"/>
      <c r="AQ46" s="210"/>
      <c r="AR46" s="23">
        <v>43</v>
      </c>
      <c r="AS46" s="22" t="s">
        <v>2209</v>
      </c>
      <c r="AT46" s="22" t="s">
        <v>2062</v>
      </c>
      <c r="AU46" s="22" t="s">
        <v>2336</v>
      </c>
    </row>
    <row r="47" spans="1:47" s="22" customFormat="1">
      <c r="B47" s="22" t="s">
        <v>1328</v>
      </c>
      <c r="C47" s="22" t="s">
        <v>2580</v>
      </c>
      <c r="E47" s="210"/>
      <c r="F47" s="23">
        <v>1</v>
      </c>
      <c r="G47" s="23"/>
      <c r="H47" s="23"/>
      <c r="I47" s="23"/>
      <c r="J47" s="23"/>
      <c r="K47" s="23"/>
      <c r="L47" s="23"/>
      <c r="M47" s="210"/>
      <c r="N47" s="22" t="s">
        <v>276</v>
      </c>
      <c r="O47" s="22" t="s">
        <v>2840</v>
      </c>
      <c r="P47" s="22" t="s">
        <v>2794</v>
      </c>
      <c r="Q47" s="22" t="s">
        <v>1233</v>
      </c>
      <c r="R47" s="22" t="s">
        <v>300</v>
      </c>
      <c r="S47" s="37">
        <v>93711</v>
      </c>
      <c r="T47" s="22" t="s">
        <v>2386</v>
      </c>
      <c r="V47" s="210"/>
      <c r="W47" s="36" t="s">
        <v>2387</v>
      </c>
      <c r="X47" s="36" t="s">
        <v>3129</v>
      </c>
      <c r="Y47" s="23">
        <v>1</v>
      </c>
      <c r="AA47" s="23"/>
      <c r="AQ47" s="210"/>
      <c r="AR47" s="23">
        <v>61</v>
      </c>
      <c r="AS47" s="22" t="s">
        <v>2209</v>
      </c>
      <c r="AT47" s="22" t="s">
        <v>2366</v>
      </c>
      <c r="AU47" s="22" t="s">
        <v>2367</v>
      </c>
    </row>
    <row r="48" spans="1:47" s="22" customFormat="1">
      <c r="B48" s="22" t="s">
        <v>384</v>
      </c>
      <c r="C48" s="22" t="s">
        <v>2623</v>
      </c>
      <c r="E48" s="210"/>
      <c r="F48" s="23">
        <v>1</v>
      </c>
      <c r="G48" s="23"/>
      <c r="H48" s="23"/>
      <c r="I48" s="23"/>
      <c r="J48" s="23"/>
      <c r="K48" s="23"/>
      <c r="L48" s="23"/>
      <c r="M48" s="210"/>
      <c r="N48" s="22" t="s">
        <v>276</v>
      </c>
      <c r="O48" s="22" t="s">
        <v>2859</v>
      </c>
      <c r="P48" s="22" t="s">
        <v>2758</v>
      </c>
      <c r="Q48" s="22" t="s">
        <v>1232</v>
      </c>
      <c r="R48" s="22" t="s">
        <v>186</v>
      </c>
      <c r="S48" s="37">
        <v>36068</v>
      </c>
      <c r="T48" s="22" t="s">
        <v>2487</v>
      </c>
      <c r="V48" s="210"/>
      <c r="W48" s="36" t="s">
        <v>2489</v>
      </c>
      <c r="X48" s="36" t="s">
        <v>2488</v>
      </c>
      <c r="Y48" s="23">
        <v>1</v>
      </c>
      <c r="Z48" s="12" t="s">
        <v>3132</v>
      </c>
      <c r="AA48" s="23">
        <v>1</v>
      </c>
      <c r="AQ48" s="210"/>
      <c r="AR48" s="23">
        <v>57</v>
      </c>
      <c r="AS48" s="22" t="s">
        <v>2209</v>
      </c>
      <c r="AT48" s="22" t="s">
        <v>2479</v>
      </c>
      <c r="AU48" s="22" t="s">
        <v>2480</v>
      </c>
    </row>
    <row r="49" spans="2:47" s="22" customFormat="1">
      <c r="B49" s="22" t="s">
        <v>274</v>
      </c>
      <c r="C49" s="22" t="s">
        <v>2610</v>
      </c>
      <c r="E49" s="210"/>
      <c r="F49" s="23">
        <v>1</v>
      </c>
      <c r="G49" s="23"/>
      <c r="H49" s="23"/>
      <c r="I49" s="23"/>
      <c r="J49" s="23"/>
      <c r="K49" s="23"/>
      <c r="L49" s="23"/>
      <c r="M49" s="210"/>
      <c r="N49" s="22" t="s">
        <v>276</v>
      </c>
      <c r="O49" s="22" t="s">
        <v>2851</v>
      </c>
      <c r="P49" s="22" t="s">
        <v>2750</v>
      </c>
      <c r="Q49" s="22" t="s">
        <v>2707</v>
      </c>
      <c r="R49" s="22" t="s">
        <v>333</v>
      </c>
      <c r="S49" s="37">
        <v>60914</v>
      </c>
      <c r="T49" s="22" t="s">
        <v>2461</v>
      </c>
      <c r="V49" s="210"/>
      <c r="W49" s="36" t="s">
        <v>2462</v>
      </c>
      <c r="X49" s="36" t="s">
        <v>3133</v>
      </c>
      <c r="Y49" s="23">
        <v>1</v>
      </c>
      <c r="AA49" s="23"/>
      <c r="AQ49" s="210"/>
      <c r="AR49" s="23">
        <v>79</v>
      </c>
      <c r="AS49" s="22" t="s">
        <v>2209</v>
      </c>
      <c r="AT49" s="22" t="s">
        <v>2449</v>
      </c>
      <c r="AU49" s="22" t="s">
        <v>2450</v>
      </c>
    </row>
    <row r="50" spans="2:47" s="22" customFormat="1">
      <c r="B50" s="22" t="s">
        <v>2570</v>
      </c>
      <c r="C50" s="22" t="s">
        <v>2571</v>
      </c>
      <c r="E50" s="210"/>
      <c r="F50" s="23">
        <v>1</v>
      </c>
      <c r="G50" s="23"/>
      <c r="H50" s="23"/>
      <c r="I50" s="23"/>
      <c r="J50" s="23"/>
      <c r="K50" s="23"/>
      <c r="L50" s="23"/>
      <c r="M50" s="210"/>
      <c r="N50" s="22" t="s">
        <v>276</v>
      </c>
      <c r="O50" s="22" t="s">
        <v>2807</v>
      </c>
      <c r="P50" s="22" t="s">
        <v>2666</v>
      </c>
      <c r="Q50" s="22" t="s">
        <v>2667</v>
      </c>
      <c r="R50" s="22" t="s">
        <v>67</v>
      </c>
      <c r="S50" s="37">
        <v>80241</v>
      </c>
      <c r="T50" s="22" t="s">
        <v>2361</v>
      </c>
      <c r="V50" s="210"/>
      <c r="W50" s="36" t="s">
        <v>2362</v>
      </c>
      <c r="X50" s="89" t="s">
        <v>3134</v>
      </c>
      <c r="Y50" s="23">
        <v>1</v>
      </c>
      <c r="AA50" s="23"/>
      <c r="AQ50" s="210"/>
      <c r="AR50" s="23">
        <v>61</v>
      </c>
      <c r="AS50" s="22" t="s">
        <v>2209</v>
      </c>
      <c r="AT50" s="22" t="s">
        <v>2332</v>
      </c>
      <c r="AU50" s="22" t="s">
        <v>2333</v>
      </c>
    </row>
    <row r="51" spans="2:47" s="22" customFormat="1">
      <c r="B51" s="22" t="s">
        <v>255</v>
      </c>
      <c r="C51" s="22" t="s">
        <v>2635</v>
      </c>
      <c r="E51" s="210"/>
      <c r="F51" s="23">
        <v>1</v>
      </c>
      <c r="G51" s="23"/>
      <c r="H51" s="23"/>
      <c r="I51" s="23"/>
      <c r="J51" s="23"/>
      <c r="K51" s="23"/>
      <c r="L51" s="23"/>
      <c r="M51" s="210"/>
      <c r="N51" s="22" t="s">
        <v>276</v>
      </c>
      <c r="O51" s="22" t="s">
        <v>2830</v>
      </c>
      <c r="P51" s="22" t="s">
        <v>2768</v>
      </c>
      <c r="Q51" s="22" t="s">
        <v>2677</v>
      </c>
      <c r="R51" s="22" t="s">
        <v>519</v>
      </c>
      <c r="S51" s="37">
        <v>44718</v>
      </c>
      <c r="T51" s="22" t="s">
        <v>2522</v>
      </c>
      <c r="V51" s="210"/>
      <c r="W51" s="36" t="s">
        <v>2523</v>
      </c>
      <c r="X51" s="36" t="s">
        <v>3135</v>
      </c>
      <c r="Y51" s="23">
        <v>1</v>
      </c>
      <c r="AA51" s="23"/>
      <c r="AQ51" s="210"/>
      <c r="AR51" s="23">
        <v>65</v>
      </c>
      <c r="AS51" s="22" t="s">
        <v>2209</v>
      </c>
      <c r="AT51" s="22" t="s">
        <v>2508</v>
      </c>
      <c r="AU51" s="22" t="s">
        <v>2509</v>
      </c>
    </row>
    <row r="52" spans="2:47" s="22" customFormat="1">
      <c r="B52" s="22" t="s">
        <v>2619</v>
      </c>
      <c r="C52" s="22" t="s">
        <v>2620</v>
      </c>
      <c r="E52" s="210"/>
      <c r="F52" s="23">
        <v>1</v>
      </c>
      <c r="G52" s="23"/>
      <c r="H52" s="23"/>
      <c r="I52" s="23"/>
      <c r="J52" s="23"/>
      <c r="K52" s="23"/>
      <c r="L52" s="23"/>
      <c r="M52" s="210"/>
      <c r="N52" s="22" t="s">
        <v>276</v>
      </c>
      <c r="O52" s="22" t="s">
        <v>2857</v>
      </c>
      <c r="P52" s="22" t="s">
        <v>2756</v>
      </c>
      <c r="Q52" s="22" t="s">
        <v>2713</v>
      </c>
      <c r="R52" s="22" t="s">
        <v>632</v>
      </c>
      <c r="S52" s="37">
        <v>37330</v>
      </c>
      <c r="T52" s="22" t="s">
        <v>2481</v>
      </c>
      <c r="V52" s="210"/>
      <c r="W52" s="36" t="s">
        <v>2874</v>
      </c>
      <c r="X52" s="12" t="s">
        <v>3136</v>
      </c>
      <c r="Y52" s="23">
        <v>1</v>
      </c>
      <c r="AA52" s="23"/>
      <c r="AQ52" s="210"/>
      <c r="AR52" s="23">
        <v>73</v>
      </c>
      <c r="AS52" s="22" t="s">
        <v>2209</v>
      </c>
      <c r="AT52" s="22" t="s">
        <v>2479</v>
      </c>
      <c r="AU52" s="22" t="s">
        <v>2480</v>
      </c>
    </row>
    <row r="53" spans="2:47" s="22" customFormat="1">
      <c r="B53" s="22" t="s">
        <v>2584</v>
      </c>
      <c r="C53" s="22" t="s">
        <v>2632</v>
      </c>
      <c r="E53" s="210"/>
      <c r="F53" s="23">
        <v>1</v>
      </c>
      <c r="G53" s="23"/>
      <c r="H53" s="23"/>
      <c r="I53" s="12"/>
      <c r="J53" s="23"/>
      <c r="K53" s="23"/>
      <c r="L53" s="23"/>
      <c r="M53" s="210"/>
      <c r="N53" s="22" t="s">
        <v>276</v>
      </c>
      <c r="O53" s="22" t="s">
        <v>2863</v>
      </c>
      <c r="P53" s="22" t="s">
        <v>2765</v>
      </c>
      <c r="Q53" s="22" t="s">
        <v>1019</v>
      </c>
      <c r="R53" s="22" t="s">
        <v>362</v>
      </c>
      <c r="S53" s="37">
        <v>40476</v>
      </c>
      <c r="T53" s="22" t="s">
        <v>2513</v>
      </c>
      <c r="V53" s="210"/>
      <c r="W53" s="36" t="s">
        <v>2515</v>
      </c>
      <c r="X53" s="36" t="s">
        <v>2514</v>
      </c>
      <c r="Y53" s="23">
        <v>1</v>
      </c>
      <c r="AA53" s="23"/>
      <c r="AQ53" s="210"/>
      <c r="AR53" s="23">
        <v>53</v>
      </c>
      <c r="AS53" s="22" t="s">
        <v>2209</v>
      </c>
      <c r="AT53" s="22" t="s">
        <v>2508</v>
      </c>
      <c r="AU53" s="22" t="s">
        <v>2516</v>
      </c>
    </row>
    <row r="54" spans="2:47" s="22" customFormat="1">
      <c r="B54" s="22" t="s">
        <v>1745</v>
      </c>
      <c r="C54" s="22" t="s">
        <v>2607</v>
      </c>
      <c r="E54" s="210"/>
      <c r="F54" s="23">
        <v>1</v>
      </c>
      <c r="G54" s="23"/>
      <c r="H54" s="23"/>
      <c r="I54" s="23"/>
      <c r="J54" s="23"/>
      <c r="K54" s="23"/>
      <c r="L54" s="23"/>
      <c r="M54" s="210"/>
      <c r="N54" s="22" t="s">
        <v>276</v>
      </c>
      <c r="O54" s="22" t="s">
        <v>2849</v>
      </c>
      <c r="P54" s="22" t="s">
        <v>2748</v>
      </c>
      <c r="Q54" s="22" t="s">
        <v>2705</v>
      </c>
      <c r="R54" s="22" t="s">
        <v>380</v>
      </c>
      <c r="S54" s="37">
        <v>48507</v>
      </c>
      <c r="T54" s="22" t="s">
        <v>2456</v>
      </c>
      <c r="V54" s="210"/>
      <c r="W54" s="36" t="s">
        <v>2457</v>
      </c>
      <c r="X54" s="89" t="s">
        <v>3137</v>
      </c>
      <c r="Y54" s="23">
        <v>1</v>
      </c>
      <c r="AA54" s="23"/>
      <c r="AQ54" s="210"/>
      <c r="AR54" s="23">
        <v>72</v>
      </c>
      <c r="AS54" s="22" t="s">
        <v>2209</v>
      </c>
      <c r="AT54" s="22" t="s">
        <v>2449</v>
      </c>
      <c r="AU54" s="22" t="s">
        <v>2450</v>
      </c>
    </row>
    <row r="55" spans="2:47" s="22" customFormat="1">
      <c r="B55" s="22" t="s">
        <v>1803</v>
      </c>
      <c r="C55" s="22" t="s">
        <v>2629</v>
      </c>
      <c r="E55" s="210"/>
      <c r="F55" s="23">
        <v>1</v>
      </c>
      <c r="G55" s="23"/>
      <c r="H55" s="23"/>
      <c r="I55" s="23"/>
      <c r="J55" s="23"/>
      <c r="K55" s="23"/>
      <c r="L55" s="23"/>
      <c r="M55" s="210"/>
      <c r="N55" s="22" t="s">
        <v>276</v>
      </c>
      <c r="O55" s="22" t="s">
        <v>2829</v>
      </c>
      <c r="P55" s="22" t="s">
        <v>2676</v>
      </c>
      <c r="Q55" s="22" t="s">
        <v>550</v>
      </c>
      <c r="R55" s="22" t="s">
        <v>551</v>
      </c>
      <c r="S55" s="37">
        <v>33813</v>
      </c>
      <c r="T55" s="22" t="s">
        <v>2499</v>
      </c>
      <c r="V55" s="210"/>
      <c r="W55" s="36" t="s">
        <v>2501</v>
      </c>
      <c r="X55" s="36" t="s">
        <v>2500</v>
      </c>
      <c r="Y55" s="23">
        <v>1</v>
      </c>
      <c r="AA55" s="23"/>
      <c r="AQ55" s="210"/>
      <c r="AR55" s="23">
        <v>236</v>
      </c>
      <c r="AS55" s="22" t="s">
        <v>2209</v>
      </c>
      <c r="AT55" s="22" t="s">
        <v>2479</v>
      </c>
      <c r="AU55" s="22" t="s">
        <v>2480</v>
      </c>
    </row>
    <row r="56" spans="2:47" s="22" customFormat="1">
      <c r="B56" s="22" t="s">
        <v>2627</v>
      </c>
      <c r="C56" s="22" t="s">
        <v>2628</v>
      </c>
      <c r="E56" s="210"/>
      <c r="F56" s="23">
        <v>1</v>
      </c>
      <c r="G56" s="23"/>
      <c r="H56" s="23"/>
      <c r="I56" s="23"/>
      <c r="J56" s="23"/>
      <c r="K56" s="23"/>
      <c r="L56" s="23"/>
      <c r="M56" s="210"/>
      <c r="N56" s="22" t="s">
        <v>276</v>
      </c>
      <c r="O56" s="22" t="s">
        <v>2828</v>
      </c>
      <c r="P56" s="22" t="s">
        <v>2761</v>
      </c>
      <c r="Q56" s="22" t="s">
        <v>2716</v>
      </c>
      <c r="R56" s="22" t="s">
        <v>663</v>
      </c>
      <c r="S56" s="37">
        <v>30248</v>
      </c>
      <c r="T56" s="22" t="s">
        <v>2496</v>
      </c>
      <c r="V56" s="210"/>
      <c r="W56" s="36" t="s">
        <v>2498</v>
      </c>
      <c r="X56" s="36" t="s">
        <v>2497</v>
      </c>
      <c r="Y56" s="23">
        <v>1</v>
      </c>
      <c r="AA56" s="23"/>
      <c r="AQ56" s="210"/>
      <c r="AR56" s="23">
        <v>92</v>
      </c>
      <c r="AS56" s="22" t="s">
        <v>2209</v>
      </c>
      <c r="AT56" s="22" t="s">
        <v>2479</v>
      </c>
      <c r="AU56" s="22" t="s">
        <v>2480</v>
      </c>
    </row>
    <row r="57" spans="2:47" s="22" customFormat="1">
      <c r="B57" s="22" t="s">
        <v>441</v>
      </c>
      <c r="C57" s="22" t="s">
        <v>2572</v>
      </c>
      <c r="E57" s="210"/>
      <c r="F57" s="23">
        <v>1</v>
      </c>
      <c r="G57" s="23"/>
      <c r="H57" s="23"/>
      <c r="I57" s="23"/>
      <c r="J57" s="23"/>
      <c r="K57" s="23"/>
      <c r="L57" s="23"/>
      <c r="M57" s="210"/>
      <c r="N57" s="22" t="s">
        <v>276</v>
      </c>
      <c r="O57" s="22" t="s">
        <v>2808</v>
      </c>
      <c r="P57" s="22" t="s">
        <v>2787</v>
      </c>
      <c r="Q57" s="22" t="s">
        <v>2685</v>
      </c>
      <c r="R57" s="22" t="s">
        <v>326</v>
      </c>
      <c r="S57" s="37">
        <v>96734</v>
      </c>
      <c r="T57" s="22" t="s">
        <v>2363</v>
      </c>
      <c r="V57" s="210"/>
      <c r="W57" s="36" t="s">
        <v>2365</v>
      </c>
      <c r="X57" s="36" t="s">
        <v>2364</v>
      </c>
      <c r="Y57" s="23">
        <v>1</v>
      </c>
      <c r="AA57" s="23"/>
      <c r="AQ57" s="210"/>
      <c r="AR57" s="23">
        <v>25</v>
      </c>
      <c r="AS57" s="22" t="s">
        <v>2209</v>
      </c>
      <c r="AT57" s="22" t="s">
        <v>2366</v>
      </c>
      <c r="AU57" s="22" t="s">
        <v>2367</v>
      </c>
    </row>
    <row r="58" spans="2:47" s="22" customFormat="1">
      <c r="B58" s="22" t="s">
        <v>2611</v>
      </c>
      <c r="C58" s="22" t="s">
        <v>2612</v>
      </c>
      <c r="E58" s="210"/>
      <c r="F58" s="23">
        <v>1</v>
      </c>
      <c r="G58" s="23"/>
      <c r="H58" s="23"/>
      <c r="I58" s="23"/>
      <c r="J58" s="23"/>
      <c r="K58" s="23"/>
      <c r="L58" s="23"/>
      <c r="M58" s="210"/>
      <c r="N58" s="22" t="s">
        <v>276</v>
      </c>
      <c r="O58" s="22" t="s">
        <v>2852</v>
      </c>
      <c r="P58" s="22" t="s">
        <v>2751</v>
      </c>
      <c r="Q58" s="22" t="s">
        <v>2708</v>
      </c>
      <c r="R58" s="22" t="s">
        <v>333</v>
      </c>
      <c r="S58" s="37">
        <v>62010</v>
      </c>
      <c r="T58" s="22" t="s">
        <v>2463</v>
      </c>
      <c r="V58" s="210"/>
      <c r="W58" s="36" t="s">
        <v>2464</v>
      </c>
      <c r="X58" s="36" t="s">
        <v>3138</v>
      </c>
      <c r="Y58" s="23">
        <v>1</v>
      </c>
      <c r="AA58" s="23"/>
      <c r="AQ58" s="210"/>
      <c r="AR58" s="23">
        <v>82</v>
      </c>
      <c r="AS58" s="22" t="s">
        <v>2209</v>
      </c>
      <c r="AT58" s="22" t="s">
        <v>2449</v>
      </c>
      <c r="AU58" s="22" t="s">
        <v>2450</v>
      </c>
    </row>
    <row r="59" spans="2:47" s="22" customFormat="1">
      <c r="B59" s="22" t="s">
        <v>2615</v>
      </c>
      <c r="C59" s="22" t="s">
        <v>2616</v>
      </c>
      <c r="E59" s="210"/>
      <c r="F59" s="23"/>
      <c r="G59" s="23"/>
      <c r="H59" s="23"/>
      <c r="I59" s="23"/>
      <c r="J59" s="23">
        <v>1</v>
      </c>
      <c r="K59" s="23"/>
      <c r="L59" s="23"/>
      <c r="M59" s="210"/>
      <c r="N59" s="22" t="s">
        <v>276</v>
      </c>
      <c r="O59" s="22" t="s">
        <v>2855</v>
      </c>
      <c r="P59" s="22" t="s">
        <v>2754</v>
      </c>
      <c r="Q59" s="22" t="s">
        <v>2711</v>
      </c>
      <c r="R59" s="22" t="s">
        <v>344</v>
      </c>
      <c r="S59" s="37">
        <v>46168</v>
      </c>
      <c r="T59" s="22" t="s">
        <v>2470</v>
      </c>
      <c r="V59" s="210"/>
      <c r="W59" s="36" t="s">
        <v>2472</v>
      </c>
      <c r="X59" s="36" t="s">
        <v>2471</v>
      </c>
      <c r="Y59" s="23">
        <v>1</v>
      </c>
      <c r="AA59" s="23"/>
      <c r="AQ59" s="210"/>
      <c r="AR59" s="23"/>
      <c r="AS59" s="22" t="s">
        <v>2209</v>
      </c>
      <c r="AT59" s="22" t="s">
        <v>2449</v>
      </c>
      <c r="AU59" s="22" t="s">
        <v>2450</v>
      </c>
    </row>
    <row r="60" spans="2:47" s="22" customFormat="1">
      <c r="B60" s="22" t="s">
        <v>366</v>
      </c>
      <c r="C60" s="22" t="s">
        <v>2569</v>
      </c>
      <c r="E60" s="210"/>
      <c r="F60" s="23">
        <v>1</v>
      </c>
      <c r="G60" s="23"/>
      <c r="H60" s="23"/>
      <c r="I60" s="23"/>
      <c r="J60" s="23"/>
      <c r="K60" s="23"/>
      <c r="L60" s="23"/>
      <c r="M60" s="210"/>
      <c r="N60" s="22" t="s">
        <v>276</v>
      </c>
      <c r="O60" s="22" t="s">
        <v>2806</v>
      </c>
      <c r="P60" s="22" t="s">
        <v>2786</v>
      </c>
      <c r="Q60" s="22" t="s">
        <v>602</v>
      </c>
      <c r="R60" s="22" t="s">
        <v>603</v>
      </c>
      <c r="S60" s="37">
        <v>83653</v>
      </c>
      <c r="T60" s="22" t="s">
        <v>2358</v>
      </c>
      <c r="V60" s="210"/>
      <c r="W60" s="36" t="s">
        <v>2360</v>
      </c>
      <c r="X60" s="36" t="s">
        <v>2359</v>
      </c>
      <c r="Y60" s="23">
        <v>1</v>
      </c>
      <c r="AA60" s="23"/>
      <c r="AQ60" s="210"/>
      <c r="AR60" s="23">
        <v>51</v>
      </c>
      <c r="AS60" s="22" t="s">
        <v>2209</v>
      </c>
      <c r="AT60" s="22" t="s">
        <v>2332</v>
      </c>
      <c r="AU60" s="22" t="s">
        <v>2333</v>
      </c>
    </row>
    <row r="61" spans="2:47" s="22" customFormat="1">
      <c r="B61" s="22" t="s">
        <v>424</v>
      </c>
      <c r="C61" s="22" t="s">
        <v>2588</v>
      </c>
      <c r="E61" s="210"/>
      <c r="F61" s="23">
        <v>1</v>
      </c>
      <c r="G61" s="23"/>
      <c r="H61" s="23"/>
      <c r="I61" s="23"/>
      <c r="J61" s="23"/>
      <c r="K61" s="23"/>
      <c r="L61" s="23"/>
      <c r="M61" s="210"/>
      <c r="N61" s="22" t="s">
        <v>276</v>
      </c>
      <c r="O61" s="22" t="s">
        <v>2809</v>
      </c>
      <c r="P61" s="22" t="s">
        <v>2670</v>
      </c>
      <c r="Q61" s="22" t="s">
        <v>1238</v>
      </c>
      <c r="R61" s="22" t="s">
        <v>352</v>
      </c>
      <c r="S61" s="37">
        <v>50021</v>
      </c>
      <c r="T61" s="22" t="s">
        <v>2402</v>
      </c>
      <c r="V61" s="210"/>
      <c r="W61" s="36" t="s">
        <v>2404</v>
      </c>
      <c r="X61" s="36" t="s">
        <v>2403</v>
      </c>
      <c r="Y61" s="23">
        <v>1</v>
      </c>
      <c r="AA61" s="23"/>
      <c r="AQ61" s="210"/>
      <c r="AR61" s="23">
        <v>65</v>
      </c>
      <c r="AS61" s="22" t="s">
        <v>2209</v>
      </c>
      <c r="AT61" s="22" t="s">
        <v>2400</v>
      </c>
      <c r="AU61" s="22" t="s">
        <v>2401</v>
      </c>
    </row>
    <row r="62" spans="2:47" s="22" customFormat="1">
      <c r="B62" s="22" t="s">
        <v>328</v>
      </c>
      <c r="C62" s="22" t="s">
        <v>2592</v>
      </c>
      <c r="E62" s="210"/>
      <c r="F62" s="23">
        <v>1</v>
      </c>
      <c r="G62" s="23"/>
      <c r="H62" s="23"/>
      <c r="I62" s="23"/>
      <c r="J62" s="23"/>
      <c r="K62" s="23"/>
      <c r="L62" s="23"/>
      <c r="M62" s="210"/>
      <c r="N62" s="22" t="s">
        <v>276</v>
      </c>
      <c r="O62" s="22" t="s">
        <v>2813</v>
      </c>
      <c r="P62" s="22" t="s">
        <v>2736</v>
      </c>
      <c r="Q62" s="22" t="s">
        <v>2696</v>
      </c>
      <c r="R62" s="22" t="s">
        <v>129</v>
      </c>
      <c r="S62" s="37">
        <v>64836</v>
      </c>
      <c r="T62" s="22" t="s">
        <v>2413</v>
      </c>
      <c r="V62" s="210"/>
      <c r="W62" s="36" t="s">
        <v>2415</v>
      </c>
      <c r="X62" s="36" t="s">
        <v>2414</v>
      </c>
      <c r="Y62" s="23">
        <v>1</v>
      </c>
      <c r="AA62" s="23"/>
      <c r="AQ62" s="210"/>
      <c r="AR62" s="23">
        <v>120</v>
      </c>
      <c r="AS62" s="22" t="s">
        <v>2209</v>
      </c>
      <c r="AT62" s="22" t="s">
        <v>2400</v>
      </c>
      <c r="AU62" s="22" t="s">
        <v>2401</v>
      </c>
    </row>
    <row r="63" spans="2:47" s="22" customFormat="1">
      <c r="B63" s="22" t="s">
        <v>737</v>
      </c>
      <c r="C63" s="22" t="s">
        <v>2591</v>
      </c>
      <c r="E63" s="210"/>
      <c r="F63" s="23">
        <v>1</v>
      </c>
      <c r="G63" s="23"/>
      <c r="H63" s="23"/>
      <c r="I63" s="23"/>
      <c r="J63" s="23"/>
      <c r="K63" s="23"/>
      <c r="L63" s="23"/>
      <c r="M63" s="210"/>
      <c r="N63" s="22" t="s">
        <v>276</v>
      </c>
      <c r="O63" s="22" t="s">
        <v>2812</v>
      </c>
      <c r="P63" s="22" t="s">
        <v>2735</v>
      </c>
      <c r="Q63" s="22" t="s">
        <v>2695</v>
      </c>
      <c r="R63" s="22" t="s">
        <v>289</v>
      </c>
      <c r="S63" s="37">
        <v>66204</v>
      </c>
      <c r="T63" s="22" t="s">
        <v>2410</v>
      </c>
      <c r="V63" s="210"/>
      <c r="W63" s="36" t="s">
        <v>2412</v>
      </c>
      <c r="X63" s="36" t="s">
        <v>2411</v>
      </c>
      <c r="Y63" s="23">
        <v>1</v>
      </c>
      <c r="Z63" s="89" t="s">
        <v>2875</v>
      </c>
      <c r="AA63" s="23">
        <v>1</v>
      </c>
      <c r="AQ63" s="210"/>
      <c r="AR63" s="23"/>
      <c r="AS63" s="22" t="s">
        <v>2209</v>
      </c>
      <c r="AT63" s="22" t="s">
        <v>2400</v>
      </c>
      <c r="AU63" s="22" t="s">
        <v>2401</v>
      </c>
    </row>
    <row r="64" spans="2:47" s="22" customFormat="1">
      <c r="B64" s="22" t="s">
        <v>3140</v>
      </c>
      <c r="C64" s="22" t="s">
        <v>2590</v>
      </c>
      <c r="E64" s="210"/>
      <c r="F64" s="23">
        <v>1</v>
      </c>
      <c r="G64" s="23"/>
      <c r="H64" s="23"/>
      <c r="I64" s="23"/>
      <c r="J64" s="23"/>
      <c r="K64" s="23"/>
      <c r="L64" s="23"/>
      <c r="M64" s="210"/>
      <c r="N64" s="22" t="s">
        <v>276</v>
      </c>
      <c r="O64" s="22" t="s">
        <v>2811</v>
      </c>
      <c r="P64" s="22" t="s">
        <v>2734</v>
      </c>
      <c r="Q64" s="22" t="s">
        <v>2694</v>
      </c>
      <c r="R64" s="22" t="s">
        <v>289</v>
      </c>
      <c r="S64" s="37">
        <v>66801</v>
      </c>
      <c r="T64" s="22" t="s">
        <v>2407</v>
      </c>
      <c r="V64" s="210"/>
      <c r="W64" s="36" t="s">
        <v>2409</v>
      </c>
      <c r="X64" s="89" t="s">
        <v>3139</v>
      </c>
      <c r="Y64" s="23">
        <v>1</v>
      </c>
      <c r="Z64" s="36" t="s">
        <v>2408</v>
      </c>
      <c r="AA64" s="23">
        <v>1</v>
      </c>
      <c r="AQ64" s="210"/>
      <c r="AR64" s="23">
        <v>62</v>
      </c>
      <c r="AS64" s="22" t="s">
        <v>2209</v>
      </c>
      <c r="AT64" s="22" t="s">
        <v>2400</v>
      </c>
      <c r="AU64" s="22" t="s">
        <v>2401</v>
      </c>
    </row>
    <row r="65" spans="1:47" s="22" customFormat="1">
      <c r="B65" s="22" t="s">
        <v>1330</v>
      </c>
      <c r="C65" s="22" t="s">
        <v>2618</v>
      </c>
      <c r="E65" s="210"/>
      <c r="F65" s="23">
        <v>1</v>
      </c>
      <c r="G65" s="23"/>
      <c r="H65" s="23"/>
      <c r="I65" s="23"/>
      <c r="J65" s="23"/>
      <c r="K65" s="23"/>
      <c r="L65" s="23"/>
      <c r="M65" s="210"/>
      <c r="N65" s="22" t="s">
        <v>276</v>
      </c>
      <c r="O65" s="22" t="s">
        <v>2824</v>
      </c>
      <c r="P65" s="22" t="s">
        <v>2755</v>
      </c>
      <c r="Q65" s="22" t="s">
        <v>2712</v>
      </c>
      <c r="R65" s="22" t="s">
        <v>362</v>
      </c>
      <c r="S65" s="37">
        <v>40129</v>
      </c>
      <c r="T65" s="22" t="s">
        <v>2476</v>
      </c>
      <c r="V65" s="210"/>
      <c r="W65" s="36" t="s">
        <v>2478</v>
      </c>
      <c r="X65" s="36" t="s">
        <v>2477</v>
      </c>
      <c r="Y65" s="23">
        <v>1</v>
      </c>
      <c r="AA65" s="23"/>
      <c r="AQ65" s="210"/>
      <c r="AR65" s="23">
        <v>179</v>
      </c>
      <c r="AS65" s="22" t="s">
        <v>2209</v>
      </c>
      <c r="AT65" s="22" t="s">
        <v>2479</v>
      </c>
      <c r="AU65" s="22" t="s">
        <v>2480</v>
      </c>
    </row>
    <row r="66" spans="1:47" s="22" customFormat="1">
      <c r="B66" s="22" t="s">
        <v>2581</v>
      </c>
      <c r="C66" s="22" t="s">
        <v>2582</v>
      </c>
      <c r="E66" s="210"/>
      <c r="F66" s="23">
        <v>1</v>
      </c>
      <c r="G66" s="23"/>
      <c r="H66" s="23"/>
      <c r="I66" s="23"/>
      <c r="J66" s="23"/>
      <c r="K66" s="23"/>
      <c r="L66" s="23"/>
      <c r="M66" s="210"/>
      <c r="N66" s="22" t="s">
        <v>276</v>
      </c>
      <c r="O66" s="22" t="s">
        <v>2841</v>
      </c>
      <c r="P66" s="22" t="s">
        <v>2795</v>
      </c>
      <c r="Q66" s="22" t="s">
        <v>2669</v>
      </c>
      <c r="R66" s="22" t="s">
        <v>300</v>
      </c>
      <c r="S66" s="37">
        <v>91006</v>
      </c>
      <c r="T66" s="22" t="s">
        <v>2388</v>
      </c>
      <c r="V66" s="210"/>
      <c r="W66" s="36" t="s">
        <v>2389</v>
      </c>
      <c r="X66" s="12" t="s">
        <v>3141</v>
      </c>
      <c r="Y66" s="23">
        <v>1</v>
      </c>
      <c r="AA66" s="23"/>
      <c r="AQ66" s="210"/>
      <c r="AR66" s="23">
        <v>69</v>
      </c>
      <c r="AS66" s="22" t="s">
        <v>2209</v>
      </c>
      <c r="AT66" s="22" t="s">
        <v>2366</v>
      </c>
      <c r="AU66" s="22" t="s">
        <v>2367</v>
      </c>
    </row>
    <row r="67" spans="1:47" s="22" customFormat="1">
      <c r="B67" s="22" t="s">
        <v>2602</v>
      </c>
      <c r="C67" s="22" t="s">
        <v>2603</v>
      </c>
      <c r="E67" s="210"/>
      <c r="F67" s="23"/>
      <c r="G67" s="23"/>
      <c r="H67" s="23"/>
      <c r="I67" s="23"/>
      <c r="J67" s="23">
        <v>1</v>
      </c>
      <c r="K67" s="23"/>
      <c r="L67" s="23"/>
      <c r="M67" s="210"/>
      <c r="N67" s="22" t="s">
        <v>276</v>
      </c>
      <c r="O67" s="22" t="s">
        <v>2847</v>
      </c>
      <c r="P67" s="22" t="s">
        <v>2745</v>
      </c>
      <c r="Q67" s="22" t="s">
        <v>370</v>
      </c>
      <c r="R67" s="22" t="s">
        <v>371</v>
      </c>
      <c r="S67" s="37">
        <v>71303</v>
      </c>
      <c r="T67" s="22" t="s">
        <v>2443</v>
      </c>
      <c r="V67" s="210"/>
      <c r="W67" s="36" t="s">
        <v>2445</v>
      </c>
      <c r="X67" s="36" t="s">
        <v>2444</v>
      </c>
      <c r="Y67" s="23">
        <v>1</v>
      </c>
      <c r="AA67" s="23"/>
      <c r="AQ67" s="210"/>
      <c r="AR67" s="23">
        <v>42</v>
      </c>
      <c r="AS67" s="22" t="s">
        <v>2209</v>
      </c>
      <c r="AT67" s="22" t="s">
        <v>2379</v>
      </c>
      <c r="AU67" s="22" t="s">
        <v>2380</v>
      </c>
    </row>
    <row r="68" spans="1:47" s="22" customFormat="1">
      <c r="B68" s="22" t="s">
        <v>264</v>
      </c>
      <c r="C68" s="22" t="s">
        <v>2646</v>
      </c>
      <c r="E68" s="210"/>
      <c r="F68" s="23">
        <v>1</v>
      </c>
      <c r="G68" s="23"/>
      <c r="H68" s="23"/>
      <c r="I68" s="23"/>
      <c r="J68" s="23"/>
      <c r="K68" s="23"/>
      <c r="L68" s="23"/>
      <c r="M68" s="210"/>
      <c r="N68" s="22" t="s">
        <v>276</v>
      </c>
      <c r="O68" s="22" t="s">
        <v>2833</v>
      </c>
      <c r="P68" s="22" t="s">
        <v>2777</v>
      </c>
      <c r="Q68" s="22" t="s">
        <v>2729</v>
      </c>
      <c r="R68" s="22" t="s">
        <v>501</v>
      </c>
      <c r="S68" s="37">
        <v>4236</v>
      </c>
      <c r="T68" s="22" t="s">
        <v>2552</v>
      </c>
      <c r="V68" s="210"/>
      <c r="W68" s="36" t="s">
        <v>2554</v>
      </c>
      <c r="X68" s="22" t="s">
        <v>3142</v>
      </c>
      <c r="Y68" s="23">
        <v>1</v>
      </c>
      <c r="Z68" s="36" t="s">
        <v>2553</v>
      </c>
      <c r="AA68" s="23">
        <v>1</v>
      </c>
      <c r="AQ68" s="210"/>
      <c r="AR68" s="23">
        <v>48</v>
      </c>
      <c r="AS68" s="22" t="s">
        <v>2209</v>
      </c>
      <c r="AT68" s="22" t="s">
        <v>2533</v>
      </c>
      <c r="AU68" s="22" t="s">
        <v>2534</v>
      </c>
    </row>
    <row r="69" spans="1:47" s="22" customFormat="1">
      <c r="B69" s="22" t="s">
        <v>2641</v>
      </c>
      <c r="C69" s="22" t="s">
        <v>2642</v>
      </c>
      <c r="E69" s="210"/>
      <c r="F69" s="23"/>
      <c r="G69" s="23">
        <v>1</v>
      </c>
      <c r="H69" s="23"/>
      <c r="I69" s="23"/>
      <c r="J69" s="23"/>
      <c r="K69" s="23"/>
      <c r="L69" s="23"/>
      <c r="M69" s="210"/>
      <c r="N69" s="22" t="s">
        <v>276</v>
      </c>
      <c r="O69" s="22" t="s">
        <v>2870</v>
      </c>
      <c r="P69" s="22" t="s">
        <v>2778</v>
      </c>
      <c r="Q69" s="22" t="s">
        <v>2727</v>
      </c>
      <c r="R69" s="22" t="s">
        <v>437</v>
      </c>
      <c r="S69" s="37">
        <v>11580</v>
      </c>
      <c r="T69" s="22" t="s">
        <v>2544</v>
      </c>
      <c r="V69" s="210"/>
      <c r="W69" s="36" t="s">
        <v>2546</v>
      </c>
      <c r="X69" s="36" t="s">
        <v>2545</v>
      </c>
      <c r="Y69" s="23">
        <v>1</v>
      </c>
      <c r="AA69" s="23"/>
      <c r="AQ69" s="210"/>
      <c r="AR69" s="23">
        <v>120</v>
      </c>
      <c r="AS69" s="22" t="s">
        <v>2209</v>
      </c>
      <c r="AT69" s="22" t="s">
        <v>2533</v>
      </c>
      <c r="AU69" s="22" t="s">
        <v>2534</v>
      </c>
    </row>
    <row r="70" spans="1:47" s="22" customFormat="1">
      <c r="B70" s="22" t="s">
        <v>2624</v>
      </c>
      <c r="C70" s="22" t="s">
        <v>2606</v>
      </c>
      <c r="E70" s="210"/>
      <c r="F70" s="23">
        <v>1</v>
      </c>
      <c r="G70" s="23"/>
      <c r="H70" s="23"/>
      <c r="I70" s="23"/>
      <c r="J70" s="23"/>
      <c r="K70" s="23"/>
      <c r="L70" s="23"/>
      <c r="M70" s="210"/>
      <c r="N70" s="22" t="s">
        <v>276</v>
      </c>
      <c r="O70" s="22" t="s">
        <v>2823</v>
      </c>
      <c r="P70" s="22" t="s">
        <v>2650</v>
      </c>
      <c r="Q70" s="22" t="s">
        <v>2704</v>
      </c>
      <c r="R70" s="22" t="s">
        <v>380</v>
      </c>
      <c r="S70" s="37">
        <v>48837</v>
      </c>
      <c r="T70" s="22" t="s">
        <v>2454</v>
      </c>
      <c r="V70" s="210"/>
      <c r="W70" s="36" t="s">
        <v>2455</v>
      </c>
      <c r="X70" s="89" t="s">
        <v>3143</v>
      </c>
      <c r="Y70" s="23">
        <v>1</v>
      </c>
      <c r="AA70" s="23"/>
      <c r="AQ70" s="210"/>
      <c r="AR70" s="23">
        <v>67</v>
      </c>
      <c r="AS70" s="22" t="s">
        <v>2209</v>
      </c>
      <c r="AT70" s="22" t="s">
        <v>2449</v>
      </c>
      <c r="AU70" s="22" t="s">
        <v>2450</v>
      </c>
    </row>
    <row r="71" spans="1:47" s="22" customFormat="1">
      <c r="B71" s="22" t="s">
        <v>255</v>
      </c>
      <c r="C71" s="22" t="s">
        <v>2639</v>
      </c>
      <c r="E71" s="210"/>
      <c r="F71" s="23">
        <v>1</v>
      </c>
      <c r="G71" s="23"/>
      <c r="H71" s="23"/>
      <c r="I71" s="23"/>
      <c r="J71" s="23"/>
      <c r="K71" s="23"/>
      <c r="L71" s="23"/>
      <c r="M71" s="210"/>
      <c r="N71" s="22" t="s">
        <v>276</v>
      </c>
      <c r="O71" s="22" t="s">
        <v>2832</v>
      </c>
      <c r="P71" s="22" t="s">
        <v>2773</v>
      </c>
      <c r="Q71" s="22" t="s">
        <v>1918</v>
      </c>
      <c r="R71" s="22" t="s">
        <v>1256</v>
      </c>
      <c r="S71" s="37">
        <v>21061</v>
      </c>
      <c r="T71" s="22" t="s">
        <v>2538</v>
      </c>
      <c r="V71" s="210"/>
      <c r="W71" s="36" t="s">
        <v>2540</v>
      </c>
      <c r="X71" s="36" t="s">
        <v>2539</v>
      </c>
      <c r="Y71" s="23">
        <v>1</v>
      </c>
      <c r="AA71" s="23"/>
      <c r="AQ71" s="210"/>
      <c r="AR71" s="23"/>
      <c r="AS71" s="22" t="s">
        <v>2209</v>
      </c>
      <c r="AT71" s="22" t="s">
        <v>2533</v>
      </c>
      <c r="AU71" s="22" t="s">
        <v>2534</v>
      </c>
    </row>
    <row r="72" spans="1:47" s="22" customFormat="1">
      <c r="B72" s="22" t="s">
        <v>2621</v>
      </c>
      <c r="C72" s="22" t="s">
        <v>2622</v>
      </c>
      <c r="E72" s="210"/>
      <c r="F72" s="23">
        <v>1</v>
      </c>
      <c r="G72" s="23"/>
      <c r="H72" s="23"/>
      <c r="I72" s="23"/>
      <c r="J72" s="23"/>
      <c r="K72" s="23"/>
      <c r="L72" s="23"/>
      <c r="M72" s="210"/>
      <c r="N72" s="22" t="s">
        <v>276</v>
      </c>
      <c r="O72" s="22" t="s">
        <v>2825</v>
      </c>
      <c r="P72" s="22" t="s">
        <v>2674</v>
      </c>
      <c r="Q72" s="22" t="s">
        <v>2675</v>
      </c>
      <c r="R72" s="22" t="s">
        <v>632</v>
      </c>
      <c r="S72" s="37">
        <v>37210</v>
      </c>
      <c r="T72" s="22" t="s">
        <v>2482</v>
      </c>
      <c r="V72" s="210"/>
      <c r="W72" s="36" t="s">
        <v>2484</v>
      </c>
      <c r="X72" s="36" t="s">
        <v>2483</v>
      </c>
      <c r="Y72" s="23">
        <v>1</v>
      </c>
      <c r="AA72" s="23"/>
      <c r="AQ72" s="210"/>
      <c r="AR72" s="23">
        <v>112</v>
      </c>
      <c r="AS72" s="22" t="s">
        <v>2209</v>
      </c>
      <c r="AT72" s="22" t="s">
        <v>2479</v>
      </c>
      <c r="AU72" s="22" t="s">
        <v>2480</v>
      </c>
    </row>
    <row r="73" spans="1:47" s="22" customFormat="1">
      <c r="B73" s="22" t="s">
        <v>424</v>
      </c>
      <c r="C73" s="22" t="s">
        <v>2593</v>
      </c>
      <c r="E73" s="210"/>
      <c r="F73" s="23">
        <v>1</v>
      </c>
      <c r="G73" s="23"/>
      <c r="H73" s="23"/>
      <c r="I73" s="23"/>
      <c r="J73" s="23"/>
      <c r="K73" s="23"/>
      <c r="L73" s="23"/>
      <c r="M73" s="210"/>
      <c r="N73" s="22" t="s">
        <v>276</v>
      </c>
      <c r="O73" s="22" t="s">
        <v>2814</v>
      </c>
      <c r="P73" s="22" t="s">
        <v>2737</v>
      </c>
      <c r="Q73" s="22" t="s">
        <v>2697</v>
      </c>
      <c r="R73" s="22" t="s">
        <v>129</v>
      </c>
      <c r="S73" s="37">
        <v>63044</v>
      </c>
      <c r="T73" s="22" t="s">
        <v>2416</v>
      </c>
      <c r="V73" s="210"/>
      <c r="W73" s="36" t="s">
        <v>2418</v>
      </c>
      <c r="X73" s="36" t="s">
        <v>2417</v>
      </c>
      <c r="Y73" s="23">
        <v>1</v>
      </c>
      <c r="AA73" s="23"/>
      <c r="AQ73" s="210"/>
      <c r="AR73" s="23">
        <v>58</v>
      </c>
      <c r="AS73" s="22" t="s">
        <v>2209</v>
      </c>
      <c r="AT73" s="22" t="s">
        <v>2419</v>
      </c>
      <c r="AU73" s="22" t="s">
        <v>2401</v>
      </c>
    </row>
    <row r="74" spans="1:47" s="22" customFormat="1">
      <c r="B74" s="22" t="s">
        <v>3145</v>
      </c>
      <c r="C74" s="22" t="s">
        <v>2589</v>
      </c>
      <c r="E74" s="210"/>
      <c r="F74" s="23">
        <v>1</v>
      </c>
      <c r="G74" s="23"/>
      <c r="H74" s="23"/>
      <c r="I74" s="23"/>
      <c r="J74" s="23"/>
      <c r="K74" s="23"/>
      <c r="L74" s="23"/>
      <c r="M74" s="210"/>
      <c r="N74" s="22" t="s">
        <v>276</v>
      </c>
      <c r="O74" s="22" t="s">
        <v>2810</v>
      </c>
      <c r="P74" s="22" t="s">
        <v>2733</v>
      </c>
      <c r="Q74" s="22" t="s">
        <v>2693</v>
      </c>
      <c r="R74" s="22" t="s">
        <v>412</v>
      </c>
      <c r="S74" s="37">
        <v>68516</v>
      </c>
      <c r="T74" s="22" t="s">
        <v>2405</v>
      </c>
      <c r="V74" s="210"/>
      <c r="W74" s="22" t="s">
        <v>3144</v>
      </c>
      <c r="X74" s="36" t="s">
        <v>2406</v>
      </c>
      <c r="Y74" s="23">
        <v>1</v>
      </c>
      <c r="AA74" s="23"/>
      <c r="AQ74" s="210"/>
      <c r="AR74" s="23"/>
      <c r="AS74" s="22" t="s">
        <v>2209</v>
      </c>
      <c r="AT74" s="22" t="s">
        <v>2400</v>
      </c>
      <c r="AU74" s="22" t="s">
        <v>2401</v>
      </c>
    </row>
    <row r="75" spans="1:47" s="22" customFormat="1">
      <c r="B75" s="22" t="s">
        <v>180</v>
      </c>
      <c r="C75" s="22" t="s">
        <v>2645</v>
      </c>
      <c r="E75" s="210"/>
      <c r="F75" s="23">
        <v>1</v>
      </c>
      <c r="G75" s="23"/>
      <c r="H75" s="23"/>
      <c r="I75" s="23"/>
      <c r="J75" s="23"/>
      <c r="K75" s="23"/>
      <c r="L75" s="23"/>
      <c r="M75" s="210"/>
      <c r="N75" s="22" t="s">
        <v>276</v>
      </c>
      <c r="O75" s="22" t="s">
        <v>2191</v>
      </c>
      <c r="P75" s="22" t="s">
        <v>2776</v>
      </c>
      <c r="Q75" s="22" t="s">
        <v>2728</v>
      </c>
      <c r="R75" s="22" t="s">
        <v>618</v>
      </c>
      <c r="S75" s="37">
        <v>2045</v>
      </c>
      <c r="T75" s="22" t="s">
        <v>2549</v>
      </c>
      <c r="V75" s="210"/>
      <c r="W75" s="36" t="s">
        <v>2551</v>
      </c>
      <c r="X75" s="36" t="s">
        <v>2550</v>
      </c>
      <c r="Y75" s="23">
        <v>1</v>
      </c>
      <c r="AA75" s="23"/>
      <c r="AQ75" s="210"/>
      <c r="AR75" s="23">
        <v>91</v>
      </c>
      <c r="AS75" s="22" t="s">
        <v>2209</v>
      </c>
      <c r="AT75" s="22" t="s">
        <v>2533</v>
      </c>
      <c r="AU75" s="22" t="s">
        <v>2534</v>
      </c>
    </row>
    <row r="76" spans="1:47" s="22" customFormat="1">
      <c r="B76" s="22" t="s">
        <v>274</v>
      </c>
      <c r="C76" s="22" t="s">
        <v>2586</v>
      </c>
      <c r="E76" s="210"/>
      <c r="F76" s="23">
        <v>1</v>
      </c>
      <c r="G76" s="23"/>
      <c r="H76" s="23"/>
      <c r="I76" s="23"/>
      <c r="J76" s="23"/>
      <c r="K76" s="23"/>
      <c r="L76" s="23"/>
      <c r="M76" s="210"/>
      <c r="N76" s="22" t="s">
        <v>276</v>
      </c>
      <c r="O76" s="22" t="s">
        <v>2844</v>
      </c>
      <c r="P76" s="22" t="s">
        <v>2731</v>
      </c>
      <c r="Q76" s="22" t="s">
        <v>2691</v>
      </c>
      <c r="R76" s="22" t="s">
        <v>430</v>
      </c>
      <c r="S76" s="37">
        <v>88316</v>
      </c>
      <c r="T76" s="22" t="s">
        <v>2395</v>
      </c>
      <c r="V76" s="210"/>
      <c r="W76" s="36" t="s">
        <v>2397</v>
      </c>
      <c r="X76" s="36" t="s">
        <v>2396</v>
      </c>
      <c r="Y76" s="23">
        <v>1</v>
      </c>
      <c r="AA76" s="23"/>
      <c r="AQ76" s="210"/>
      <c r="AR76" s="23">
        <v>50</v>
      </c>
      <c r="AS76" s="22" t="s">
        <v>2209</v>
      </c>
      <c r="AT76" s="22" t="s">
        <v>2366</v>
      </c>
      <c r="AU76" s="22" t="s">
        <v>2367</v>
      </c>
    </row>
    <row r="77" spans="1:47" s="22" customFormat="1">
      <c r="B77" s="22" t="s">
        <v>384</v>
      </c>
      <c r="C77" s="22" t="s">
        <v>2598</v>
      </c>
      <c r="E77" s="210"/>
      <c r="F77" s="23">
        <v>1</v>
      </c>
      <c r="G77" s="23"/>
      <c r="H77" s="23"/>
      <c r="I77" s="23"/>
      <c r="J77" s="23"/>
      <c r="K77" s="23"/>
      <c r="L77" s="23"/>
      <c r="M77" s="210"/>
      <c r="N77" s="22" t="s">
        <v>276</v>
      </c>
      <c r="O77" s="22" t="s">
        <v>2819</v>
      </c>
      <c r="P77" s="22" t="s">
        <v>2741</v>
      </c>
      <c r="Q77" s="22" t="s">
        <v>1910</v>
      </c>
      <c r="R77" s="22" t="s">
        <v>280</v>
      </c>
      <c r="S77" s="37">
        <v>72033</v>
      </c>
      <c r="T77" s="22" t="s">
        <v>2431</v>
      </c>
      <c r="V77" s="210"/>
      <c r="W77" s="36" t="s">
        <v>2433</v>
      </c>
      <c r="X77" s="36" t="s">
        <v>2432</v>
      </c>
      <c r="Y77" s="23">
        <v>1</v>
      </c>
      <c r="AA77" s="23"/>
      <c r="AQ77" s="210"/>
      <c r="AR77" s="23">
        <v>58</v>
      </c>
      <c r="AS77" s="22" t="s">
        <v>2209</v>
      </c>
      <c r="AT77" s="22" t="s">
        <v>2379</v>
      </c>
      <c r="AU77" s="22" t="s">
        <v>2380</v>
      </c>
    </row>
    <row r="78" spans="1:47" s="22" customFormat="1">
      <c r="A78" s="22">
        <v>1</v>
      </c>
      <c r="B78" s="200" t="s">
        <v>2579</v>
      </c>
      <c r="C78" s="22" t="s">
        <v>2647</v>
      </c>
      <c r="E78" s="210"/>
      <c r="F78" s="23"/>
      <c r="G78" s="23"/>
      <c r="H78" s="23"/>
      <c r="I78" s="23">
        <v>1</v>
      </c>
      <c r="J78" s="23"/>
      <c r="K78" s="23"/>
      <c r="L78" s="23"/>
      <c r="M78" s="210"/>
      <c r="N78" s="22" t="s">
        <v>276</v>
      </c>
      <c r="O78" s="22" t="s">
        <v>2838</v>
      </c>
      <c r="P78" s="22" t="s">
        <v>2792</v>
      </c>
      <c r="Q78" s="22" t="s">
        <v>2689</v>
      </c>
      <c r="R78" s="22" t="s">
        <v>300</v>
      </c>
      <c r="S78" s="37">
        <v>94565</v>
      </c>
      <c r="T78" s="22" t="s">
        <v>2381</v>
      </c>
      <c r="V78" s="210"/>
      <c r="W78" s="36" t="s">
        <v>2383</v>
      </c>
      <c r="X78" s="36" t="s">
        <v>2382</v>
      </c>
      <c r="Y78" s="23">
        <v>1</v>
      </c>
      <c r="AA78" s="23"/>
      <c r="AQ78" s="210"/>
      <c r="AR78" s="23">
        <v>76</v>
      </c>
      <c r="AS78" s="22" t="s">
        <v>2209</v>
      </c>
      <c r="AT78" s="22" t="s">
        <v>2366</v>
      </c>
      <c r="AU78" s="22" t="s">
        <v>2367</v>
      </c>
    </row>
    <row r="79" spans="1:47" s="22" customFormat="1">
      <c r="B79" s="22" t="s">
        <v>2624</v>
      </c>
      <c r="C79" s="22" t="s">
        <v>2625</v>
      </c>
      <c r="E79" s="210"/>
      <c r="F79" s="23">
        <v>1</v>
      </c>
      <c r="G79" s="23"/>
      <c r="H79" s="23"/>
      <c r="I79" s="23"/>
      <c r="J79" s="23"/>
      <c r="K79" s="23"/>
      <c r="L79" s="23"/>
      <c r="M79" s="210"/>
      <c r="N79" s="22" t="s">
        <v>276</v>
      </c>
      <c r="O79" s="22" t="s">
        <v>2826</v>
      </c>
      <c r="P79" s="22" t="s">
        <v>2759</v>
      </c>
      <c r="Q79" s="22" t="s">
        <v>2715</v>
      </c>
      <c r="R79" s="22" t="s">
        <v>446</v>
      </c>
      <c r="S79" s="37">
        <v>27302</v>
      </c>
      <c r="T79" s="22" t="s">
        <v>2490</v>
      </c>
      <c r="V79" s="210"/>
      <c r="W79" s="36" t="s">
        <v>2492</v>
      </c>
      <c r="X79" s="36" t="s">
        <v>2491</v>
      </c>
      <c r="Y79" s="23">
        <v>1</v>
      </c>
      <c r="AA79" s="23"/>
      <c r="AQ79" s="210"/>
      <c r="AR79" s="23">
        <v>63</v>
      </c>
      <c r="AS79" s="22" t="s">
        <v>2209</v>
      </c>
      <c r="AT79" s="22" t="s">
        <v>2366</v>
      </c>
      <c r="AU79" s="22" t="s">
        <v>2480</v>
      </c>
    </row>
    <row r="80" spans="1:47" s="22" customFormat="1">
      <c r="B80" s="22" t="s">
        <v>2633</v>
      </c>
      <c r="C80" s="22" t="s">
        <v>2253</v>
      </c>
      <c r="E80" s="210"/>
      <c r="F80" s="23"/>
      <c r="G80" s="23"/>
      <c r="H80" s="23"/>
      <c r="I80" s="23"/>
      <c r="J80" s="23">
        <v>1</v>
      </c>
      <c r="K80" s="23"/>
      <c r="L80" s="23"/>
      <c r="M80" s="210"/>
      <c r="N80" s="22" t="s">
        <v>276</v>
      </c>
      <c r="O80" s="22" t="s">
        <v>2864</v>
      </c>
      <c r="P80" s="22" t="s">
        <v>2766</v>
      </c>
      <c r="Q80" s="22" t="s">
        <v>2720</v>
      </c>
      <c r="R80" s="22" t="s">
        <v>519</v>
      </c>
      <c r="S80" s="37">
        <v>43050</v>
      </c>
      <c r="T80" s="22" t="s">
        <v>2517</v>
      </c>
      <c r="V80" s="210"/>
      <c r="W80" s="36" t="s">
        <v>2876</v>
      </c>
      <c r="X80" s="36" t="s">
        <v>2518</v>
      </c>
      <c r="Y80" s="23">
        <v>1</v>
      </c>
      <c r="AA80" s="23"/>
      <c r="AQ80" s="210"/>
      <c r="AR80" s="23">
        <v>63</v>
      </c>
      <c r="AS80" s="22" t="s">
        <v>2209</v>
      </c>
      <c r="AT80" s="22" t="s">
        <v>2508</v>
      </c>
      <c r="AU80" s="22" t="s">
        <v>2509</v>
      </c>
    </row>
    <row r="81" spans="1:47" s="22" customFormat="1">
      <c r="B81" s="22" t="s">
        <v>2599</v>
      </c>
      <c r="C81" s="22" t="s">
        <v>2600</v>
      </c>
      <c r="E81" s="210"/>
      <c r="F81" s="23">
        <v>1</v>
      </c>
      <c r="G81" s="23"/>
      <c r="H81" s="23"/>
      <c r="I81" s="23"/>
      <c r="J81" s="23"/>
      <c r="K81" s="23"/>
      <c r="L81" s="23"/>
      <c r="M81" s="210"/>
      <c r="N81" s="22" t="s">
        <v>276</v>
      </c>
      <c r="O81" s="22" t="s">
        <v>2846</v>
      </c>
      <c r="P81" s="22" t="s">
        <v>2743</v>
      </c>
      <c r="Q81" s="22" t="s">
        <v>2700</v>
      </c>
      <c r="R81" s="22" t="s">
        <v>56</v>
      </c>
      <c r="S81" s="37">
        <v>75083</v>
      </c>
      <c r="T81" s="22" t="s">
        <v>2437</v>
      </c>
      <c r="V81" s="210"/>
      <c r="W81" s="36" t="s">
        <v>2439</v>
      </c>
      <c r="X81" s="36" t="s">
        <v>2438</v>
      </c>
      <c r="Y81" s="23">
        <v>1</v>
      </c>
      <c r="AA81" s="23"/>
      <c r="AQ81" s="210"/>
      <c r="AR81" s="23">
        <v>66</v>
      </c>
      <c r="AS81" s="22" t="s">
        <v>2209</v>
      </c>
      <c r="AT81" s="22" t="s">
        <v>2379</v>
      </c>
      <c r="AU81" s="22" t="s">
        <v>2380</v>
      </c>
    </row>
    <row r="82" spans="1:47" s="22" customFormat="1">
      <c r="B82" s="22" t="s">
        <v>255</v>
      </c>
      <c r="C82" s="22" t="s">
        <v>2597</v>
      </c>
      <c r="E82" s="210"/>
      <c r="F82" s="23">
        <v>1</v>
      </c>
      <c r="G82" s="23"/>
      <c r="H82" s="23"/>
      <c r="I82" s="23"/>
      <c r="J82" s="23"/>
      <c r="K82" s="23"/>
      <c r="L82" s="23"/>
      <c r="M82" s="210"/>
      <c r="N82" s="22" t="s">
        <v>276</v>
      </c>
      <c r="O82" s="22" t="s">
        <v>2818</v>
      </c>
      <c r="P82" s="22" t="s">
        <v>2740</v>
      </c>
      <c r="Q82" s="22" t="s">
        <v>2673</v>
      </c>
      <c r="R82" s="22" t="s">
        <v>527</v>
      </c>
      <c r="S82" s="37">
        <v>74133</v>
      </c>
      <c r="T82" s="22" t="s">
        <v>2430</v>
      </c>
      <c r="V82" s="210"/>
      <c r="W82" s="36" t="s">
        <v>2877</v>
      </c>
      <c r="X82" s="36" t="s">
        <v>3146</v>
      </c>
      <c r="Y82" s="23">
        <v>1</v>
      </c>
      <c r="AA82" s="23"/>
      <c r="AQ82" s="210"/>
      <c r="AR82" s="23">
        <v>45</v>
      </c>
      <c r="AS82" s="22" t="s">
        <v>2209</v>
      </c>
      <c r="AT82" s="22" t="s">
        <v>2379</v>
      </c>
      <c r="AU82" s="22" t="s">
        <v>2380</v>
      </c>
    </row>
    <row r="83" spans="1:47" s="22" customFormat="1">
      <c r="B83" s="22" t="s">
        <v>3148</v>
      </c>
      <c r="C83" s="22" t="s">
        <v>2613</v>
      </c>
      <c r="E83" s="210"/>
      <c r="F83" s="23">
        <v>1</v>
      </c>
      <c r="G83" s="23"/>
      <c r="H83" s="23"/>
      <c r="I83" s="23"/>
      <c r="J83" s="23"/>
      <c r="K83" s="23"/>
      <c r="L83" s="23"/>
      <c r="M83" s="210"/>
      <c r="N83" s="22" t="s">
        <v>276</v>
      </c>
      <c r="O83" s="22" t="s">
        <v>2853</v>
      </c>
      <c r="P83" s="22" t="s">
        <v>2752</v>
      </c>
      <c r="Q83" s="22" t="s">
        <v>2709</v>
      </c>
      <c r="R83" s="22" t="s">
        <v>344</v>
      </c>
      <c r="S83" s="37">
        <v>46953</v>
      </c>
      <c r="T83" s="22" t="s">
        <v>2465</v>
      </c>
      <c r="V83" s="210"/>
      <c r="W83" s="36" t="s">
        <v>2466</v>
      </c>
      <c r="X83" s="36" t="s">
        <v>3147</v>
      </c>
      <c r="Y83" s="23">
        <v>1</v>
      </c>
      <c r="AA83" s="23"/>
      <c r="AQ83" s="210"/>
      <c r="AR83" s="23">
        <v>20</v>
      </c>
      <c r="AS83" s="22" t="s">
        <v>2209</v>
      </c>
      <c r="AT83" s="22" t="s">
        <v>2449</v>
      </c>
      <c r="AU83" s="22" t="s">
        <v>2450</v>
      </c>
    </row>
    <row r="84" spans="1:47" s="22" customFormat="1">
      <c r="B84" s="22" t="s">
        <v>1750</v>
      </c>
      <c r="C84" s="22" t="s">
        <v>2605</v>
      </c>
      <c r="E84" s="210"/>
      <c r="F84" s="23">
        <v>1</v>
      </c>
      <c r="G84" s="23"/>
      <c r="H84" s="23"/>
      <c r="I84" s="23"/>
      <c r="J84" s="23"/>
      <c r="K84" s="23"/>
      <c r="L84" s="23"/>
      <c r="M84" s="210"/>
      <c r="N84" s="22" t="s">
        <v>276</v>
      </c>
      <c r="O84" s="22" t="s">
        <v>2848</v>
      </c>
      <c r="P84" s="22" t="s">
        <v>2747</v>
      </c>
      <c r="Q84" s="22" t="s">
        <v>2703</v>
      </c>
      <c r="R84" s="22" t="s">
        <v>380</v>
      </c>
      <c r="S84" s="37">
        <v>49685</v>
      </c>
      <c r="T84" s="22" t="s">
        <v>2451</v>
      </c>
      <c r="V84" s="210"/>
      <c r="W84" s="36" t="s">
        <v>2453</v>
      </c>
      <c r="X84" s="22" t="s">
        <v>3149</v>
      </c>
      <c r="Y84" s="23">
        <v>1</v>
      </c>
      <c r="Z84" s="36" t="s">
        <v>2452</v>
      </c>
      <c r="AA84" s="23">
        <v>1</v>
      </c>
      <c r="AQ84" s="210"/>
      <c r="AR84" s="23">
        <v>27</v>
      </c>
      <c r="AS84" s="22" t="s">
        <v>2209</v>
      </c>
      <c r="AT84" s="22" t="s">
        <v>2449</v>
      </c>
      <c r="AU84" s="22" t="s">
        <v>2450</v>
      </c>
    </row>
    <row r="85" spans="1:47" s="22" customFormat="1">
      <c r="B85" s="22" t="s">
        <v>255</v>
      </c>
      <c r="C85" s="22" t="s">
        <v>2567</v>
      </c>
      <c r="E85" s="210"/>
      <c r="F85" s="23"/>
      <c r="G85" s="23"/>
      <c r="H85" s="23"/>
      <c r="I85" s="23"/>
      <c r="J85" s="23">
        <v>1</v>
      </c>
      <c r="K85" s="23"/>
      <c r="L85" s="23"/>
      <c r="M85" s="210"/>
      <c r="N85" s="22" t="s">
        <v>276</v>
      </c>
      <c r="O85" s="22" t="s">
        <v>2805</v>
      </c>
      <c r="P85" s="22" t="s">
        <v>2785</v>
      </c>
      <c r="Q85" s="22" t="s">
        <v>2684</v>
      </c>
      <c r="R85" s="22" t="s">
        <v>510</v>
      </c>
      <c r="S85" s="37">
        <v>99208</v>
      </c>
      <c r="T85" s="22" t="s">
        <v>2353</v>
      </c>
      <c r="V85" s="210"/>
      <c r="W85" s="36" t="s">
        <v>2354</v>
      </c>
      <c r="X85" s="89" t="s">
        <v>3150</v>
      </c>
      <c r="Y85" s="23">
        <v>1</v>
      </c>
      <c r="AA85" s="23"/>
      <c r="AQ85" s="210"/>
      <c r="AR85" s="23">
        <v>71</v>
      </c>
      <c r="AS85" s="22" t="s">
        <v>2209</v>
      </c>
      <c r="AT85" s="22" t="s">
        <v>2332</v>
      </c>
      <c r="AU85" s="22" t="s">
        <v>2333</v>
      </c>
    </row>
    <row r="86" spans="1:47" s="22" customFormat="1">
      <c r="A86" s="22">
        <v>1</v>
      </c>
      <c r="B86" s="200" t="s">
        <v>255</v>
      </c>
      <c r="C86" s="22" t="s">
        <v>2614</v>
      </c>
      <c r="E86" s="210"/>
      <c r="F86" s="23">
        <v>1</v>
      </c>
      <c r="G86" s="23"/>
      <c r="H86" s="23"/>
      <c r="I86" s="23"/>
      <c r="J86" s="23"/>
      <c r="K86" s="23"/>
      <c r="L86" s="23"/>
      <c r="M86" s="210"/>
      <c r="N86" s="22" t="s">
        <v>276</v>
      </c>
      <c r="O86" s="22" t="s">
        <v>2854</v>
      </c>
      <c r="P86" s="22" t="s">
        <v>2753</v>
      </c>
      <c r="Q86" s="22" t="s">
        <v>2710</v>
      </c>
      <c r="R86" s="22" t="s">
        <v>344</v>
      </c>
      <c r="S86" s="37">
        <v>46385</v>
      </c>
      <c r="T86" s="22" t="s">
        <v>2467</v>
      </c>
      <c r="V86" s="210"/>
      <c r="W86" s="36" t="s">
        <v>2469</v>
      </c>
      <c r="X86" s="36" t="s">
        <v>2468</v>
      </c>
      <c r="Y86" s="23">
        <v>1</v>
      </c>
      <c r="AA86" s="23"/>
      <c r="AQ86" s="210"/>
      <c r="AR86" s="23">
        <v>39</v>
      </c>
      <c r="AS86" s="22" t="s">
        <v>2209</v>
      </c>
      <c r="AT86" s="22" t="s">
        <v>2449</v>
      </c>
      <c r="AU86" s="22" t="s">
        <v>2450</v>
      </c>
    </row>
    <row r="87" spans="1:47" s="22" customFormat="1">
      <c r="B87" s="22" t="s">
        <v>2608</v>
      </c>
      <c r="C87" s="22" t="s">
        <v>2609</v>
      </c>
      <c r="E87" s="210"/>
      <c r="F87" s="23">
        <v>1</v>
      </c>
      <c r="G87" s="23"/>
      <c r="H87" s="23"/>
      <c r="I87" s="23"/>
      <c r="J87" s="23"/>
      <c r="K87" s="23"/>
      <c r="L87" s="23"/>
      <c r="M87" s="210"/>
      <c r="N87" s="22" t="s">
        <v>276</v>
      </c>
      <c r="O87" s="22" t="s">
        <v>2850</v>
      </c>
      <c r="P87" s="22" t="s">
        <v>2749</v>
      </c>
      <c r="Q87" s="22" t="s">
        <v>2706</v>
      </c>
      <c r="R87" s="22" t="s">
        <v>333</v>
      </c>
      <c r="S87" s="37">
        <v>61554</v>
      </c>
      <c r="T87" s="22" t="s">
        <v>2458</v>
      </c>
      <c r="V87" s="210"/>
      <c r="W87" s="36" t="s">
        <v>2460</v>
      </c>
      <c r="X87" s="36" t="s">
        <v>2459</v>
      </c>
      <c r="Y87" s="23">
        <v>1</v>
      </c>
      <c r="Z87" s="89" t="s">
        <v>3151</v>
      </c>
      <c r="AA87" s="23">
        <v>1</v>
      </c>
      <c r="AQ87" s="210"/>
      <c r="AR87" s="23">
        <v>48</v>
      </c>
      <c r="AS87" s="22" t="s">
        <v>2209</v>
      </c>
      <c r="AT87" s="22" t="s">
        <v>2449</v>
      </c>
      <c r="AU87" s="22" t="s">
        <v>2450</v>
      </c>
    </row>
    <row r="88" spans="1:47" s="22" customFormat="1">
      <c r="B88" s="22" t="s">
        <v>3153</v>
      </c>
      <c r="C88" s="22" t="s">
        <v>2630</v>
      </c>
      <c r="E88" s="210"/>
      <c r="F88" s="23">
        <v>1</v>
      </c>
      <c r="G88" s="23"/>
      <c r="H88" s="23"/>
      <c r="I88" s="23"/>
      <c r="J88" s="23"/>
      <c r="K88" s="23"/>
      <c r="L88" s="23"/>
      <c r="M88" s="210"/>
      <c r="N88" s="22" t="s">
        <v>276</v>
      </c>
      <c r="O88" s="22" t="s">
        <v>2861</v>
      </c>
      <c r="P88" s="22" t="s">
        <v>2763</v>
      </c>
      <c r="Q88" s="22" t="s">
        <v>2718</v>
      </c>
      <c r="R88" s="22" t="s">
        <v>519</v>
      </c>
      <c r="S88" s="37">
        <v>45885</v>
      </c>
      <c r="T88" s="22" t="s">
        <v>2505</v>
      </c>
      <c r="V88" s="210"/>
      <c r="W88" s="36" t="s">
        <v>2507</v>
      </c>
      <c r="X88" s="22" t="s">
        <v>3152</v>
      </c>
      <c r="Y88" s="23">
        <v>1</v>
      </c>
      <c r="Z88" s="36" t="s">
        <v>2506</v>
      </c>
      <c r="AA88" s="23">
        <v>1</v>
      </c>
      <c r="AQ88" s="210"/>
      <c r="AR88" s="23">
        <v>56</v>
      </c>
      <c r="AS88" s="22" t="s">
        <v>2209</v>
      </c>
      <c r="AT88" s="22" t="s">
        <v>2508</v>
      </c>
      <c r="AU88" s="22" t="s">
        <v>2509</v>
      </c>
    </row>
    <row r="89" spans="1:47" s="22" customFormat="1">
      <c r="B89" s="22" t="s">
        <v>284</v>
      </c>
      <c r="C89" s="22" t="s">
        <v>2595</v>
      </c>
      <c r="E89" s="210"/>
      <c r="F89" s="23">
        <v>1</v>
      </c>
      <c r="G89" s="23"/>
      <c r="H89" s="23"/>
      <c r="I89" s="23"/>
      <c r="J89" s="23"/>
      <c r="K89" s="23"/>
      <c r="L89" s="23"/>
      <c r="M89" s="210"/>
      <c r="N89" s="22" t="s">
        <v>276</v>
      </c>
      <c r="O89" s="22" t="s">
        <v>2816</v>
      </c>
      <c r="P89" s="22" t="s">
        <v>2738</v>
      </c>
      <c r="Q89" s="22" t="s">
        <v>2698</v>
      </c>
      <c r="R89" s="22" t="s">
        <v>527</v>
      </c>
      <c r="S89" s="37">
        <v>73008</v>
      </c>
      <c r="T89" s="22" t="s">
        <v>2424</v>
      </c>
      <c r="V89" s="210"/>
      <c r="W89" s="36" t="s">
        <v>2426</v>
      </c>
      <c r="X89" s="36" t="s">
        <v>2425</v>
      </c>
      <c r="Y89" s="23">
        <v>1</v>
      </c>
      <c r="AA89" s="23"/>
      <c r="AQ89" s="210"/>
      <c r="AR89" s="23"/>
      <c r="AS89" s="22" t="s">
        <v>2209</v>
      </c>
      <c r="AT89" s="22" t="s">
        <v>2379</v>
      </c>
      <c r="AU89" s="22" t="s">
        <v>2380</v>
      </c>
    </row>
    <row r="90" spans="1:47" s="22" customFormat="1">
      <c r="B90" s="22" t="s">
        <v>2565</v>
      </c>
      <c r="C90" s="22" t="s">
        <v>2566</v>
      </c>
      <c r="E90" s="210"/>
      <c r="F90" s="23">
        <v>1</v>
      </c>
      <c r="G90" s="23"/>
      <c r="H90" s="23"/>
      <c r="I90" s="23"/>
      <c r="J90" s="23"/>
      <c r="K90" s="23"/>
      <c r="L90" s="23"/>
      <c r="M90" s="210"/>
      <c r="N90" s="22" t="s">
        <v>276</v>
      </c>
      <c r="O90" s="22" t="s">
        <v>2804</v>
      </c>
      <c r="P90" s="22" t="s">
        <v>2784</v>
      </c>
      <c r="Q90" s="22" t="s">
        <v>2683</v>
      </c>
      <c r="R90" s="22" t="s">
        <v>51</v>
      </c>
      <c r="S90" s="37">
        <v>97301</v>
      </c>
      <c r="T90" s="22" t="s">
        <v>2350</v>
      </c>
      <c r="V90" s="210"/>
      <c r="W90" s="36" t="s">
        <v>2352</v>
      </c>
      <c r="X90" s="36" t="s">
        <v>2351</v>
      </c>
      <c r="Y90" s="23">
        <v>1</v>
      </c>
      <c r="AA90" s="23"/>
      <c r="AQ90" s="210"/>
      <c r="AR90" s="23">
        <v>92</v>
      </c>
      <c r="AS90" s="22" t="s">
        <v>2209</v>
      </c>
      <c r="AT90" s="22" t="s">
        <v>2332</v>
      </c>
      <c r="AU90" s="22" t="s">
        <v>2333</v>
      </c>
    </row>
    <row r="91" spans="1:47" s="22" customFormat="1">
      <c r="B91" s="22" t="s">
        <v>2249</v>
      </c>
      <c r="C91" s="22" t="s">
        <v>2640</v>
      </c>
      <c r="E91" s="210"/>
      <c r="F91" s="23"/>
      <c r="G91" s="23"/>
      <c r="H91" s="23"/>
      <c r="I91" s="23"/>
      <c r="J91" s="23">
        <v>1</v>
      </c>
      <c r="K91" s="23"/>
      <c r="L91" s="23"/>
      <c r="M91" s="210"/>
      <c r="N91" s="22" t="s">
        <v>276</v>
      </c>
      <c r="O91" s="22" t="s">
        <v>2869</v>
      </c>
      <c r="P91" s="22" t="s">
        <v>2774</v>
      </c>
      <c r="Q91" s="22" t="s">
        <v>2726</v>
      </c>
      <c r="R91" s="22" t="s">
        <v>543</v>
      </c>
      <c r="S91" s="37">
        <v>19468</v>
      </c>
      <c r="T91" s="22" t="s">
        <v>2541</v>
      </c>
      <c r="V91" s="210"/>
      <c r="W91" s="36" t="s">
        <v>2543</v>
      </c>
      <c r="X91" s="36" t="s">
        <v>2542</v>
      </c>
      <c r="Y91" s="23">
        <v>1</v>
      </c>
      <c r="AA91" s="23"/>
      <c r="AQ91" s="210"/>
      <c r="AR91" s="23"/>
      <c r="AS91" s="22" t="s">
        <v>2209</v>
      </c>
      <c r="AT91" s="22" t="s">
        <v>2533</v>
      </c>
      <c r="AU91" s="22" t="s">
        <v>2534</v>
      </c>
    </row>
    <row r="92" spans="1:47" s="22" customFormat="1">
      <c r="B92" s="22" t="s">
        <v>1750</v>
      </c>
      <c r="C92" s="22" t="s">
        <v>2638</v>
      </c>
      <c r="E92" s="210"/>
      <c r="F92" s="23">
        <v>1</v>
      </c>
      <c r="G92" s="23"/>
      <c r="H92" s="23"/>
      <c r="I92" s="23"/>
      <c r="J92" s="23"/>
      <c r="K92" s="23"/>
      <c r="L92" s="23"/>
      <c r="M92" s="210"/>
      <c r="N92" s="22" t="s">
        <v>276</v>
      </c>
      <c r="O92" s="22" t="s">
        <v>2868</v>
      </c>
      <c r="P92" s="22" t="s">
        <v>2772</v>
      </c>
      <c r="Q92" s="22" t="s">
        <v>2725</v>
      </c>
      <c r="R92" s="22" t="s">
        <v>543</v>
      </c>
      <c r="S92" s="37">
        <v>16001</v>
      </c>
      <c r="T92" s="22" t="s">
        <v>2535</v>
      </c>
      <c r="V92" s="210"/>
      <c r="W92" s="36" t="s">
        <v>2537</v>
      </c>
      <c r="X92" s="36" t="s">
        <v>2536</v>
      </c>
      <c r="Y92" s="23">
        <v>1</v>
      </c>
      <c r="AA92" s="23"/>
      <c r="AQ92" s="210"/>
      <c r="AR92" s="23">
        <v>65</v>
      </c>
      <c r="AS92" s="22" t="s">
        <v>2209</v>
      </c>
      <c r="AT92" s="22" t="s">
        <v>2533</v>
      </c>
      <c r="AU92" s="22" t="s">
        <v>2534</v>
      </c>
    </row>
    <row r="93" spans="1:47" s="22" customFormat="1">
      <c r="B93" s="22" t="s">
        <v>3155</v>
      </c>
      <c r="C93" s="22" t="s">
        <v>2587</v>
      </c>
      <c r="E93" s="210"/>
      <c r="F93" s="23">
        <v>1</v>
      </c>
      <c r="G93" s="23"/>
      <c r="H93" s="23"/>
      <c r="I93" s="23"/>
      <c r="J93" s="23"/>
      <c r="K93" s="23"/>
      <c r="L93" s="23"/>
      <c r="M93" s="210"/>
      <c r="N93" s="22" t="s">
        <v>276</v>
      </c>
      <c r="O93" s="22" t="s">
        <v>2845</v>
      </c>
      <c r="P93" s="22" t="s">
        <v>2732</v>
      </c>
      <c r="Q93" s="22" t="s">
        <v>2692</v>
      </c>
      <c r="R93" s="22" t="s">
        <v>389</v>
      </c>
      <c r="S93" s="37">
        <v>56538</v>
      </c>
      <c r="T93" s="22" t="s">
        <v>2398</v>
      </c>
      <c r="V93" s="210"/>
      <c r="W93" s="36" t="s">
        <v>2399</v>
      </c>
      <c r="X93" s="89" t="s">
        <v>3154</v>
      </c>
      <c r="Y93" s="23">
        <v>1</v>
      </c>
      <c r="AA93" s="23"/>
      <c r="AQ93" s="210"/>
      <c r="AR93" s="23">
        <v>78</v>
      </c>
      <c r="AS93" s="22" t="s">
        <v>2209</v>
      </c>
      <c r="AT93" s="22" t="s">
        <v>2400</v>
      </c>
      <c r="AU93" s="22" t="s">
        <v>2401</v>
      </c>
    </row>
    <row r="94" spans="1:47" s="22" customFormat="1">
      <c r="B94" s="22" t="s">
        <v>394</v>
      </c>
      <c r="C94" s="22" t="s">
        <v>2568</v>
      </c>
      <c r="E94" s="210"/>
      <c r="F94" s="23">
        <v>1</v>
      </c>
      <c r="G94" s="23"/>
      <c r="H94" s="23"/>
      <c r="I94" s="23"/>
      <c r="J94" s="23"/>
      <c r="K94" s="23"/>
      <c r="L94" s="23"/>
      <c r="M94" s="210"/>
      <c r="N94" s="22" t="s">
        <v>276</v>
      </c>
      <c r="O94" s="22" t="s">
        <v>2203</v>
      </c>
      <c r="P94" s="22" t="s">
        <v>2649</v>
      </c>
      <c r="Q94" s="22" t="s">
        <v>61</v>
      </c>
      <c r="R94" s="22" t="s">
        <v>62</v>
      </c>
      <c r="S94" s="37">
        <v>59108</v>
      </c>
      <c r="T94" s="22" t="s">
        <v>2355</v>
      </c>
      <c r="V94" s="210"/>
      <c r="W94" s="36" t="s">
        <v>2357</v>
      </c>
      <c r="X94" s="36" t="s">
        <v>2356</v>
      </c>
      <c r="Y94" s="23">
        <v>1</v>
      </c>
      <c r="AA94" s="23"/>
      <c r="AQ94" s="210"/>
      <c r="AR94" s="23">
        <v>35</v>
      </c>
      <c r="AS94" s="22" t="s">
        <v>2209</v>
      </c>
      <c r="AT94" s="22" t="s">
        <v>2332</v>
      </c>
      <c r="AU94" s="22" t="s">
        <v>2333</v>
      </c>
    </row>
    <row r="95" spans="1:47" s="22" customFormat="1">
      <c r="B95" s="22" t="s">
        <v>3155</v>
      </c>
      <c r="C95" s="22" t="s">
        <v>366</v>
      </c>
      <c r="E95" s="210"/>
      <c r="F95" s="23">
        <v>1</v>
      </c>
      <c r="G95" s="23"/>
      <c r="H95" s="23"/>
      <c r="I95" s="23"/>
      <c r="J95" s="23"/>
      <c r="K95" s="23"/>
      <c r="L95" s="23"/>
      <c r="M95" s="210"/>
      <c r="N95" s="22" t="s">
        <v>276</v>
      </c>
      <c r="O95" s="22" t="s">
        <v>2839</v>
      </c>
      <c r="P95" s="22" t="s">
        <v>2793</v>
      </c>
      <c r="Q95" s="22" t="s">
        <v>2668</v>
      </c>
      <c r="R95" s="22" t="s">
        <v>300</v>
      </c>
      <c r="S95" s="37">
        <v>95650</v>
      </c>
      <c r="T95" s="22" t="s">
        <v>2384</v>
      </c>
      <c r="V95" s="210"/>
      <c r="W95" s="36" t="s">
        <v>2385</v>
      </c>
      <c r="X95" s="89" t="s">
        <v>3156</v>
      </c>
      <c r="Y95" s="23">
        <v>1</v>
      </c>
      <c r="AA95" s="23"/>
      <c r="AQ95" s="210"/>
      <c r="AR95" s="23">
        <v>51</v>
      </c>
      <c r="AS95" s="22" t="s">
        <v>2209</v>
      </c>
      <c r="AT95" s="22" t="s">
        <v>2366</v>
      </c>
      <c r="AU95" s="22" t="s">
        <v>2367</v>
      </c>
    </row>
    <row r="96" spans="1:47" s="22" customFormat="1">
      <c r="B96" s="22" t="s">
        <v>384</v>
      </c>
      <c r="C96" s="22" t="s">
        <v>2023</v>
      </c>
      <c r="E96" s="210"/>
      <c r="F96" s="23">
        <v>1</v>
      </c>
      <c r="G96" s="23"/>
      <c r="H96" s="23"/>
      <c r="I96" s="23"/>
      <c r="J96" s="23"/>
      <c r="K96" s="23"/>
      <c r="L96" s="23"/>
      <c r="M96" s="210"/>
      <c r="N96" s="22" t="s">
        <v>276</v>
      </c>
      <c r="O96" s="22" t="s">
        <v>2820</v>
      </c>
      <c r="P96" s="22" t="s">
        <v>2742</v>
      </c>
      <c r="Q96" s="22" t="s">
        <v>279</v>
      </c>
      <c r="R96" s="22" t="s">
        <v>280</v>
      </c>
      <c r="S96" s="37">
        <v>72215</v>
      </c>
      <c r="T96" s="22" t="s">
        <v>2434</v>
      </c>
      <c r="V96" s="210"/>
      <c r="W96" s="36" t="s">
        <v>2436</v>
      </c>
      <c r="X96" s="36" t="s">
        <v>2435</v>
      </c>
      <c r="Y96" s="23">
        <v>1</v>
      </c>
      <c r="AA96" s="23"/>
      <c r="AQ96" s="210"/>
      <c r="AR96" s="23">
        <v>47</v>
      </c>
      <c r="AS96" s="22" t="s">
        <v>2209</v>
      </c>
      <c r="AT96" s="22" t="s">
        <v>2379</v>
      </c>
      <c r="AU96" s="22" t="s">
        <v>2380</v>
      </c>
    </row>
    <row r="97" spans="1:47" s="22" customFormat="1">
      <c r="B97" s="22" t="s">
        <v>2270</v>
      </c>
      <c r="C97" s="22" t="s">
        <v>2626</v>
      </c>
      <c r="E97" s="210"/>
      <c r="F97" s="23">
        <v>1</v>
      </c>
      <c r="G97" s="23"/>
      <c r="H97" s="23"/>
      <c r="I97" s="23"/>
      <c r="J97" s="23"/>
      <c r="K97" s="23"/>
      <c r="L97" s="23"/>
      <c r="M97" s="210"/>
      <c r="N97" s="22" t="s">
        <v>276</v>
      </c>
      <c r="O97" s="22" t="s">
        <v>2827</v>
      </c>
      <c r="P97" s="22" t="s">
        <v>2760</v>
      </c>
      <c r="Q97" s="22" t="s">
        <v>585</v>
      </c>
      <c r="R97" s="22" t="s">
        <v>586</v>
      </c>
      <c r="S97" s="37">
        <v>29169</v>
      </c>
      <c r="T97" s="22" t="s">
        <v>2493</v>
      </c>
      <c r="V97" s="210"/>
      <c r="W97" s="36" t="s">
        <v>2495</v>
      </c>
      <c r="X97" s="36" t="s">
        <v>2494</v>
      </c>
      <c r="Y97" s="23">
        <v>1</v>
      </c>
      <c r="AA97" s="23"/>
      <c r="AQ97" s="210"/>
      <c r="AR97" s="23">
        <v>70</v>
      </c>
      <c r="AS97" s="22" t="s">
        <v>2209</v>
      </c>
      <c r="AT97" s="22" t="s">
        <v>2479</v>
      </c>
      <c r="AU97" s="22" t="s">
        <v>2480</v>
      </c>
    </row>
    <row r="98" spans="1:47" s="22" customFormat="1">
      <c r="A98" s="22">
        <v>1</v>
      </c>
      <c r="B98" s="200" t="s">
        <v>2270</v>
      </c>
      <c r="C98" s="22" t="s">
        <v>1008</v>
      </c>
      <c r="E98" s="210"/>
      <c r="F98" s="23">
        <v>1</v>
      </c>
      <c r="G98" s="23"/>
      <c r="H98" s="23"/>
      <c r="I98" s="23"/>
      <c r="J98" s="23"/>
      <c r="K98" s="23"/>
      <c r="L98" s="23"/>
      <c r="M98" s="210"/>
      <c r="N98" s="22" t="s">
        <v>276</v>
      </c>
      <c r="O98" s="22" t="s">
        <v>2865</v>
      </c>
      <c r="P98" s="22" t="s">
        <v>2767</v>
      </c>
      <c r="Q98" s="22" t="s">
        <v>2721</v>
      </c>
      <c r="R98" s="22" t="s">
        <v>519</v>
      </c>
      <c r="S98" s="37">
        <v>43123</v>
      </c>
      <c r="T98" s="22" t="s">
        <v>2519</v>
      </c>
      <c r="V98" s="210"/>
      <c r="W98" s="36" t="s">
        <v>2521</v>
      </c>
      <c r="X98" s="36" t="s">
        <v>2520</v>
      </c>
      <c r="Y98" s="23">
        <v>1</v>
      </c>
      <c r="AA98" s="23"/>
      <c r="AQ98" s="210"/>
      <c r="AR98" s="23">
        <v>8</v>
      </c>
      <c r="AS98" s="22" t="s">
        <v>2209</v>
      </c>
      <c r="AT98" s="22" t="s">
        <v>2508</v>
      </c>
      <c r="AU98" s="22" t="s">
        <v>2509</v>
      </c>
    </row>
    <row r="99" spans="1:47" s="22" customFormat="1">
      <c r="B99" s="22" t="s">
        <v>2601</v>
      </c>
      <c r="C99" s="22" t="s">
        <v>1291</v>
      </c>
      <c r="E99" s="210"/>
      <c r="F99" s="23">
        <v>1</v>
      </c>
      <c r="G99" s="23"/>
      <c r="H99" s="23"/>
      <c r="I99" s="23"/>
      <c r="J99" s="23"/>
      <c r="K99" s="23"/>
      <c r="L99" s="23"/>
      <c r="M99" s="210"/>
      <c r="N99" s="22" t="s">
        <v>276</v>
      </c>
      <c r="O99" s="22" t="s">
        <v>2821</v>
      </c>
      <c r="P99" s="22" t="s">
        <v>2744</v>
      </c>
      <c r="Q99" s="22" t="s">
        <v>2701</v>
      </c>
      <c r="R99" s="22" t="s">
        <v>56</v>
      </c>
      <c r="S99" s="37">
        <v>77410</v>
      </c>
      <c r="T99" s="22" t="s">
        <v>2440</v>
      </c>
      <c r="V99" s="210"/>
      <c r="W99" s="36" t="s">
        <v>2442</v>
      </c>
      <c r="X99" s="36" t="s">
        <v>2441</v>
      </c>
      <c r="Y99" s="23">
        <v>1</v>
      </c>
      <c r="AA99" s="23"/>
      <c r="AQ99" s="210"/>
      <c r="AR99" s="23">
        <v>98</v>
      </c>
      <c r="AS99" s="22" t="s">
        <v>2209</v>
      </c>
      <c r="AT99" s="22" t="s">
        <v>2379</v>
      </c>
      <c r="AU99" s="22" t="s">
        <v>2380</v>
      </c>
    </row>
    <row r="100" spans="1:47" s="22" customFormat="1">
      <c r="B100" s="22" t="s">
        <v>667</v>
      </c>
      <c r="C100" s="22" t="s">
        <v>2583</v>
      </c>
      <c r="E100" s="210"/>
      <c r="F100" s="23">
        <v>1</v>
      </c>
      <c r="G100" s="23"/>
      <c r="H100" s="23"/>
      <c r="I100" s="23"/>
      <c r="J100" s="23"/>
      <c r="K100" s="23"/>
      <c r="L100" s="23"/>
      <c r="M100" s="210"/>
      <c r="N100" s="22" t="s">
        <v>276</v>
      </c>
      <c r="O100" s="22" t="s">
        <v>2842</v>
      </c>
      <c r="P100" s="22" t="s">
        <v>2730</v>
      </c>
      <c r="Q100" s="22" t="s">
        <v>2690</v>
      </c>
      <c r="R100" s="22" t="s">
        <v>300</v>
      </c>
      <c r="S100" s="37">
        <v>92590</v>
      </c>
      <c r="T100" s="22" t="s">
        <v>2390</v>
      </c>
      <c r="V100" s="210"/>
      <c r="W100" s="36" t="s">
        <v>2392</v>
      </c>
      <c r="X100" s="89" t="s">
        <v>3157</v>
      </c>
      <c r="Y100" s="23">
        <v>1</v>
      </c>
      <c r="Z100" s="36" t="s">
        <v>2391</v>
      </c>
      <c r="AA100" s="23">
        <v>1</v>
      </c>
      <c r="AQ100" s="210"/>
      <c r="AR100" s="23">
        <v>63</v>
      </c>
      <c r="AS100" s="22" t="s">
        <v>2209</v>
      </c>
      <c r="AT100" s="22" t="s">
        <v>2366</v>
      </c>
      <c r="AU100" s="22" t="s">
        <v>2367</v>
      </c>
    </row>
    <row r="101" spans="1:47" s="22" customFormat="1">
      <c r="B101" s="22" t="s">
        <v>1330</v>
      </c>
      <c r="C101" s="22" t="s">
        <v>532</v>
      </c>
      <c r="E101" s="210"/>
      <c r="F101" s="23">
        <v>1</v>
      </c>
      <c r="G101" s="23"/>
      <c r="H101" s="23"/>
      <c r="I101" s="23"/>
      <c r="J101" s="23"/>
      <c r="K101" s="23"/>
      <c r="L101" s="23"/>
      <c r="M101" s="210"/>
      <c r="N101" s="22" t="s">
        <v>276</v>
      </c>
      <c r="O101" s="22" t="s">
        <v>2860</v>
      </c>
      <c r="P101" s="22" t="s">
        <v>2762</v>
      </c>
      <c r="Q101" s="22" t="s">
        <v>2717</v>
      </c>
      <c r="R101" s="22" t="s">
        <v>551</v>
      </c>
      <c r="S101" s="37">
        <v>33813</v>
      </c>
      <c r="T101" s="22" t="s">
        <v>2502</v>
      </c>
      <c r="V101" s="210"/>
      <c r="W101" s="36" t="s">
        <v>2504</v>
      </c>
      <c r="X101" s="36" t="s">
        <v>2503</v>
      </c>
      <c r="Y101" s="23">
        <v>1</v>
      </c>
      <c r="AA101" s="23"/>
      <c r="AQ101" s="210"/>
      <c r="AR101" s="23"/>
      <c r="AS101" s="22" t="s">
        <v>2209</v>
      </c>
      <c r="AT101" s="22" t="s">
        <v>2479</v>
      </c>
      <c r="AU101" s="22" t="s">
        <v>2480</v>
      </c>
    </row>
    <row r="102" spans="1:47" s="22" customFormat="1">
      <c r="B102" s="22" t="s">
        <v>3148</v>
      </c>
      <c r="C102" s="22" t="s">
        <v>2617</v>
      </c>
      <c r="E102" s="210"/>
      <c r="F102" s="23">
        <v>1</v>
      </c>
      <c r="G102" s="23"/>
      <c r="H102" s="23"/>
      <c r="I102" s="23"/>
      <c r="J102" s="23"/>
      <c r="K102" s="23"/>
      <c r="L102" s="23"/>
      <c r="M102" s="210"/>
      <c r="N102" s="22" t="s">
        <v>276</v>
      </c>
      <c r="O102" s="22" t="s">
        <v>2856</v>
      </c>
      <c r="P102" s="22" t="s">
        <v>2651</v>
      </c>
      <c r="Q102" s="22" t="s">
        <v>2652</v>
      </c>
      <c r="R102" s="22" t="s">
        <v>344</v>
      </c>
      <c r="S102" s="37">
        <v>47421</v>
      </c>
      <c r="T102" s="22" t="s">
        <v>2473</v>
      </c>
      <c r="U102" s="12" t="s">
        <v>3158</v>
      </c>
      <c r="V102" s="210"/>
      <c r="W102" s="36" t="s">
        <v>2475</v>
      </c>
      <c r="X102" s="36" t="s">
        <v>2474</v>
      </c>
      <c r="Y102" s="23">
        <v>1</v>
      </c>
      <c r="AA102" s="23"/>
      <c r="AQ102" s="210"/>
      <c r="AR102" s="23"/>
      <c r="AS102" s="22" t="s">
        <v>2209</v>
      </c>
      <c r="AT102" s="22" t="s">
        <v>2449</v>
      </c>
      <c r="AU102" s="22" t="s">
        <v>2450</v>
      </c>
    </row>
    <row r="103" spans="1:47" s="22" customFormat="1">
      <c r="B103" s="22" t="s">
        <v>2575</v>
      </c>
      <c r="C103" s="22" t="s">
        <v>2576</v>
      </c>
      <c r="E103" s="210"/>
      <c r="F103" s="23"/>
      <c r="G103" s="23"/>
      <c r="H103" s="23"/>
      <c r="I103" s="23"/>
      <c r="J103" s="23">
        <v>1</v>
      </c>
      <c r="K103" s="23"/>
      <c r="L103" s="23"/>
      <c r="M103" s="210"/>
      <c r="N103" s="22" t="s">
        <v>276</v>
      </c>
      <c r="O103" s="22" t="s">
        <v>2836</v>
      </c>
      <c r="P103" s="22" t="s">
        <v>2790</v>
      </c>
      <c r="Q103" s="22" t="s">
        <v>2688</v>
      </c>
      <c r="R103" s="22" t="s">
        <v>430</v>
      </c>
      <c r="S103" s="37">
        <v>88001</v>
      </c>
      <c r="T103" s="22" t="s">
        <v>2373</v>
      </c>
      <c r="V103" s="210"/>
      <c r="W103" s="36" t="s">
        <v>2375</v>
      </c>
      <c r="X103" s="36" t="s">
        <v>2374</v>
      </c>
      <c r="Y103" s="23">
        <v>1</v>
      </c>
      <c r="AA103" s="23"/>
      <c r="AQ103" s="210"/>
      <c r="AR103" s="23"/>
      <c r="AS103" s="22" t="s">
        <v>2209</v>
      </c>
      <c r="AT103" s="22" t="s">
        <v>2366</v>
      </c>
      <c r="AU103" s="22" t="s">
        <v>2367</v>
      </c>
    </row>
    <row r="104" spans="1:47" s="22" customFormat="1">
      <c r="B104" s="12" t="s">
        <v>424</v>
      </c>
      <c r="C104" s="22" t="s">
        <v>3159</v>
      </c>
      <c r="E104" s="210"/>
      <c r="F104" s="23"/>
      <c r="G104" s="23"/>
      <c r="H104" s="23"/>
      <c r="I104" s="23"/>
      <c r="J104" s="23"/>
      <c r="K104" s="23">
        <v>1</v>
      </c>
      <c r="L104" s="23"/>
      <c r="M104" s="210"/>
      <c r="N104" s="22" t="s">
        <v>276</v>
      </c>
      <c r="O104" s="22" t="s">
        <v>2834</v>
      </c>
      <c r="P104" s="22" t="s">
        <v>2788</v>
      </c>
      <c r="Q104" s="22" t="s">
        <v>2686</v>
      </c>
      <c r="R104" s="22" t="s">
        <v>269</v>
      </c>
      <c r="S104" s="37">
        <v>86047</v>
      </c>
      <c r="T104" s="22" t="s">
        <v>2368</v>
      </c>
      <c r="V104" s="210"/>
      <c r="W104" s="36" t="s">
        <v>2370</v>
      </c>
      <c r="X104" s="36" t="s">
        <v>2369</v>
      </c>
      <c r="Y104" s="23">
        <v>1</v>
      </c>
      <c r="AA104" s="23"/>
      <c r="AQ104" s="210"/>
      <c r="AR104" s="23"/>
      <c r="AS104" s="22" t="s">
        <v>2209</v>
      </c>
      <c r="AT104" s="22" t="s">
        <v>2366</v>
      </c>
      <c r="AU104" s="22" t="s">
        <v>2367</v>
      </c>
    </row>
    <row r="105" spans="1:47" s="22" customFormat="1">
      <c r="B105" s="22" t="s">
        <v>384</v>
      </c>
      <c r="C105" s="22" t="s">
        <v>2596</v>
      </c>
      <c r="E105" s="210"/>
      <c r="F105" s="23">
        <v>1</v>
      </c>
      <c r="G105" s="23"/>
      <c r="H105" s="23"/>
      <c r="I105" s="23"/>
      <c r="J105" s="23"/>
      <c r="K105" s="23"/>
      <c r="L105" s="23"/>
      <c r="M105" s="210"/>
      <c r="N105" s="22" t="s">
        <v>276</v>
      </c>
      <c r="O105" s="22" t="s">
        <v>2817</v>
      </c>
      <c r="P105" s="22" t="s">
        <v>2739</v>
      </c>
      <c r="Q105" s="22" t="s">
        <v>2699</v>
      </c>
      <c r="R105" s="22" t="s">
        <v>527</v>
      </c>
      <c r="S105" s="37">
        <v>73064</v>
      </c>
      <c r="T105" s="22" t="s">
        <v>2427</v>
      </c>
      <c r="V105" s="210"/>
      <c r="W105" s="36" t="s">
        <v>2429</v>
      </c>
      <c r="X105" s="36" t="s">
        <v>2428</v>
      </c>
      <c r="Y105" s="23">
        <v>1</v>
      </c>
      <c r="AA105" s="23"/>
      <c r="AQ105" s="210"/>
      <c r="AR105" s="23">
        <v>25</v>
      </c>
      <c r="AS105" s="22" t="s">
        <v>2209</v>
      </c>
      <c r="AT105" s="22" t="s">
        <v>2379</v>
      </c>
      <c r="AU105" s="22" t="s">
        <v>2380</v>
      </c>
    </row>
    <row r="106" spans="1:47" s="22" customFormat="1">
      <c r="B106" s="22" t="s">
        <v>394</v>
      </c>
      <c r="C106" s="22" t="s">
        <v>2631</v>
      </c>
      <c r="E106" s="210"/>
      <c r="F106" s="23">
        <v>1</v>
      </c>
      <c r="G106" s="23"/>
      <c r="H106" s="23"/>
      <c r="I106" s="23"/>
      <c r="J106" s="23"/>
      <c r="K106" s="23"/>
      <c r="L106" s="23"/>
      <c r="M106" s="210"/>
      <c r="N106" s="22" t="s">
        <v>276</v>
      </c>
      <c r="O106" s="22" t="s">
        <v>2862</v>
      </c>
      <c r="P106" s="22" t="s">
        <v>2764</v>
      </c>
      <c r="Q106" s="22" t="s">
        <v>2719</v>
      </c>
      <c r="R106" s="22" t="s">
        <v>519</v>
      </c>
      <c r="S106" s="37">
        <v>45069</v>
      </c>
      <c r="T106" s="22" t="s">
        <v>2510</v>
      </c>
      <c r="V106" s="210"/>
      <c r="W106" s="36" t="s">
        <v>2512</v>
      </c>
      <c r="X106" s="22" t="s">
        <v>3160</v>
      </c>
      <c r="Y106" s="23">
        <v>1</v>
      </c>
      <c r="Z106" s="36" t="s">
        <v>2511</v>
      </c>
      <c r="AA106" s="23">
        <v>1</v>
      </c>
      <c r="AQ106" s="210"/>
      <c r="AR106" s="23"/>
      <c r="AS106" s="22" t="s">
        <v>2209</v>
      </c>
      <c r="AT106" s="22" t="s">
        <v>2508</v>
      </c>
      <c r="AU106" s="22" t="s">
        <v>2509</v>
      </c>
    </row>
    <row r="107" spans="1:47" s="22" customFormat="1">
      <c r="B107" s="22" t="s">
        <v>2577</v>
      </c>
      <c r="C107" s="22" t="s">
        <v>2578</v>
      </c>
      <c r="E107" s="210"/>
      <c r="F107" s="23"/>
      <c r="G107" s="23"/>
      <c r="H107" s="23"/>
      <c r="I107" s="23"/>
      <c r="J107" s="23"/>
      <c r="K107" s="23">
        <v>1</v>
      </c>
      <c r="L107" s="23"/>
      <c r="M107" s="210"/>
      <c r="N107" s="22" t="s">
        <v>276</v>
      </c>
      <c r="O107" s="22" t="s">
        <v>2837</v>
      </c>
      <c r="P107" s="22" t="s">
        <v>2791</v>
      </c>
      <c r="Q107" s="22" t="s">
        <v>878</v>
      </c>
      <c r="R107" s="22" t="s">
        <v>56</v>
      </c>
      <c r="S107" s="37">
        <v>78246</v>
      </c>
      <c r="T107" s="22" t="s">
        <v>2376</v>
      </c>
      <c r="V107" s="210"/>
      <c r="W107" s="22" t="s">
        <v>2378</v>
      </c>
      <c r="X107" s="36" t="s">
        <v>2377</v>
      </c>
      <c r="Y107" s="23">
        <v>1</v>
      </c>
      <c r="AA107" s="23"/>
      <c r="AQ107" s="210"/>
      <c r="AR107" s="23"/>
      <c r="AS107" s="22" t="s">
        <v>2209</v>
      </c>
      <c r="AT107" s="22" t="s">
        <v>2379</v>
      </c>
      <c r="AU107" s="22" t="s">
        <v>2380</v>
      </c>
    </row>
    <row r="108" spans="1:47" s="22" customFormat="1">
      <c r="A108" s="22">
        <v>1</v>
      </c>
      <c r="B108" s="200" t="s">
        <v>2643</v>
      </c>
      <c r="C108" s="22" t="s">
        <v>2644</v>
      </c>
      <c r="E108" s="210"/>
      <c r="F108" s="23">
        <v>1</v>
      </c>
      <c r="G108" s="23"/>
      <c r="H108" s="23"/>
      <c r="I108" s="23"/>
      <c r="J108" s="23"/>
      <c r="K108" s="23"/>
      <c r="L108" s="23">
        <v>1</v>
      </c>
      <c r="M108" s="210"/>
      <c r="N108" s="22" t="s">
        <v>276</v>
      </c>
      <c r="O108" s="22" t="s">
        <v>2871</v>
      </c>
      <c r="P108" s="22" t="s">
        <v>2775</v>
      </c>
      <c r="Q108" s="22" t="s">
        <v>126</v>
      </c>
      <c r="R108" s="22" t="s">
        <v>437</v>
      </c>
      <c r="S108" s="37">
        <v>13041</v>
      </c>
      <c r="T108" s="22" t="s">
        <v>2547</v>
      </c>
      <c r="V108" s="210"/>
      <c r="W108" s="36" t="s">
        <v>2548</v>
      </c>
      <c r="X108" s="89" t="s">
        <v>3161</v>
      </c>
      <c r="Y108" s="23">
        <v>1</v>
      </c>
      <c r="AA108" s="23"/>
      <c r="AQ108" s="210"/>
      <c r="AR108" s="23">
        <v>42</v>
      </c>
      <c r="AS108" s="22" t="s">
        <v>2209</v>
      </c>
      <c r="AT108" s="22" t="s">
        <v>2533</v>
      </c>
      <c r="AU108" s="22" t="s">
        <v>2534</v>
      </c>
    </row>
    <row r="109" spans="1:47" s="22" customFormat="1">
      <c r="B109" s="22" t="s">
        <v>3162</v>
      </c>
      <c r="C109" s="22" t="s">
        <v>2637</v>
      </c>
      <c r="E109" s="210"/>
      <c r="F109" s="23">
        <v>1</v>
      </c>
      <c r="G109" s="23"/>
      <c r="H109" s="23"/>
      <c r="I109" s="23"/>
      <c r="J109" s="23"/>
      <c r="K109" s="23"/>
      <c r="L109" s="23"/>
      <c r="M109" s="210"/>
      <c r="N109" s="22" t="s">
        <v>276</v>
      </c>
      <c r="O109" s="22" t="s">
        <v>2831</v>
      </c>
      <c r="P109" s="22" t="s">
        <v>2771</v>
      </c>
      <c r="Q109" s="22" t="s">
        <v>2724</v>
      </c>
      <c r="R109" s="22" t="s">
        <v>559</v>
      </c>
      <c r="S109" s="37">
        <v>23112</v>
      </c>
      <c r="T109" s="22" t="s">
        <v>2530</v>
      </c>
      <c r="V109" s="210"/>
      <c r="W109" s="36" t="s">
        <v>2532</v>
      </c>
      <c r="X109" s="36" t="s">
        <v>2531</v>
      </c>
      <c r="Y109" s="23">
        <v>1</v>
      </c>
      <c r="AA109" s="23"/>
      <c r="AB109" s="22" t="s">
        <v>3163</v>
      </c>
      <c r="AD109" s="22">
        <v>1</v>
      </c>
      <c r="AE109" s="22">
        <v>197</v>
      </c>
      <c r="AF109" s="22" t="s">
        <v>3164</v>
      </c>
      <c r="AG109" s="22">
        <v>1</v>
      </c>
      <c r="AH109" s="84">
        <v>2400</v>
      </c>
      <c r="AQ109" s="210"/>
      <c r="AR109" s="23">
        <v>104</v>
      </c>
      <c r="AS109" s="22" t="s">
        <v>2209</v>
      </c>
      <c r="AT109" s="22" t="s">
        <v>2533</v>
      </c>
      <c r="AU109" s="22" t="s">
        <v>2534</v>
      </c>
    </row>
    <row r="110" spans="1:47" s="22" customFormat="1">
      <c r="B110" s="22" t="s">
        <v>2563</v>
      </c>
      <c r="C110" s="22" t="s">
        <v>2564</v>
      </c>
      <c r="E110" s="210"/>
      <c r="F110" s="23">
        <v>1</v>
      </c>
      <c r="G110" s="23"/>
      <c r="H110" s="23"/>
      <c r="I110" s="23"/>
      <c r="J110" s="23"/>
      <c r="K110" s="23"/>
      <c r="L110" s="23"/>
      <c r="M110" s="210"/>
      <c r="N110" s="22" t="s">
        <v>276</v>
      </c>
      <c r="O110" s="22" t="s">
        <v>2803</v>
      </c>
      <c r="P110" s="22" t="s">
        <v>2654</v>
      </c>
      <c r="Q110" s="22" t="s">
        <v>2655</v>
      </c>
      <c r="R110" s="22" t="s">
        <v>510</v>
      </c>
      <c r="S110" s="37">
        <v>98512</v>
      </c>
      <c r="T110" s="22" t="s">
        <v>2348</v>
      </c>
      <c r="V110" s="210"/>
      <c r="W110" s="36" t="s">
        <v>2349</v>
      </c>
      <c r="X110" s="36" t="s">
        <v>3165</v>
      </c>
      <c r="Y110" s="23">
        <v>1</v>
      </c>
      <c r="AA110" s="23"/>
      <c r="AQ110" s="210"/>
      <c r="AR110" s="23">
        <v>78</v>
      </c>
      <c r="AS110" s="22" t="s">
        <v>2209</v>
      </c>
      <c r="AT110" s="22" t="s">
        <v>2332</v>
      </c>
      <c r="AU110" s="22" t="s">
        <v>2333</v>
      </c>
    </row>
    <row r="111" spans="1:47" s="22" customFormat="1">
      <c r="B111" s="22" t="s">
        <v>255</v>
      </c>
      <c r="C111" s="22" t="s">
        <v>2594</v>
      </c>
      <c r="E111" s="210"/>
      <c r="F111" s="23">
        <v>1</v>
      </c>
      <c r="G111" s="23"/>
      <c r="H111" s="23"/>
      <c r="I111" s="23"/>
      <c r="J111" s="23"/>
      <c r="K111" s="23"/>
      <c r="L111" s="23"/>
      <c r="M111" s="210"/>
      <c r="N111" s="22" t="s">
        <v>276</v>
      </c>
      <c r="O111" s="22" t="s">
        <v>2815</v>
      </c>
      <c r="P111" s="22" t="s">
        <v>2671</v>
      </c>
      <c r="Q111" s="22" t="s">
        <v>2672</v>
      </c>
      <c r="R111" s="22" t="s">
        <v>56</v>
      </c>
      <c r="S111" s="37">
        <v>76054</v>
      </c>
      <c r="T111" s="22" t="s">
        <v>2420</v>
      </c>
      <c r="V111" s="210"/>
      <c r="W111" s="36" t="s">
        <v>2422</v>
      </c>
      <c r="X111" s="36" t="s">
        <v>2421</v>
      </c>
      <c r="Y111" s="23">
        <v>1</v>
      </c>
      <c r="AA111" s="23"/>
      <c r="AQ111" s="210"/>
      <c r="AR111" s="23">
        <v>98</v>
      </c>
      <c r="AS111" s="22" t="s">
        <v>2209</v>
      </c>
      <c r="AT111" s="22" t="s">
        <v>2379</v>
      </c>
      <c r="AU111" s="22" t="s">
        <v>2423</v>
      </c>
    </row>
    <row r="112" spans="1:47" s="22" customFormat="1">
      <c r="B112" s="22" t="s">
        <v>1011</v>
      </c>
      <c r="C112" s="22" t="s">
        <v>496</v>
      </c>
      <c r="E112" s="210"/>
      <c r="F112" s="23">
        <v>1</v>
      </c>
      <c r="G112" s="23"/>
      <c r="H112" s="23"/>
      <c r="I112" s="23"/>
      <c r="J112" s="23"/>
      <c r="K112" s="23"/>
      <c r="L112" s="23"/>
      <c r="M112" s="210"/>
      <c r="N112" s="22" t="s">
        <v>276</v>
      </c>
      <c r="O112" s="22" t="s">
        <v>2866</v>
      </c>
      <c r="P112" s="22" t="s">
        <v>2769</v>
      </c>
      <c r="Q112" s="22" t="s">
        <v>2722</v>
      </c>
      <c r="R112" s="22" t="s">
        <v>261</v>
      </c>
      <c r="S112" s="37">
        <v>26555</v>
      </c>
      <c r="T112" s="22" t="s">
        <v>2524</v>
      </c>
      <c r="V112" s="210"/>
      <c r="W112" s="36" t="s">
        <v>2526</v>
      </c>
      <c r="X112" s="36" t="s">
        <v>2525</v>
      </c>
      <c r="Y112" s="23">
        <v>1</v>
      </c>
      <c r="AA112" s="23"/>
      <c r="AQ112" s="210"/>
      <c r="AR112" s="23">
        <v>50</v>
      </c>
      <c r="AS112" s="22" t="s">
        <v>2209</v>
      </c>
      <c r="AT112" s="22" t="s">
        <v>2508</v>
      </c>
      <c r="AU112" s="22" t="s">
        <v>2509</v>
      </c>
    </row>
    <row r="113" spans="1:47" s="22" customFormat="1">
      <c r="B113" s="22" t="s">
        <v>483</v>
      </c>
      <c r="C113" s="22" t="s">
        <v>2636</v>
      </c>
      <c r="E113" s="210"/>
      <c r="F113" s="23">
        <v>1</v>
      </c>
      <c r="G113" s="23"/>
      <c r="H113" s="23"/>
      <c r="I113" s="23"/>
      <c r="J113" s="23"/>
      <c r="K113" s="23"/>
      <c r="L113" s="23"/>
      <c r="M113" s="210"/>
      <c r="N113" s="22" t="s">
        <v>276</v>
      </c>
      <c r="O113" s="22" t="s">
        <v>2867</v>
      </c>
      <c r="P113" s="22" t="s">
        <v>2770</v>
      </c>
      <c r="Q113" s="22" t="s">
        <v>2723</v>
      </c>
      <c r="R113" s="22" t="s">
        <v>261</v>
      </c>
      <c r="S113" s="37">
        <v>25302</v>
      </c>
      <c r="T113" s="22" t="s">
        <v>2527</v>
      </c>
      <c r="V113" s="210"/>
      <c r="W113" s="36" t="s">
        <v>2529</v>
      </c>
      <c r="X113" s="36" t="s">
        <v>2528</v>
      </c>
      <c r="Y113" s="23">
        <v>1</v>
      </c>
      <c r="AA113" s="23"/>
      <c r="AQ113" s="210"/>
      <c r="AR113" s="23">
        <v>55</v>
      </c>
      <c r="AS113" s="22" t="s">
        <v>2209</v>
      </c>
      <c r="AT113" s="22" t="s">
        <v>2508</v>
      </c>
      <c r="AU113" s="22" t="s">
        <v>2509</v>
      </c>
    </row>
    <row r="114" spans="1:47" s="22" customFormat="1">
      <c r="B114" s="22" t="s">
        <v>2573</v>
      </c>
      <c r="C114" s="22" t="s">
        <v>2574</v>
      </c>
      <c r="E114" s="210"/>
      <c r="F114" s="23"/>
      <c r="G114" s="23"/>
      <c r="H114" s="23"/>
      <c r="I114" s="23"/>
      <c r="J114" s="23"/>
      <c r="K114" s="23">
        <v>1</v>
      </c>
      <c r="L114" s="23"/>
      <c r="M114" s="210"/>
      <c r="N114" s="22" t="s">
        <v>276</v>
      </c>
      <c r="O114" s="22" t="s">
        <v>2835</v>
      </c>
      <c r="P114" s="22" t="s">
        <v>2789</v>
      </c>
      <c r="Q114" s="22" t="s">
        <v>2687</v>
      </c>
      <c r="R114" s="22" t="s">
        <v>300</v>
      </c>
      <c r="S114" s="37">
        <v>90670</v>
      </c>
      <c r="T114" s="22" t="s">
        <v>2371</v>
      </c>
      <c r="V114" s="210"/>
      <c r="X114" s="36" t="s">
        <v>2372</v>
      </c>
      <c r="Y114" s="23">
        <v>1</v>
      </c>
      <c r="AA114" s="23"/>
      <c r="AQ114" s="210"/>
      <c r="AR114" s="23"/>
      <c r="AS114" s="22" t="s">
        <v>2209</v>
      </c>
      <c r="AT114" s="22" t="s">
        <v>2366</v>
      </c>
      <c r="AU114" s="22" t="s">
        <v>2367</v>
      </c>
    </row>
    <row r="115" spans="1:47" s="22" customFormat="1">
      <c r="B115" s="22" t="s">
        <v>1011</v>
      </c>
      <c r="C115" s="22" t="s">
        <v>2604</v>
      </c>
      <c r="E115" s="210"/>
      <c r="F115" s="23">
        <v>1</v>
      </c>
      <c r="G115" s="23"/>
      <c r="H115" s="23"/>
      <c r="I115" s="23"/>
      <c r="J115" s="23"/>
      <c r="K115" s="23"/>
      <c r="L115" s="23"/>
      <c r="M115" s="210"/>
      <c r="N115" s="22" t="s">
        <v>276</v>
      </c>
      <c r="O115" s="22" t="s">
        <v>2822</v>
      </c>
      <c r="P115" s="22" t="s">
        <v>2746</v>
      </c>
      <c r="Q115" s="22" t="s">
        <v>2702</v>
      </c>
      <c r="R115" s="22" t="s">
        <v>646</v>
      </c>
      <c r="S115" s="37">
        <v>53051</v>
      </c>
      <c r="T115" s="22" t="s">
        <v>2446</v>
      </c>
      <c r="V115" s="210"/>
      <c r="W115" s="36" t="s">
        <v>2448</v>
      </c>
      <c r="X115" s="89" t="s">
        <v>3166</v>
      </c>
      <c r="Y115" s="23">
        <v>1</v>
      </c>
      <c r="Z115" s="36" t="s">
        <v>2447</v>
      </c>
      <c r="AA115" s="23">
        <v>1</v>
      </c>
      <c r="AQ115" s="210"/>
      <c r="AR115" s="23">
        <v>33</v>
      </c>
      <c r="AS115" s="22" t="s">
        <v>2209</v>
      </c>
      <c r="AT115" s="22" t="s">
        <v>2449</v>
      </c>
      <c r="AU115" s="22" t="s">
        <v>2450</v>
      </c>
    </row>
    <row r="116" spans="1:47" s="22" customFormat="1">
      <c r="F116" s="23"/>
      <c r="G116" s="23"/>
      <c r="H116" s="23"/>
      <c r="I116" s="23"/>
      <c r="J116" s="23"/>
      <c r="K116" s="23"/>
      <c r="L116" s="23"/>
      <c r="S116" s="37"/>
      <c r="AA116" s="23"/>
    </row>
    <row r="117" spans="1:47" s="22" customFormat="1">
      <c r="F117" s="23"/>
      <c r="G117" s="23"/>
      <c r="H117" s="23"/>
      <c r="I117" s="23"/>
      <c r="J117" s="23"/>
      <c r="K117" s="23"/>
      <c r="L117" s="23"/>
      <c r="S117" s="37"/>
      <c r="AA117" s="23"/>
      <c r="AR117" s="23"/>
    </row>
    <row r="118" spans="1:47" s="68" customFormat="1" ht="19">
      <c r="A118" s="87"/>
      <c r="B118" s="87" t="s">
        <v>684</v>
      </c>
      <c r="C118" s="87"/>
      <c r="D118" s="87"/>
      <c r="E118" s="192"/>
      <c r="F118" s="70">
        <f t="shared" ref="F118:L118" si="0">SUM(F29:F115)</f>
        <v>64</v>
      </c>
      <c r="G118" s="70">
        <f t="shared" si="0"/>
        <v>2</v>
      </c>
      <c r="H118" s="70">
        <f t="shared" si="0"/>
        <v>0</v>
      </c>
      <c r="I118" s="70">
        <f t="shared" si="0"/>
        <v>1</v>
      </c>
      <c r="J118" s="70">
        <f t="shared" si="0"/>
        <v>8</v>
      </c>
      <c r="K118" s="70">
        <f t="shared" si="0"/>
        <v>3</v>
      </c>
      <c r="L118" s="70">
        <f t="shared" si="0"/>
        <v>2</v>
      </c>
      <c r="M118" s="192"/>
      <c r="N118" s="192"/>
      <c r="O118" s="192"/>
      <c r="P118" s="192"/>
      <c r="Q118" s="192"/>
      <c r="R118" s="192"/>
      <c r="S118" s="199"/>
      <c r="T118" s="192"/>
      <c r="U118" s="192"/>
      <c r="V118" s="192"/>
      <c r="W118" s="192"/>
      <c r="X118" s="192"/>
      <c r="Y118" s="70">
        <f>SUM(Y29:Y115)</f>
        <v>77</v>
      </c>
      <c r="Z118" s="192"/>
      <c r="AA118" s="70">
        <f>SUM(AA29:AA115)</f>
        <v>11</v>
      </c>
      <c r="AB118" s="192"/>
      <c r="AC118" s="70">
        <f>SUM(AC29:AC115)</f>
        <v>0</v>
      </c>
      <c r="AD118" s="70">
        <f>SUM(AD29:AD115)</f>
        <v>1</v>
      </c>
      <c r="AE118" s="70">
        <f>SUM(AE29:AE115)</f>
        <v>197</v>
      </c>
      <c r="AF118" s="192"/>
      <c r="AG118" s="70">
        <f>SUM(AG29:AG115)</f>
        <v>1</v>
      </c>
      <c r="AH118" s="70">
        <f>SUM(AH29:AH115)</f>
        <v>2400</v>
      </c>
      <c r="AI118" s="192"/>
      <c r="AJ118" s="70">
        <f>SUM(AJ29:AJ115)</f>
        <v>0</v>
      </c>
      <c r="AK118" s="192"/>
      <c r="AL118" s="70">
        <f>SUM(AL29:AL115)</f>
        <v>0</v>
      </c>
      <c r="AM118" s="70">
        <f>SUM(AM29:AM115)</f>
        <v>0</v>
      </c>
      <c r="AN118" s="192"/>
      <c r="AO118" s="70">
        <f>SUM(AO29:AO115)</f>
        <v>0</v>
      </c>
      <c r="AP118" s="70">
        <f>SUM(AP29:AP115)</f>
        <v>0</v>
      </c>
      <c r="AR118" s="71">
        <f>SUM(AR39:AR115)</f>
        <v>4192</v>
      </c>
    </row>
    <row r="119" spans="1:47">
      <c r="F119" s="9"/>
      <c r="G119" s="9"/>
      <c r="H119" s="9"/>
      <c r="I119" s="9"/>
      <c r="J119" s="9"/>
      <c r="K119" s="9"/>
      <c r="L119" s="9"/>
    </row>
    <row r="120" spans="1:47">
      <c r="F120" s="9"/>
      <c r="G120" s="9"/>
      <c r="H120" s="9"/>
      <c r="I120" s="9"/>
      <c r="J120" s="9"/>
      <c r="K120" s="9"/>
      <c r="L120" s="9"/>
    </row>
  </sheetData>
  <sortState xmlns:xlrd2="http://schemas.microsoft.com/office/spreadsheetml/2017/richdata2" ref="A39:AU116">
    <sortCondition ref="O39:O116"/>
  </sortState>
  <hyperlinks>
    <hyperlink ref="X40" r:id="rId1" display="mailto:aknazarene@alaska.net" xr:uid="{4E1F8F71-FFD7-4B42-8D08-968067241988}"/>
    <hyperlink ref="W40" r:id="rId2" display="https://alaskanazarene.org/" xr:uid="{7F1470BB-4051-6245-B875-1A90185E2925}"/>
    <hyperlink ref="W43" r:id="rId3" xr:uid="{DF3C7726-DE35-5741-8556-4B9BA838F384}"/>
    <hyperlink ref="X45" r:id="rId4" display="mailto:nazarenequebec@gmail.com" xr:uid="{A531D8DA-B49E-984C-961A-92E73554F876}"/>
    <hyperlink ref="W45" r:id="rId5" xr:uid="{20EAC1DB-61B1-7547-839A-ACB83009DA34}"/>
    <hyperlink ref="X42" r:id="rId6" display="mailto:bcambers@nb.aibn.com" xr:uid="{85D2B880-301B-2B42-80C7-14093B48A47E}"/>
    <hyperlink ref="W42" r:id="rId7" display="http://atlanticnazarene.ca/" xr:uid="{53BC5CBC-5E65-EC4D-A7F8-44CF43C28131}"/>
    <hyperlink ref="W110" r:id="rId8" display="http://www.wapacnaz.org/" xr:uid="{AE1832F7-0188-4441-BEE1-0124F9EBD91F}"/>
    <hyperlink ref="X90" r:id="rId9" display="mailto:orpacoffice@orpac.org" xr:uid="{DA68F9F0-143C-AD43-8843-B63DAF68006D}"/>
    <hyperlink ref="W90" r:id="rId10" xr:uid="{F62294E4-B14D-694E-9CE5-48D9BC3D7685}"/>
    <hyperlink ref="W85" r:id="rId11" xr:uid="{453C5B62-4162-1644-BE53-9EC83DEB2C08}"/>
    <hyperlink ref="X94" r:id="rId12" display="mailto:rwskinner@rmnaz.org" xr:uid="{A7A5C4FA-0476-7F4C-8BA5-C525F213821C}"/>
    <hyperlink ref="W94" r:id="rId13" xr:uid="{1B4F7427-5832-D345-BFB5-806F04128C13}"/>
    <hyperlink ref="X60" r:id="rId14" display="mailto:office@intermountaindistrict.org" xr:uid="{7F5957B6-8232-9744-98C1-BBEC9DFF1E70}"/>
    <hyperlink ref="W60" r:id="rId15" xr:uid="{4B57A25E-36F1-D247-BF99-F94F264897EF}"/>
    <hyperlink ref="W50" r:id="rId16" xr:uid="{9EFAF1BC-4AAA-5A4B-855E-131C58C7723F}"/>
    <hyperlink ref="X57" r:id="rId17" display="mailto:rick.power.hawaiipacific@gmail.com" xr:uid="{EFCCCD8C-DEF6-3142-AACB-99125EEBE325}"/>
    <hyperlink ref="W57" r:id="rId18" display="https://www.hipacnazarene.org/" xr:uid="{933BB721-39CF-084A-8E26-397C46726CA1}"/>
    <hyperlink ref="X104" r:id="rId19" display="mailto:jrnells07@gmail.com" xr:uid="{7CB03DAE-D3DB-0644-B05A-C5D0CFD38BD7}"/>
    <hyperlink ref="W104" r:id="rId20" display="https://www.usacanadaregion.org/snadnaz.org" xr:uid="{5FC1765D-93F8-084B-86BA-F426E05B8AA0}"/>
    <hyperlink ref="X114" r:id="rId21" display="mailto:menahumberto100@yahoo.com" xr:uid="{A18E6CB1-504F-D941-B503-7632E6E4E3BA}"/>
    <hyperlink ref="X103" r:id="rId22" display="mailto:benjamin30730@msn.com" xr:uid="{8A3D903C-4BFE-D340-9814-B5C96BCA1C44}"/>
    <hyperlink ref="W103" r:id="rId23" xr:uid="{0BA830A4-7029-B44F-8349-533F4F7B3B59}"/>
    <hyperlink ref="X107" r:id="rId24" display="mailto:supastorev@gmail.com" xr:uid="{1F783126-52CA-7E42-8962-92DE6693F05B}"/>
    <hyperlink ref="X78" r:id="rId25" display="mailto:info@norcal.org" xr:uid="{DA829595-2300-6041-AD7B-F3B527A659A7}"/>
    <hyperlink ref="W78" r:id="rId26" xr:uid="{1AEB32DB-E9F3-2842-8C49-1DF0AD2EE047}"/>
    <hyperlink ref="W95" r:id="rId27" xr:uid="{B93A41CD-21E8-A34C-B508-7D2AF1A9A925}"/>
    <hyperlink ref="W47" r:id="rId28" xr:uid="{C57C0D32-B007-C949-8AE7-40173EF0DD7C}"/>
    <hyperlink ref="W66" r:id="rId29" xr:uid="{1C65C000-5DB4-CF4B-8FEC-4C956DF1F65F}"/>
    <hyperlink ref="Z100" r:id="rId30" display="mailto:socalnazarene@gmail.com" xr:uid="{A4992BD6-ECAB-4F4A-8D1E-CF92A1BA3A97}"/>
    <hyperlink ref="W100" r:id="rId31" xr:uid="{35B8617F-EAF8-914D-A68A-39F305A3EA95}"/>
    <hyperlink ref="W41" r:id="rId32" xr:uid="{EE35D6D2-25C3-7B4E-A4BE-3701FCD96E90}"/>
    <hyperlink ref="X76" r:id="rId33" display="mailto:nmdist@nmnaz.com" xr:uid="{58BD9E29-D89D-8840-A177-2874FF952A2D}"/>
    <hyperlink ref="W76" r:id="rId34" xr:uid="{111D1BDA-6783-BB44-B8D3-2409C1051824}"/>
    <hyperlink ref="W93" r:id="rId35" display="http://www.pldnaz.com/" xr:uid="{2D919E74-BD16-AF40-B7AB-6514EF0B94DD}"/>
    <hyperlink ref="X61" r:id="rId36" display="mailto:admin@iowanazarene.org" xr:uid="{69425429-EBC3-5C4F-8F37-B28BB07722CC}"/>
    <hyperlink ref="W61" r:id="rId37" xr:uid="{39E11FAE-5949-1F4D-A83A-D9CAB9E663D7}"/>
    <hyperlink ref="X74" r:id="rId38" display="mailto:pastordancole@gmail.com" xr:uid="{E027B0EA-D7F9-CC4C-9EB0-A25D812F344E}"/>
    <hyperlink ref="Z64" r:id="rId39" display="mailto:ksdist@ksnazarene.org" xr:uid="{D62F4892-5D79-2F41-8BA2-F1CE4E46E62A}"/>
    <hyperlink ref="W64" r:id="rId40" xr:uid="{20D9C4FC-B4AD-5349-9A9F-60ACCFA20D6A}"/>
    <hyperlink ref="X63" r:id="rId41" display="mailto:kcdistrict@kcdistrict.org" xr:uid="{0A9BC7B7-7211-8041-A4A8-0D54458D7C63}"/>
    <hyperlink ref="W63" r:id="rId42" xr:uid="{573EDFFF-9E70-EF44-992A-94594B252DA2}"/>
    <hyperlink ref="X62" r:id="rId43" display="mailto:joplindistrictnaz@gmail.com" xr:uid="{92051D60-24DF-EB4D-B12F-C8B210C5FBBC}"/>
    <hyperlink ref="W62" r:id="rId44" xr:uid="{6C06B8D9-5E47-F146-97F8-0D55383AEDAC}"/>
    <hyperlink ref="X73" r:id="rId45" display="mailto:mpalmer@monaz.org" xr:uid="{F72FBE89-C521-8C4A-8548-4F5B20CD00F9}"/>
    <hyperlink ref="W73" r:id="rId46" xr:uid="{16DD6826-FAA1-F644-955C-8DA9F733714D}"/>
    <hyperlink ref="X111" r:id="rId47" display="mailto:office@westexnaz.org" xr:uid="{2EF5C6A1-906C-BD42-AD86-C647CDD4C8FF}"/>
    <hyperlink ref="W111" r:id="rId48" xr:uid="{3AA93DCE-E35D-5E41-9E0C-1064AC002829}"/>
    <hyperlink ref="X89" r:id="rId49" display="mailto:office@oknaz.org" xr:uid="{67BA7AFF-5C5D-5F43-803F-210976FEBE8D}"/>
    <hyperlink ref="W89" r:id="rId50" xr:uid="{6B7E512D-0370-824A-BEE0-A89A44A5795F}"/>
    <hyperlink ref="X105" r:id="rId51" display="mailto:melissa@swok.org " xr:uid="{9E255A3D-6281-2244-A62A-330FDB728B23}"/>
    <hyperlink ref="W105" r:id="rId52" xr:uid="{B060973B-2451-334A-9CAA-7DDC225CC9A1}"/>
    <hyperlink ref="X77" r:id="rId53" display="mailto:narkdistrict@gmail.com" xr:uid="{8DFF6BB0-1F98-C647-ABBD-C87C17E79283}"/>
    <hyperlink ref="W77" r:id="rId54" display="http://www.narknaz.com/" xr:uid="{6448B556-0C3E-744B-9C11-B73E28D54108}"/>
    <hyperlink ref="X96" r:id="rId55" display="mailto:office@soarnaz.org" xr:uid="{BE242331-A7EB-DD4A-9FC0-A1A8E21DCD08}"/>
    <hyperlink ref="W96" r:id="rId56" xr:uid="{0588FE27-EB2B-6943-A79A-9921E88632AF}"/>
    <hyperlink ref="X81" r:id="rId57" display="mailto:districtofficenaz@netxnaz.net" xr:uid="{0D7F3F4F-A089-D648-B4F3-277247743E7C}"/>
    <hyperlink ref="W81" r:id="rId58" xr:uid="{21B218D6-CEE8-0F4E-8917-08374B1B089C}"/>
    <hyperlink ref="X99" r:id="rId59" display="mailto:office@southtexasnaz.org" xr:uid="{76F8290E-A8ED-5747-9A3B-A511454AC777}"/>
    <hyperlink ref="W99" r:id="rId60" xr:uid="{FFA440CB-0CEE-D041-BA2B-5928B2183227}"/>
    <hyperlink ref="X67" r:id="rId61" display="mailto:ladistrictnaz@gmail.com" xr:uid="{471ED1EC-3255-784C-A93E-AFFD615EF7AC}"/>
    <hyperlink ref="W67" r:id="rId62" xr:uid="{F981A234-4542-8240-87DC-E253A99FF2C1}"/>
    <hyperlink ref="Z115" r:id="rId63" display="mailto:wisconsindistrictoffice@gmail.com" xr:uid="{FA449EA3-FC62-6849-98B4-28D52B039D57}"/>
    <hyperlink ref="W115" r:id="rId64" xr:uid="{8696AFCE-1CB8-B347-8BB7-8234488613ED}"/>
    <hyperlink ref="Z84" r:id="rId65" display="mailto:nmdoffice@nmdnaz.org" xr:uid="{18C5E9E7-4EF7-BD4C-A4A2-3644DDD3E167}"/>
    <hyperlink ref="W84" r:id="rId66" xr:uid="{9ED37DA8-41E0-D940-8924-E3E7B187453A}"/>
    <hyperlink ref="W70" r:id="rId67" xr:uid="{6EFDB98A-FB71-CF41-B99E-E3D3E568E47C}"/>
    <hyperlink ref="W54" r:id="rId68" xr:uid="{11D98074-08C9-C244-A6BD-1C3B37D5ED99}"/>
    <hyperlink ref="X87" r:id="rId69" display="mailto:ds@nwilnaz.org" xr:uid="{AAC7210C-27C8-A34F-AA36-CA6C71B97436}"/>
    <hyperlink ref="W87" r:id="rId70" display="http://www.nwilnaz.org/" xr:uid="{DB705646-461A-D74C-8FBF-B85A75D1B01B}"/>
    <hyperlink ref="W49" r:id="rId71" xr:uid="{B1CF4A9E-120F-D540-A505-188E155B3B46}"/>
    <hyperlink ref="W58" r:id="rId72" display="http://illinoisnaz.org/" xr:uid="{B951C9DA-D352-314A-813C-4448E8E7E857}"/>
    <hyperlink ref="W83" r:id="rId73" xr:uid="{252864BE-51F4-DC46-91D9-A291546B75D3}"/>
    <hyperlink ref="X86" r:id="rId74" display="mailto:office@nwindistrict.org" xr:uid="{C6F75974-435F-E34B-80B1-29C341B6C2C9}"/>
    <hyperlink ref="W86" r:id="rId75" xr:uid="{8A718695-A19A-1F46-BE31-54C65646F749}"/>
    <hyperlink ref="X59" r:id="rId76" display="mailto:office@indydistrict.org" xr:uid="{ACD22313-0BCE-0042-A6FD-5825B6360E5B}"/>
    <hyperlink ref="W59" r:id="rId77" display="http://indydistrict.org/" xr:uid="{1E0F0B45-A0B2-7B47-B189-AE64E25AB5D5}"/>
    <hyperlink ref="W102" r:id="rId78" xr:uid="{D48E31E1-583F-CB41-95C9-1317063DF9C1}"/>
    <hyperlink ref="X65" r:id="rId79" display="mailto:secretary@kynazoffice.net" xr:uid="{814CB33C-4D3D-BD4A-9B7D-69677A1561B7}"/>
    <hyperlink ref="W65" r:id="rId80" display="http://kynaz.com/" xr:uid="{B043E3A7-5544-7340-9B51-139675F49CCA}"/>
    <hyperlink ref="X72" r:id="rId81" display="mailto:dgunter@midsouthnaz.org" xr:uid="{A2BEB068-A5C4-FA4B-A04C-82006B67BF7F}"/>
    <hyperlink ref="W72" r:id="rId82" display="http://www.midsouthnaz.org/" xr:uid="{F613A695-587C-AA4E-AC2E-6AD605791391}"/>
    <hyperlink ref="X39" r:id="rId83" display="mailto:alanorthdistrict@gmail.com" xr:uid="{B7730C10-94A9-654D-B202-7B600F1B5CE7}"/>
    <hyperlink ref="X48" r:id="rId84" display="mailto:office@centralgulfcoast.org" xr:uid="{1C0140D1-33C1-EC48-8CA7-14C57FBD8E6C}"/>
    <hyperlink ref="W48" r:id="rId85" display="https://centralgulfcoast.org/" xr:uid="{62864BA4-4A11-6243-951A-C95A800FFAEA}"/>
    <hyperlink ref="X79" r:id="rId86" display="mailto:office.ncnazarene@gmail.com" xr:uid="{D2430AA9-BAD4-944D-BBE9-51734521EA3B}"/>
    <hyperlink ref="W79" r:id="rId87" xr:uid="{638681BF-518A-A146-88AE-61EBFC793ADF}"/>
    <hyperlink ref="X97" r:id="rId88" display="mailto:info@southcarolinanazarene.com" xr:uid="{E0C20AE6-57A6-B145-91CE-C633C516AFE8}"/>
    <hyperlink ref="W97" r:id="rId89" xr:uid="{7662BDD2-8F0D-FD48-B14F-4B4887D3AA4E}"/>
    <hyperlink ref="X56" r:id="rId90" display="mailto:district.office@ganaz.org" xr:uid="{52E214FF-9D4F-ED49-930E-51D202267424}"/>
    <hyperlink ref="W56" r:id="rId91" display="http://www.georgianazarenedistrict.org/" xr:uid="{9063EABA-5D76-7744-92E0-EEAA075759C8}"/>
    <hyperlink ref="X55" r:id="rId92" display="mailto:info@floridanaz.com" xr:uid="{9AA88A15-87B0-3A44-859B-85F86C4C3EEE}"/>
    <hyperlink ref="W55" r:id="rId93" display="https://www.usacanadaregion.org/%09http:/www.floridanaz.com/" xr:uid="{C9037AD9-C416-4949-8D0D-3610F712B666}"/>
    <hyperlink ref="X101" r:id="rId94" display="mailto:Bwilson@sfnazarene.org" xr:uid="{793E2CF4-7853-D349-8816-2FBC55101F1F}"/>
    <hyperlink ref="W101" r:id="rId95" xr:uid="{03523C85-A279-3E44-BFC4-29CC5FC8CBF7}"/>
    <hyperlink ref="Z88" r:id="rId96" display="mailto:nwodist@bright.net" xr:uid="{96B0FF33-EF39-C94C-84ED-026BB69E80AD}"/>
    <hyperlink ref="W88" r:id="rId97" xr:uid="{3A727D1D-61D6-A740-A704-20D5050B8CF3}"/>
    <hyperlink ref="Z106" r:id="rId98" display="mailto:rbrown@swonaz.org" xr:uid="{ED866F00-2AE8-714A-A6D9-6CE853F1F054}"/>
    <hyperlink ref="W106" r:id="rId99" xr:uid="{16BA8CAC-BB53-6A41-B1EA-4D7072ED0ECB}"/>
    <hyperlink ref="W53" r:id="rId100" xr:uid="{FC4EA629-AAF1-614A-9D1D-31A77352271A}"/>
    <hyperlink ref="X80" r:id="rId101" display="mailto:nco.district@mvnu.edu" xr:uid="{CEB50C04-FEE8-4D4B-B6CF-719D4ADB7931}"/>
    <hyperlink ref="X98" r:id="rId102" display="mailto:office@sconaz.org" xr:uid="{6EEFFC79-C242-864F-962B-52C0FC857C12}"/>
    <hyperlink ref="W98" r:id="rId103" xr:uid="{2D1B81EC-2896-4840-8597-FF31F926153D}"/>
    <hyperlink ref="W51" r:id="rId104" xr:uid="{400B334A-276B-4641-A86F-4A6D33210647}"/>
    <hyperlink ref="X112" r:id="rId105" display="mailto:kdennis@wvnd.org" xr:uid="{F9C21769-9A59-FC4C-85AC-1C17D97F13E8}"/>
    <hyperlink ref="W112" r:id="rId106" xr:uid="{68E86008-6E6E-B849-90C6-51A1F693E7CF}"/>
    <hyperlink ref="X113" r:id="rId107" display="mailto:wvsnaz@gmail.com" xr:uid="{C7A831DD-743A-E947-A29D-696D370D738E}"/>
    <hyperlink ref="W113" r:id="rId108" xr:uid="{EAA2FFCD-B8EE-8C49-8642-D53836028420}"/>
    <hyperlink ref="X109" r:id="rId109" display="mailto:admin@vanaz.org" xr:uid="{473A3F9C-386E-B148-A015-CE4E9196C1CF}"/>
    <hyperlink ref="W109" r:id="rId110" xr:uid="{9315DC14-6424-5F44-88F9-7BCB2C9FE62F}"/>
    <hyperlink ref="X92" r:id="rId111" display="mailto:office@pghnaz.org" xr:uid="{359FE2B0-6E4A-3345-A7BB-A96D59B116B9}"/>
    <hyperlink ref="W92" r:id="rId112" display="http://pghnaz.org/" xr:uid="{9DEEC5DE-66A9-F540-B0F9-C3CC1617BD37}"/>
    <hyperlink ref="X71" r:id="rId113" display="mailto:manazoffice@gmail.com" xr:uid="{951BC1A0-4CE9-B447-AFC8-0E68B02D4241}"/>
    <hyperlink ref="W71" r:id="rId114" xr:uid="{BE6C03A9-C74C-8044-81D0-B2F956DFF8F7}"/>
    <hyperlink ref="X91" r:id="rId115" display="mailto:districtoffice@philanaz.org" xr:uid="{2E2CF6C5-744A-784A-AE0A-3AAC3A1EA7AB}"/>
    <hyperlink ref="W91" r:id="rId116" xr:uid="{9F7F4C69-F48D-8B4A-B998-A92205D8093D}"/>
    <hyperlink ref="X69" r:id="rId117" display="mailto:samvassel@mnynaz.com" xr:uid="{A89BD0AB-CDBD-BE41-90BD-C4CCD06E6A4B}"/>
    <hyperlink ref="W69" r:id="rId118" xr:uid="{C563E60A-CCDE-C24A-A822-04C731862415}"/>
    <hyperlink ref="W108" r:id="rId119" xr:uid="{1D1621EA-150E-6547-9F46-9EE03AF1EEEB}"/>
    <hyperlink ref="X75" r:id="rId120" display="mailto:kstanford@nednaz.org" xr:uid="{6A93C10C-AD16-5E4A-A15F-1816311FB568}"/>
    <hyperlink ref="W75" r:id="rId121" xr:uid="{4D35A6F5-806A-8E4E-A93C-DCEC56ED3FC6}"/>
    <hyperlink ref="Z68" r:id="rId122" display="mailto:mainenazoffice@gmail.com" xr:uid="{031B4957-A4F2-5442-9E24-3D337B77BCBD}"/>
    <hyperlink ref="W68" r:id="rId123" xr:uid="{42320ABF-5E78-5B43-B1B0-EBC89F76602F}"/>
    <hyperlink ref="Z63" r:id="rId124" display="mailto:edwardlestep@aol.com" xr:uid="{5E1BB233-4EEE-0A49-80BC-B84FC3DC0F50}"/>
    <hyperlink ref="Z40" r:id="rId125" display="mailto:phartley@alaskanazarene.org" xr:uid="{FC753A08-440E-5B4F-8910-5CDF39575A2B}"/>
    <hyperlink ref="X50" r:id="rId126" display="mailto:Vaskren@conazarene.org" xr:uid="{CAB8D161-CD50-B643-909D-7BD67BD417BE}"/>
    <hyperlink ref="X53" r:id="rId127" display="mailto:ekdswyatt@gmail.com" xr:uid="{E2E759EB-07EB-374D-8145-23525349B7FB}"/>
    <hyperlink ref="X54" r:id="rId128" display="mailto:mikek@emdnaz.org" xr:uid="{CA5AD43F-BA61-974A-BD01-4FB75F4F1CE2}"/>
    <hyperlink ref="X64" r:id="rId129" display="mailto:jimbond@ksnazarene.org" xr:uid="{DF2B0A5A-CCB7-1248-8359-C10C5607E2C9}"/>
    <hyperlink ref="X70" r:id="rId130" display="mailto:bdyrness@minaz.org" xr:uid="{1A056094-70D4-E740-9893-07C0A77019AC}"/>
    <hyperlink ref="X85" r:id="rId131" display="mailto:dnmowry@nwdistrict.org" xr:uid="{F8067743-B5D7-9C4E-872A-7B83419303F4}"/>
    <hyperlink ref="Z87" r:id="rId132" display="mailto:districtpastor@nwilnaz.org" xr:uid="{CE350376-D068-0343-AF73-063865E451A0}"/>
    <hyperlink ref="X93" r:id="rId133" display="mailto:shoffman@pldnaz.com" xr:uid="{88D8B3A3-C376-A54D-B710-B831FF7ECFA4}"/>
    <hyperlink ref="X95" r:id="rId134" display="mailto:sscott@sacnaz.org" xr:uid="{448F21C9-240A-6D42-9BBC-35D8C5EF434B}"/>
    <hyperlink ref="X100" r:id="rId135" display="mailto:thomastaylor915@gmail.com" xr:uid="{4DC9AB24-5854-0749-B3E3-F9CDFE9F92BF}"/>
    <hyperlink ref="X108" r:id="rId136" display="mailto:oliviametcalf@upstatedistrict.org" xr:uid="{6E469016-275C-1A4D-8562-1AC9DD68BA28}"/>
    <hyperlink ref="X115" r:id="rId137" display="mailto:Kevindonleyds.wisconsin.naz@gmail.com" xr:uid="{27F48D44-E0A9-9D47-A064-050CC081F26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D2B-D94A-B446-93E9-5621EECAB5E4}">
  <dimension ref="A1:AT127"/>
  <sheetViews>
    <sheetView workbookViewId="0">
      <selection activeCell="A23" sqref="A23"/>
    </sheetView>
  </sheetViews>
  <sheetFormatPr baseColWidth="10" defaultRowHeight="16"/>
  <cols>
    <col min="1" max="1" width="10.83203125" style="7"/>
    <col min="2" max="2" width="21.6640625" style="7" customWidth="1"/>
    <col min="3" max="4" width="10.83203125" style="7"/>
    <col min="5" max="5" width="5.83203125" style="7" customWidth="1"/>
    <col min="6" max="6" width="10.83203125" style="7"/>
    <col min="7" max="7" width="7.1640625" style="7" bestFit="1" customWidth="1"/>
    <col min="8" max="8" width="8.33203125" style="7" bestFit="1" customWidth="1"/>
    <col min="9" max="9" width="7.33203125" style="7" bestFit="1" customWidth="1"/>
    <col min="10" max="10" width="12.1640625" style="7" bestFit="1" customWidth="1"/>
    <col min="11" max="11" width="7.83203125" style="7" bestFit="1" customWidth="1"/>
    <col min="12" max="12" width="10.1640625" style="7" bestFit="1" customWidth="1"/>
    <col min="13" max="13" width="5.83203125" style="7" customWidth="1"/>
    <col min="14" max="14" width="28.1640625" style="7" customWidth="1"/>
    <col min="15" max="15" width="82.1640625" style="7" bestFit="1" customWidth="1"/>
    <col min="16" max="16" width="24.33203125" style="7" bestFit="1" customWidth="1"/>
    <col min="17" max="17" width="13.5" style="7" bestFit="1" customWidth="1"/>
    <col min="18" max="18" width="7.1640625" style="7" bestFit="1" customWidth="1"/>
    <col min="19" max="19" width="7.1640625" style="10" bestFit="1" customWidth="1"/>
    <col min="20" max="20" width="12.5" style="7" bestFit="1" customWidth="1"/>
    <col min="21" max="21" width="10.83203125" style="7"/>
    <col min="22" max="22" width="5.83203125" style="7" customWidth="1"/>
    <col min="23" max="23" width="32.1640625" style="7" bestFit="1" customWidth="1"/>
    <col min="24" max="24" width="31.1640625" style="7" bestFit="1" customWidth="1"/>
    <col min="25" max="25" width="5.33203125" style="9" bestFit="1" customWidth="1"/>
    <col min="26" max="26" width="9.33203125" style="7" bestFit="1" customWidth="1"/>
    <col min="27" max="27" width="5.33203125" style="7" bestFit="1" customWidth="1"/>
    <col min="28" max="30" width="9.5" style="7" bestFit="1" customWidth="1"/>
    <col min="31" max="34" width="12" style="7" bestFit="1" customWidth="1"/>
    <col min="35" max="35" width="23.6640625" style="7" bestFit="1" customWidth="1"/>
    <col min="36" max="36" width="5.33203125" style="7" bestFit="1" customWidth="1"/>
    <col min="37" max="39" width="12.5" style="7" bestFit="1" customWidth="1"/>
    <col min="40" max="40" width="8.33203125" style="7" bestFit="1" customWidth="1"/>
    <col min="41" max="41" width="5.33203125" style="7" bestFit="1" customWidth="1"/>
    <col min="42" max="42" width="12" style="7" bestFit="1" customWidth="1"/>
    <col min="43" max="43" width="5.83203125" style="7" customWidth="1"/>
    <col min="44" max="44" width="7.83203125" style="9" bestFit="1" customWidth="1"/>
    <col min="45" max="45" width="10.83203125" style="7"/>
    <col min="46" max="46" width="91.83203125" style="7" bestFit="1" customWidth="1"/>
    <col min="47" max="16384" width="10.83203125" style="7"/>
  </cols>
  <sheetData>
    <row r="1" spans="2:44" customFormat="1">
      <c r="C1" s="32"/>
      <c r="D1" s="32"/>
      <c r="E1" s="32"/>
      <c r="G1" s="32"/>
      <c r="M1" s="32"/>
      <c r="S1" s="188"/>
      <c r="V1" s="32"/>
      <c r="Y1" s="32"/>
      <c r="AQ1" s="32"/>
      <c r="AR1" s="32"/>
    </row>
    <row r="2" spans="2:44" s="1" customFormat="1" ht="21">
      <c r="B2" s="1" t="s">
        <v>1954</v>
      </c>
      <c r="C2" s="33"/>
      <c r="D2" s="33"/>
      <c r="E2" s="33"/>
      <c r="F2" s="1" t="s">
        <v>2878</v>
      </c>
      <c r="G2" s="33"/>
      <c r="M2" s="33"/>
      <c r="S2" s="69"/>
      <c r="V2" s="33"/>
      <c r="Y2" s="33"/>
      <c r="AQ2" s="33"/>
      <c r="AR2" s="33"/>
    </row>
    <row r="3" spans="2:44" s="1" customFormat="1" ht="21">
      <c r="C3" s="33"/>
      <c r="D3" s="33"/>
      <c r="E3" s="33"/>
      <c r="G3" s="33"/>
      <c r="M3" s="33"/>
      <c r="S3" s="69"/>
      <c r="V3" s="33"/>
      <c r="Y3" s="33"/>
      <c r="AQ3" s="33"/>
      <c r="AR3" s="33"/>
    </row>
    <row r="4" spans="2:44" s="1" customFormat="1" ht="21">
      <c r="C4" s="33"/>
      <c r="D4" s="33"/>
      <c r="E4" s="33"/>
      <c r="G4" s="33"/>
      <c r="M4" s="33"/>
      <c r="S4" s="69"/>
      <c r="V4" s="33"/>
      <c r="Y4" s="33"/>
      <c r="AQ4" s="33"/>
      <c r="AR4" s="33"/>
    </row>
    <row r="5" spans="2:44" s="2" customFormat="1" ht="22" thickBot="1">
      <c r="B5" s="223" t="s">
        <v>1</v>
      </c>
      <c r="C5" s="224" t="s">
        <v>2</v>
      </c>
      <c r="D5" s="224" t="s">
        <v>3</v>
      </c>
      <c r="G5" s="3"/>
      <c r="N5" s="219" t="s">
        <v>1379</v>
      </c>
      <c r="S5" s="189"/>
      <c r="Y5" s="3"/>
      <c r="AR5" s="3"/>
    </row>
    <row r="6" spans="2:44" s="4" customFormat="1">
      <c r="N6" s="55"/>
      <c r="S6" s="190"/>
      <c r="Y6" s="6"/>
      <c r="AR6" s="6"/>
    </row>
    <row r="7" spans="2:44" ht="21">
      <c r="N7" s="82" t="s">
        <v>6</v>
      </c>
    </row>
    <row r="8" spans="2:44">
      <c r="N8" s="7" t="s">
        <v>3179</v>
      </c>
      <c r="O8" s="7" t="s">
        <v>871</v>
      </c>
    </row>
    <row r="10" spans="2:44">
      <c r="N10" s="7" t="s">
        <v>3178</v>
      </c>
    </row>
    <row r="11" spans="2:44">
      <c r="N11" s="12"/>
    </row>
    <row r="13" spans="2:44">
      <c r="B13" s="225" t="s">
        <v>1949</v>
      </c>
      <c r="C13" s="9">
        <f>SUM(AR86)</f>
        <v>2158</v>
      </c>
    </row>
    <row r="14" spans="2:44" ht="21">
      <c r="C14" s="9"/>
      <c r="N14" s="207" t="s">
        <v>3094</v>
      </c>
    </row>
    <row r="15" spans="2:44">
      <c r="B15" s="7" t="s">
        <v>3088</v>
      </c>
      <c r="C15" s="9"/>
      <c r="N15" s="12" t="s">
        <v>3181</v>
      </c>
    </row>
    <row r="16" spans="2:44">
      <c r="B16" s="7" t="s">
        <v>3087</v>
      </c>
      <c r="C16" s="13">
        <v>24500</v>
      </c>
    </row>
    <row r="27" spans="1:44" s="16" customFormat="1" ht="21">
      <c r="A27" s="15"/>
      <c r="D27" s="15"/>
      <c r="E27" s="15"/>
      <c r="F27" s="17" t="s">
        <v>17</v>
      </c>
      <c r="G27" s="15"/>
      <c r="H27" s="15"/>
      <c r="I27" s="15"/>
      <c r="J27" s="15"/>
      <c r="K27" s="15"/>
      <c r="L27" s="15"/>
      <c r="M27" s="15"/>
      <c r="N27" s="17"/>
      <c r="O27" s="17"/>
      <c r="S27" s="17"/>
      <c r="T27" s="15"/>
      <c r="U27" s="15"/>
      <c r="V27" s="15"/>
      <c r="X27" s="18"/>
      <c r="Y27" s="15"/>
      <c r="Z27" s="15"/>
      <c r="AA27" s="15"/>
      <c r="AB27" s="17"/>
      <c r="AC27" s="15"/>
      <c r="AD27" s="15"/>
      <c r="AE27" s="15"/>
      <c r="AF27" s="17"/>
      <c r="AG27" s="15"/>
      <c r="AH27" s="15"/>
      <c r="AI27" s="17"/>
      <c r="AJ27" s="15"/>
      <c r="AK27" s="17"/>
      <c r="AL27" s="15"/>
      <c r="AM27" s="15"/>
      <c r="AQ27" s="15"/>
      <c r="AR27" s="15"/>
    </row>
    <row r="28" spans="1:44" s="16" customFormat="1" ht="21">
      <c r="A28" s="15"/>
      <c r="B28" s="16" t="s">
        <v>18</v>
      </c>
      <c r="C28" s="16" t="s">
        <v>19</v>
      </c>
      <c r="D28" s="15"/>
      <c r="E28" s="15"/>
      <c r="F28" s="15" t="s">
        <v>20</v>
      </c>
      <c r="G28" s="15"/>
      <c r="H28" s="15"/>
      <c r="I28" s="15"/>
      <c r="J28" s="15"/>
      <c r="K28" s="15"/>
      <c r="L28" s="15"/>
      <c r="M28" s="15"/>
      <c r="N28" s="17"/>
      <c r="O28" s="17"/>
      <c r="S28" s="17"/>
      <c r="T28" s="15"/>
      <c r="U28" s="15"/>
      <c r="V28" s="15"/>
      <c r="X28" s="18"/>
      <c r="Y28" s="15"/>
      <c r="Z28" s="15"/>
      <c r="AA28" s="15"/>
      <c r="AB28" s="17"/>
      <c r="AC28" s="15" t="s">
        <v>21</v>
      </c>
      <c r="AD28" s="15" t="s">
        <v>21</v>
      </c>
      <c r="AE28" s="15" t="s">
        <v>21</v>
      </c>
      <c r="AF28" s="17"/>
      <c r="AG28" s="15" t="s">
        <v>22</v>
      </c>
      <c r="AH28" s="15" t="s">
        <v>22</v>
      </c>
      <c r="AI28" s="17"/>
      <c r="AJ28" s="15"/>
      <c r="AK28" s="17"/>
      <c r="AL28" s="15" t="s">
        <v>23</v>
      </c>
      <c r="AM28" s="15" t="s">
        <v>23</v>
      </c>
      <c r="AN28" s="15" t="s">
        <v>24</v>
      </c>
      <c r="AO28" s="15"/>
      <c r="AQ28" s="15"/>
      <c r="AR28" s="15"/>
    </row>
    <row r="29" spans="1:44" s="20" customFormat="1" ht="22" thickBot="1">
      <c r="A29" s="19"/>
      <c r="B29" s="20" t="s">
        <v>25</v>
      </c>
      <c r="C29" s="20" t="s">
        <v>25</v>
      </c>
      <c r="D29" s="19"/>
      <c r="E29" s="19"/>
      <c r="F29" s="19" t="s">
        <v>26</v>
      </c>
      <c r="G29" s="19" t="s">
        <v>27</v>
      </c>
      <c r="H29" s="19" t="s">
        <v>28</v>
      </c>
      <c r="I29" s="19" t="s">
        <v>29</v>
      </c>
      <c r="J29" s="19" t="s">
        <v>14</v>
      </c>
      <c r="K29" s="19" t="s">
        <v>24</v>
      </c>
      <c r="L29" s="19" t="s">
        <v>30</v>
      </c>
      <c r="M29" s="19"/>
      <c r="N29" s="21" t="s">
        <v>31</v>
      </c>
      <c r="O29" s="21" t="s">
        <v>962</v>
      </c>
      <c r="P29" s="20" t="s">
        <v>32</v>
      </c>
      <c r="Q29" s="20" t="s">
        <v>33</v>
      </c>
      <c r="R29" s="20" t="s">
        <v>34</v>
      </c>
      <c r="S29" s="21" t="s">
        <v>35</v>
      </c>
      <c r="T29" s="21" t="s">
        <v>118</v>
      </c>
      <c r="U29" s="21" t="s">
        <v>119</v>
      </c>
      <c r="V29" s="19"/>
      <c r="W29" s="20" t="s">
        <v>37</v>
      </c>
      <c r="X29" s="21" t="s">
        <v>38</v>
      </c>
      <c r="Y29" s="19" t="s">
        <v>39</v>
      </c>
      <c r="Z29" s="21" t="s">
        <v>40</v>
      </c>
      <c r="AA29" s="19" t="s">
        <v>39</v>
      </c>
      <c r="AB29" s="21" t="s">
        <v>21</v>
      </c>
      <c r="AC29" s="19" t="s">
        <v>41</v>
      </c>
      <c r="AD29" s="19" t="s">
        <v>39</v>
      </c>
      <c r="AE29" s="19" t="s">
        <v>42</v>
      </c>
      <c r="AF29" s="21" t="s">
        <v>22</v>
      </c>
      <c r="AG29" s="19" t="s">
        <v>39</v>
      </c>
      <c r="AH29" s="19" t="s">
        <v>43</v>
      </c>
      <c r="AI29" s="21" t="s">
        <v>44</v>
      </c>
      <c r="AJ29" s="19" t="s">
        <v>39</v>
      </c>
      <c r="AK29" s="21" t="s">
        <v>23</v>
      </c>
      <c r="AL29" s="19" t="s">
        <v>39</v>
      </c>
      <c r="AM29" s="19" t="s">
        <v>42</v>
      </c>
      <c r="AN29" s="19" t="s">
        <v>45</v>
      </c>
      <c r="AO29" s="20" t="s">
        <v>39</v>
      </c>
      <c r="AP29" s="19" t="s">
        <v>42</v>
      </c>
      <c r="AQ29" s="19"/>
      <c r="AR29" s="19" t="s">
        <v>46</v>
      </c>
    </row>
    <row r="30" spans="1:44" s="22" customFormat="1">
      <c r="D30" s="23"/>
      <c r="E30" s="210"/>
      <c r="F30" s="23"/>
      <c r="G30" s="23"/>
      <c r="H30" s="23"/>
      <c r="I30" s="23"/>
      <c r="J30" s="23"/>
      <c r="K30" s="25"/>
      <c r="L30" s="23"/>
      <c r="M30" s="210"/>
      <c r="S30" s="37"/>
      <c r="V30" s="210"/>
      <c r="Y30" s="23"/>
      <c r="AQ30" s="210"/>
      <c r="AR30" s="23"/>
    </row>
    <row r="31" spans="1:44" s="22" customFormat="1">
      <c r="E31" s="210"/>
      <c r="F31" s="23"/>
      <c r="G31" s="23"/>
      <c r="H31" s="23"/>
      <c r="I31" s="23"/>
      <c r="J31" s="23"/>
      <c r="K31" s="23"/>
      <c r="L31" s="23"/>
      <c r="M31" s="210"/>
      <c r="S31" s="37"/>
      <c r="V31" s="210"/>
      <c r="Y31" s="23"/>
      <c r="AQ31" s="210"/>
      <c r="AR31" s="23"/>
    </row>
    <row r="32" spans="1:44" s="22" customFormat="1">
      <c r="B32" s="22" t="s">
        <v>514</v>
      </c>
      <c r="C32" s="22" t="s">
        <v>2880</v>
      </c>
      <c r="E32" s="210"/>
      <c r="F32" s="23"/>
      <c r="G32" s="23"/>
      <c r="H32" s="23"/>
      <c r="I32" s="23"/>
      <c r="J32" s="23"/>
      <c r="K32" s="23"/>
      <c r="L32" s="23"/>
      <c r="M32" s="210"/>
      <c r="N32" s="22" t="s">
        <v>49</v>
      </c>
      <c r="O32" s="22" t="s">
        <v>2879</v>
      </c>
      <c r="Q32" s="22" t="s">
        <v>3038</v>
      </c>
      <c r="R32" s="22" t="s">
        <v>519</v>
      </c>
      <c r="S32" s="37">
        <v>43068</v>
      </c>
      <c r="T32" s="22" t="s">
        <v>3039</v>
      </c>
      <c r="V32" s="210"/>
      <c r="Y32" s="23"/>
      <c r="AQ32" s="210"/>
      <c r="AR32" s="23"/>
    </row>
    <row r="33" spans="2:46" s="22" customFormat="1">
      <c r="B33" s="22" t="s">
        <v>2976</v>
      </c>
      <c r="C33" s="22" t="s">
        <v>2975</v>
      </c>
      <c r="E33" s="210"/>
      <c r="F33" s="23"/>
      <c r="G33" s="23">
        <v>1</v>
      </c>
      <c r="H33" s="23"/>
      <c r="I33" s="23"/>
      <c r="J33" s="23"/>
      <c r="K33" s="23"/>
      <c r="L33" s="23"/>
      <c r="M33" s="210"/>
      <c r="N33" s="22" t="s">
        <v>2881</v>
      </c>
      <c r="O33" s="22" t="s">
        <v>2879</v>
      </c>
      <c r="Q33" s="22" t="s">
        <v>3038</v>
      </c>
      <c r="R33" s="22" t="s">
        <v>519</v>
      </c>
      <c r="S33" s="37">
        <v>43068</v>
      </c>
      <c r="T33" s="22" t="s">
        <v>3039</v>
      </c>
      <c r="V33" s="210"/>
      <c r="Y33" s="23"/>
      <c r="AQ33" s="210"/>
      <c r="AR33" s="23"/>
    </row>
    <row r="34" spans="2:46" s="22" customFormat="1">
      <c r="E34" s="210"/>
      <c r="F34" s="23"/>
      <c r="G34" s="23"/>
      <c r="H34" s="23"/>
      <c r="I34" s="23"/>
      <c r="J34" s="23"/>
      <c r="K34" s="23"/>
      <c r="L34" s="23"/>
      <c r="M34" s="210"/>
      <c r="S34" s="37"/>
      <c r="V34" s="210"/>
      <c r="Y34" s="23"/>
      <c r="AQ34" s="210"/>
      <c r="AR34" s="23"/>
    </row>
    <row r="35" spans="2:46" s="22" customFormat="1">
      <c r="E35" s="210"/>
      <c r="F35" s="23"/>
      <c r="G35" s="23"/>
      <c r="H35" s="23"/>
      <c r="I35" s="23"/>
      <c r="J35" s="23"/>
      <c r="K35" s="23"/>
      <c r="L35" s="23"/>
      <c r="M35" s="210"/>
      <c r="S35" s="37"/>
      <c r="V35" s="210"/>
      <c r="Y35" s="23"/>
      <c r="AQ35" s="210"/>
      <c r="AR35" s="23"/>
    </row>
    <row r="36" spans="2:46">
      <c r="E36" s="210"/>
      <c r="F36" s="9"/>
      <c r="G36" s="9"/>
      <c r="H36" s="9"/>
      <c r="I36" s="9"/>
      <c r="J36" s="9"/>
      <c r="K36" s="9"/>
      <c r="L36" s="9"/>
      <c r="M36" s="210"/>
      <c r="V36" s="210"/>
      <c r="AQ36" s="210"/>
    </row>
    <row r="37" spans="2:46">
      <c r="E37" s="210"/>
      <c r="F37" s="9"/>
      <c r="G37" s="9"/>
      <c r="H37" s="9"/>
      <c r="I37" s="9"/>
      <c r="J37" s="9"/>
      <c r="K37" s="9"/>
      <c r="L37" s="9"/>
      <c r="M37" s="210"/>
      <c r="V37" s="210"/>
      <c r="AQ37" s="210"/>
    </row>
    <row r="38" spans="2:46">
      <c r="E38" s="210"/>
      <c r="F38" s="9"/>
      <c r="G38" s="9"/>
      <c r="H38" s="9"/>
      <c r="I38" s="9"/>
      <c r="J38" s="9"/>
      <c r="K38" s="9"/>
      <c r="L38" s="9"/>
      <c r="M38" s="210"/>
      <c r="V38" s="210"/>
      <c r="AQ38" s="210"/>
    </row>
    <row r="39" spans="2:46">
      <c r="E39" s="210"/>
      <c r="F39" s="9"/>
      <c r="G39" s="9"/>
      <c r="H39" s="9"/>
      <c r="I39" s="9"/>
      <c r="J39" s="9"/>
      <c r="K39" s="9"/>
      <c r="L39" s="9"/>
      <c r="M39" s="210"/>
      <c r="V39" s="210"/>
      <c r="AQ39" s="210"/>
    </row>
    <row r="40" spans="2:46" s="22" customFormat="1">
      <c r="B40" s="95" t="s">
        <v>3089</v>
      </c>
      <c r="E40" s="210"/>
      <c r="F40" s="23"/>
      <c r="G40" s="23"/>
      <c r="H40" s="23"/>
      <c r="I40" s="23"/>
      <c r="J40" s="23"/>
      <c r="K40" s="23"/>
      <c r="L40" s="23"/>
      <c r="M40" s="210"/>
      <c r="N40" s="95" t="s">
        <v>3090</v>
      </c>
      <c r="S40" s="37"/>
      <c r="V40" s="210"/>
      <c r="Y40" s="23"/>
      <c r="AQ40" s="210"/>
      <c r="AR40" s="23"/>
    </row>
    <row r="41" spans="2:46" s="22" customFormat="1">
      <c r="B41" s="36" t="s">
        <v>255</v>
      </c>
      <c r="C41" s="22" t="s">
        <v>2977</v>
      </c>
      <c r="E41" s="210"/>
      <c r="F41" s="23">
        <v>1</v>
      </c>
      <c r="G41" s="23"/>
      <c r="H41" s="23"/>
      <c r="I41" s="23"/>
      <c r="J41" s="23"/>
      <c r="K41" s="23"/>
      <c r="L41" s="23"/>
      <c r="M41" s="210"/>
      <c r="N41" s="22" t="s">
        <v>276</v>
      </c>
      <c r="O41" s="22" t="s">
        <v>1454</v>
      </c>
      <c r="P41" s="22" t="s">
        <v>3019</v>
      </c>
      <c r="Q41" s="22" t="s">
        <v>3018</v>
      </c>
      <c r="R41" s="22" t="s">
        <v>519</v>
      </c>
      <c r="S41" s="37">
        <v>44281</v>
      </c>
      <c r="T41" s="22" t="s">
        <v>3017</v>
      </c>
      <c r="V41" s="210"/>
      <c r="W41" s="22" t="s">
        <v>2882</v>
      </c>
      <c r="X41" s="22" t="s">
        <v>2883</v>
      </c>
      <c r="Y41" s="23">
        <v>1</v>
      </c>
      <c r="AQ41" s="210"/>
      <c r="AR41" s="23"/>
      <c r="AS41" s="22" t="s">
        <v>2</v>
      </c>
      <c r="AT41" s="22" t="s">
        <v>2902</v>
      </c>
    </row>
    <row r="42" spans="2:46" s="22" customFormat="1">
      <c r="B42" s="22" t="s">
        <v>2976</v>
      </c>
      <c r="C42" s="22" t="s">
        <v>2975</v>
      </c>
      <c r="E42" s="210"/>
      <c r="F42" s="23"/>
      <c r="G42" s="23">
        <v>1</v>
      </c>
      <c r="H42" s="23"/>
      <c r="I42" s="23"/>
      <c r="J42" s="23"/>
      <c r="K42" s="23"/>
      <c r="L42" s="23"/>
      <c r="M42" s="210"/>
      <c r="N42" s="22" t="s">
        <v>276</v>
      </c>
      <c r="O42" s="22" t="s">
        <v>2884</v>
      </c>
      <c r="P42" s="22" t="s">
        <v>2885</v>
      </c>
      <c r="Q42" s="22" t="s">
        <v>3040</v>
      </c>
      <c r="R42" s="22" t="s">
        <v>419</v>
      </c>
      <c r="S42" s="37">
        <v>7201</v>
      </c>
      <c r="T42" s="22" t="s">
        <v>3050</v>
      </c>
      <c r="V42" s="210"/>
      <c r="X42" s="22" t="s">
        <v>2886</v>
      </c>
      <c r="Y42" s="23">
        <v>1</v>
      </c>
      <c r="AQ42" s="210"/>
      <c r="AR42" s="23">
        <v>120</v>
      </c>
      <c r="AS42" s="22" t="s">
        <v>2</v>
      </c>
      <c r="AT42" s="22" t="s">
        <v>2903</v>
      </c>
    </row>
    <row r="43" spans="2:46" s="22" customFormat="1">
      <c r="B43" s="22" t="s">
        <v>2979</v>
      </c>
      <c r="C43" s="22" t="s">
        <v>2978</v>
      </c>
      <c r="E43" s="210"/>
      <c r="F43" s="23">
        <v>1</v>
      </c>
      <c r="G43" s="23"/>
      <c r="H43" s="23"/>
      <c r="I43" s="23"/>
      <c r="J43" s="23"/>
      <c r="K43" s="23"/>
      <c r="L43" s="23"/>
      <c r="M43" s="210"/>
      <c r="N43" s="22" t="s">
        <v>276</v>
      </c>
      <c r="O43" s="22" t="s">
        <v>2887</v>
      </c>
      <c r="P43" s="22" t="s">
        <v>2888</v>
      </c>
      <c r="Q43" s="22" t="s">
        <v>3041</v>
      </c>
      <c r="R43" s="22" t="s">
        <v>437</v>
      </c>
      <c r="S43" s="37">
        <v>13440</v>
      </c>
      <c r="T43" s="22" t="s">
        <v>2889</v>
      </c>
      <c r="V43" s="210"/>
      <c r="W43" s="22" t="s">
        <v>2890</v>
      </c>
      <c r="Y43" s="23"/>
      <c r="AI43" s="22" t="s">
        <v>2891</v>
      </c>
      <c r="AJ43" s="22">
        <v>1</v>
      </c>
      <c r="AQ43" s="210"/>
      <c r="AR43" s="23"/>
      <c r="AS43" s="22" t="s">
        <v>2</v>
      </c>
      <c r="AT43" s="22" t="s">
        <v>2904</v>
      </c>
    </row>
    <row r="44" spans="2:46" s="22" customFormat="1">
      <c r="B44" s="22" t="s">
        <v>2896</v>
      </c>
      <c r="C44" s="22" t="s">
        <v>2897</v>
      </c>
      <c r="E44" s="210"/>
      <c r="F44" s="23"/>
      <c r="G44" s="23"/>
      <c r="H44" s="23">
        <v>1</v>
      </c>
      <c r="I44" s="23"/>
      <c r="J44" s="23"/>
      <c r="K44" s="23"/>
      <c r="L44" s="23"/>
      <c r="M44" s="210"/>
      <c r="N44" s="22" t="s">
        <v>276</v>
      </c>
      <c r="O44" s="22" t="s">
        <v>2892</v>
      </c>
      <c r="P44" s="22" t="s">
        <v>2894</v>
      </c>
      <c r="Q44" s="22" t="s">
        <v>3042</v>
      </c>
      <c r="R44" s="22" t="s">
        <v>566</v>
      </c>
      <c r="S44" s="37">
        <v>688</v>
      </c>
      <c r="T44" s="22" t="s">
        <v>2895</v>
      </c>
      <c r="V44" s="210"/>
      <c r="W44" s="22" t="s">
        <v>2893</v>
      </c>
      <c r="Y44" s="23"/>
      <c r="AQ44" s="210"/>
      <c r="AR44" s="23"/>
      <c r="AS44" s="22" t="s">
        <v>2</v>
      </c>
    </row>
    <row r="45" spans="2:46" s="22" customFormat="1">
      <c r="B45" s="22" t="s">
        <v>1743</v>
      </c>
      <c r="C45" s="22" t="s">
        <v>2980</v>
      </c>
      <c r="E45" s="210"/>
      <c r="F45" s="23"/>
      <c r="G45" s="23"/>
      <c r="H45" s="23"/>
      <c r="I45" s="23"/>
      <c r="J45" s="23"/>
      <c r="K45" s="23"/>
      <c r="L45" s="23"/>
      <c r="M45" s="210"/>
      <c r="N45" s="22" t="s">
        <v>276</v>
      </c>
      <c r="O45" s="22" t="s">
        <v>2898</v>
      </c>
      <c r="P45" s="22" t="s">
        <v>3021</v>
      </c>
      <c r="Q45" s="22" t="s">
        <v>3020</v>
      </c>
      <c r="R45" s="22" t="s">
        <v>551</v>
      </c>
      <c r="S45" s="37">
        <v>32720</v>
      </c>
      <c r="T45" s="22" t="s">
        <v>3051</v>
      </c>
      <c r="V45" s="210"/>
      <c r="W45" s="22" t="s">
        <v>2899</v>
      </c>
      <c r="X45" s="36" t="s">
        <v>2900</v>
      </c>
      <c r="Y45" s="23">
        <v>1</v>
      </c>
      <c r="AQ45" s="210"/>
      <c r="AR45" s="23">
        <v>93</v>
      </c>
      <c r="AS45" s="22" t="s">
        <v>2</v>
      </c>
      <c r="AT45" s="22" t="s">
        <v>2901</v>
      </c>
    </row>
    <row r="46" spans="2:46" s="22" customFormat="1">
      <c r="B46" s="22" t="s">
        <v>255</v>
      </c>
      <c r="C46" s="22" t="s">
        <v>2981</v>
      </c>
      <c r="E46" s="210"/>
      <c r="F46" s="23">
        <v>1</v>
      </c>
      <c r="G46" s="23"/>
      <c r="H46" s="23"/>
      <c r="I46" s="23"/>
      <c r="J46" s="23"/>
      <c r="K46" s="23"/>
      <c r="L46" s="23"/>
      <c r="M46" s="210"/>
      <c r="N46" s="22" t="s">
        <v>276</v>
      </c>
      <c r="O46" s="22" t="s">
        <v>2905</v>
      </c>
      <c r="P46" s="22" t="s">
        <v>2907</v>
      </c>
      <c r="Q46" s="22" t="s">
        <v>3043</v>
      </c>
      <c r="R46" s="22" t="s">
        <v>543</v>
      </c>
      <c r="S46" s="37">
        <v>15767</v>
      </c>
      <c r="T46" s="22" t="s">
        <v>3052</v>
      </c>
      <c r="V46" s="210"/>
      <c r="W46" s="22" t="s">
        <v>2906</v>
      </c>
      <c r="X46" s="36" t="s">
        <v>2909</v>
      </c>
      <c r="Y46" s="23">
        <v>1</v>
      </c>
      <c r="AQ46" s="210"/>
      <c r="AR46" s="23">
        <v>130</v>
      </c>
      <c r="AS46" s="22" t="s">
        <v>2</v>
      </c>
      <c r="AT46" s="22" t="s">
        <v>2908</v>
      </c>
    </row>
    <row r="47" spans="2:46" s="22" customFormat="1">
      <c r="B47" s="36" t="s">
        <v>1328</v>
      </c>
      <c r="C47" s="22" t="s">
        <v>2584</v>
      </c>
      <c r="E47" s="210"/>
      <c r="F47" s="23">
        <v>1</v>
      </c>
      <c r="G47" s="23"/>
      <c r="H47" s="23"/>
      <c r="I47" s="23"/>
      <c r="J47" s="23"/>
      <c r="K47" s="23"/>
      <c r="L47" s="23"/>
      <c r="M47" s="210"/>
      <c r="N47" s="22" t="s">
        <v>276</v>
      </c>
      <c r="O47" s="22" t="s">
        <v>2910</v>
      </c>
      <c r="P47" s="22" t="s">
        <v>3037</v>
      </c>
      <c r="Q47" s="22" t="s">
        <v>3044</v>
      </c>
      <c r="R47" s="22" t="s">
        <v>300</v>
      </c>
      <c r="S47" s="37">
        <v>95695</v>
      </c>
      <c r="T47" s="36" t="s">
        <v>3053</v>
      </c>
      <c r="V47" s="210"/>
      <c r="W47" s="22" t="s">
        <v>2911</v>
      </c>
      <c r="Y47" s="23"/>
      <c r="AQ47" s="210"/>
      <c r="AR47" s="23">
        <v>102</v>
      </c>
      <c r="AS47" s="22" t="s">
        <v>2</v>
      </c>
      <c r="AT47" s="22" t="s">
        <v>2912</v>
      </c>
    </row>
    <row r="48" spans="2:46" s="22" customFormat="1">
      <c r="B48" s="22" t="s">
        <v>125</v>
      </c>
      <c r="C48" s="22" t="s">
        <v>2982</v>
      </c>
      <c r="E48" s="210"/>
      <c r="F48" s="23">
        <v>1</v>
      </c>
      <c r="G48" s="23"/>
      <c r="H48" s="23"/>
      <c r="I48" s="23"/>
      <c r="J48" s="23"/>
      <c r="K48" s="23"/>
      <c r="L48" s="23"/>
      <c r="M48" s="210"/>
      <c r="N48" s="22" t="s">
        <v>276</v>
      </c>
      <c r="O48" s="22" t="s">
        <v>2913</v>
      </c>
      <c r="P48" s="22" t="s">
        <v>3024</v>
      </c>
      <c r="Q48" s="22" t="s">
        <v>3022</v>
      </c>
      <c r="R48" s="22" t="s">
        <v>1256</v>
      </c>
      <c r="S48" s="37">
        <v>21702</v>
      </c>
      <c r="V48" s="210"/>
      <c r="W48" s="22" t="s">
        <v>2915</v>
      </c>
      <c r="Y48" s="23"/>
      <c r="AQ48" s="210"/>
      <c r="AR48" s="23">
        <v>50</v>
      </c>
      <c r="AS48" s="22" t="s">
        <v>2</v>
      </c>
      <c r="AT48" s="22" t="s">
        <v>2914</v>
      </c>
    </row>
    <row r="49" spans="2:46" s="22" customFormat="1">
      <c r="B49" s="22" t="s">
        <v>2983</v>
      </c>
      <c r="C49" s="22" t="s">
        <v>2984</v>
      </c>
      <c r="E49" s="210"/>
      <c r="F49" s="23">
        <v>1</v>
      </c>
      <c r="G49" s="23"/>
      <c r="H49" s="23"/>
      <c r="I49" s="23"/>
      <c r="J49" s="23"/>
      <c r="K49" s="23"/>
      <c r="L49" s="23"/>
      <c r="M49" s="210"/>
      <c r="N49" s="22" t="s">
        <v>276</v>
      </c>
      <c r="O49" s="22" t="s">
        <v>2194</v>
      </c>
      <c r="P49" s="22" t="s">
        <v>3025</v>
      </c>
      <c r="Q49" s="22" t="s">
        <v>3023</v>
      </c>
      <c r="R49" s="22" t="s">
        <v>389</v>
      </c>
      <c r="S49" s="37">
        <v>55375</v>
      </c>
      <c r="T49" s="22" t="s">
        <v>3054</v>
      </c>
      <c r="V49" s="210"/>
      <c r="W49" s="22" t="s">
        <v>2916</v>
      </c>
      <c r="Y49" s="23"/>
      <c r="AQ49" s="210"/>
      <c r="AR49" s="23">
        <v>92</v>
      </c>
      <c r="AS49" s="22" t="s">
        <v>2</v>
      </c>
      <c r="AT49" s="22" t="s">
        <v>2917</v>
      </c>
    </row>
    <row r="50" spans="2:46" s="22" customFormat="1">
      <c r="B50" s="36" t="s">
        <v>2985</v>
      </c>
      <c r="C50" s="22" t="s">
        <v>2986</v>
      </c>
      <c r="E50" s="210"/>
      <c r="F50" s="23">
        <v>1</v>
      </c>
      <c r="G50" s="23"/>
      <c r="H50" s="23"/>
      <c r="I50" s="23"/>
      <c r="J50" s="23"/>
      <c r="K50" s="23"/>
      <c r="L50" s="23"/>
      <c r="M50" s="210"/>
      <c r="N50" s="22" t="s">
        <v>276</v>
      </c>
      <c r="O50" s="22" t="s">
        <v>2203</v>
      </c>
      <c r="R50" s="22" t="s">
        <v>62</v>
      </c>
      <c r="S50" s="37"/>
      <c r="V50" s="210"/>
      <c r="W50" s="22" t="s">
        <v>2918</v>
      </c>
      <c r="X50" s="22" t="s">
        <v>2919</v>
      </c>
      <c r="Y50" s="23">
        <v>1</v>
      </c>
      <c r="AQ50" s="210"/>
      <c r="AR50" s="23">
        <v>57</v>
      </c>
      <c r="AS50" s="22" t="s">
        <v>2</v>
      </c>
      <c r="AT50" s="22" t="s">
        <v>2920</v>
      </c>
    </row>
    <row r="51" spans="2:46" s="22" customFormat="1">
      <c r="B51" s="22" t="s">
        <v>255</v>
      </c>
      <c r="C51" s="22" t="s">
        <v>2897</v>
      </c>
      <c r="E51" s="210"/>
      <c r="F51" s="23"/>
      <c r="G51" s="23"/>
      <c r="H51" s="23"/>
      <c r="I51" s="23"/>
      <c r="J51" s="23"/>
      <c r="K51" s="23"/>
      <c r="L51" s="23"/>
      <c r="M51" s="210"/>
      <c r="N51" s="22" t="s">
        <v>276</v>
      </c>
      <c r="O51" s="22" t="s">
        <v>2921</v>
      </c>
      <c r="P51" s="36" t="s">
        <v>3027</v>
      </c>
      <c r="Q51" s="22" t="s">
        <v>3026</v>
      </c>
      <c r="R51" s="22" t="s">
        <v>56</v>
      </c>
      <c r="S51" s="37">
        <v>760002</v>
      </c>
      <c r="V51" s="210"/>
      <c r="W51" s="22" t="s">
        <v>2922</v>
      </c>
      <c r="Y51" s="23"/>
      <c r="AQ51" s="210"/>
      <c r="AR51" s="23"/>
      <c r="AT51" s="22" t="s">
        <v>2923</v>
      </c>
    </row>
    <row r="52" spans="2:46" s="22" customFormat="1">
      <c r="B52" s="22" t="s">
        <v>58</v>
      </c>
      <c r="C52" s="22" t="s">
        <v>2106</v>
      </c>
      <c r="E52" s="210"/>
      <c r="F52" s="23">
        <v>1</v>
      </c>
      <c r="G52" s="23"/>
      <c r="H52" s="23"/>
      <c r="I52" s="23"/>
      <c r="J52" s="23"/>
      <c r="K52" s="23"/>
      <c r="L52" s="23"/>
      <c r="M52" s="210"/>
      <c r="N52" s="22" t="s">
        <v>276</v>
      </c>
      <c r="O52" s="22" t="s">
        <v>2924</v>
      </c>
      <c r="P52" s="22" t="s">
        <v>2926</v>
      </c>
      <c r="Q52" s="22" t="s">
        <v>3045</v>
      </c>
      <c r="R52" s="22" t="s">
        <v>543</v>
      </c>
      <c r="S52" s="37">
        <v>17057</v>
      </c>
      <c r="T52" s="22" t="s">
        <v>3055</v>
      </c>
      <c r="V52" s="210"/>
      <c r="W52" s="22" t="s">
        <v>2927</v>
      </c>
      <c r="X52" s="22" t="s">
        <v>2925</v>
      </c>
      <c r="Y52" s="23">
        <v>1</v>
      </c>
      <c r="AQ52" s="210"/>
      <c r="AR52" s="23">
        <v>86</v>
      </c>
      <c r="AS52" s="22" t="s">
        <v>2</v>
      </c>
      <c r="AT52" s="22" t="s">
        <v>2928</v>
      </c>
    </row>
    <row r="53" spans="2:46" s="22" customFormat="1">
      <c r="B53" s="22" t="s">
        <v>394</v>
      </c>
      <c r="C53" s="22" t="s">
        <v>2994</v>
      </c>
      <c r="E53" s="210"/>
      <c r="F53" s="23">
        <v>1</v>
      </c>
      <c r="G53" s="23"/>
      <c r="H53" s="23"/>
      <c r="I53" s="23"/>
      <c r="J53" s="23"/>
      <c r="K53" s="23"/>
      <c r="L53" s="23"/>
      <c r="M53" s="210"/>
      <c r="N53" s="22" t="s">
        <v>276</v>
      </c>
      <c r="O53" s="22" t="s">
        <v>2188</v>
      </c>
      <c r="P53" s="22" t="s">
        <v>3029</v>
      </c>
      <c r="Q53" s="22" t="s">
        <v>3028</v>
      </c>
      <c r="R53" s="22" t="s">
        <v>344</v>
      </c>
      <c r="S53" s="37">
        <v>46123</v>
      </c>
      <c r="T53" s="36" t="s">
        <v>3056</v>
      </c>
      <c r="V53" s="210"/>
      <c r="W53" s="22" t="s">
        <v>2929</v>
      </c>
      <c r="X53" s="22" t="s">
        <v>2930</v>
      </c>
      <c r="Y53" s="23">
        <v>1</v>
      </c>
      <c r="AQ53" s="210"/>
      <c r="AR53" s="23">
        <v>69</v>
      </c>
      <c r="AS53" s="22" t="s">
        <v>2</v>
      </c>
      <c r="AT53" s="22" t="s">
        <v>2931</v>
      </c>
    </row>
    <row r="54" spans="2:46" s="22" customFormat="1">
      <c r="B54" s="22" t="s">
        <v>375</v>
      </c>
      <c r="C54" s="22" t="s">
        <v>607</v>
      </c>
      <c r="E54" s="210"/>
      <c r="F54" s="23">
        <v>1</v>
      </c>
      <c r="G54" s="23"/>
      <c r="H54" s="23"/>
      <c r="I54" s="23"/>
      <c r="J54" s="23"/>
      <c r="K54" s="23"/>
      <c r="L54" s="23"/>
      <c r="M54" s="210"/>
      <c r="N54" s="22" t="s">
        <v>276</v>
      </c>
      <c r="O54" s="22" t="s">
        <v>2932</v>
      </c>
      <c r="P54" s="22" t="s">
        <v>2934</v>
      </c>
      <c r="Q54" s="22" t="s">
        <v>3046</v>
      </c>
      <c r="R54" s="22" t="s">
        <v>362</v>
      </c>
      <c r="S54" s="37">
        <v>40514</v>
      </c>
      <c r="T54" s="22" t="s">
        <v>3057</v>
      </c>
      <c r="V54" s="210"/>
      <c r="W54" s="22" t="s">
        <v>2933</v>
      </c>
      <c r="Y54" s="23"/>
      <c r="AQ54" s="210"/>
      <c r="AR54" s="23"/>
      <c r="AS54" s="22" t="s">
        <v>2</v>
      </c>
      <c r="AT54" s="22" t="s">
        <v>2935</v>
      </c>
    </row>
    <row r="55" spans="2:46" s="22" customFormat="1">
      <c r="B55" s="22" t="s">
        <v>2993</v>
      </c>
      <c r="C55" s="22" t="s">
        <v>2995</v>
      </c>
      <c r="E55" s="210"/>
      <c r="F55" s="23">
        <v>1</v>
      </c>
      <c r="G55" s="23"/>
      <c r="H55" s="23"/>
      <c r="I55" s="23"/>
      <c r="J55" s="23"/>
      <c r="K55" s="23"/>
      <c r="L55" s="23"/>
      <c r="M55" s="210"/>
      <c r="N55" s="22" t="s">
        <v>276</v>
      </c>
      <c r="O55" s="22" t="s">
        <v>2936</v>
      </c>
      <c r="P55" s="22" t="s">
        <v>2937</v>
      </c>
      <c r="Q55" s="22" t="s">
        <v>2135</v>
      </c>
      <c r="R55" s="22" t="s">
        <v>663</v>
      </c>
      <c r="S55" s="37">
        <v>30329</v>
      </c>
      <c r="T55" s="36" t="s">
        <v>2938</v>
      </c>
      <c r="V55" s="210"/>
      <c r="W55" s="22" t="s">
        <v>2939</v>
      </c>
      <c r="Y55" s="23"/>
      <c r="AQ55" s="210"/>
      <c r="AR55" s="23"/>
      <c r="AS55" s="22" t="s">
        <v>2</v>
      </c>
      <c r="AT55" s="22" t="s">
        <v>2940</v>
      </c>
    </row>
    <row r="56" spans="2:46" s="22" customFormat="1">
      <c r="B56" s="36" t="s">
        <v>2987</v>
      </c>
      <c r="C56" s="22" t="s">
        <v>2988</v>
      </c>
      <c r="E56" s="210"/>
      <c r="F56" s="23">
        <v>1</v>
      </c>
      <c r="G56" s="23"/>
      <c r="H56" s="23"/>
      <c r="I56" s="23"/>
      <c r="J56" s="23"/>
      <c r="K56" s="23"/>
      <c r="L56" s="23"/>
      <c r="M56" s="210"/>
      <c r="N56" s="22" t="s">
        <v>276</v>
      </c>
      <c r="O56" s="22" t="s">
        <v>2941</v>
      </c>
      <c r="P56" s="22" t="s">
        <v>3031</v>
      </c>
      <c r="Q56" s="22" t="s">
        <v>2132</v>
      </c>
      <c r="R56" s="22" t="s">
        <v>412</v>
      </c>
      <c r="S56" s="37">
        <v>68144</v>
      </c>
      <c r="T56" s="22" t="s">
        <v>2943</v>
      </c>
      <c r="V56" s="210"/>
      <c r="W56" s="22" t="s">
        <v>2942</v>
      </c>
      <c r="Y56" s="23"/>
      <c r="AQ56" s="210"/>
      <c r="AR56" s="23">
        <v>64</v>
      </c>
      <c r="AS56" s="22" t="s">
        <v>2</v>
      </c>
      <c r="AT56" s="22" t="s">
        <v>2944</v>
      </c>
    </row>
    <row r="57" spans="2:46" s="22" customFormat="1">
      <c r="B57" s="22" t="s">
        <v>667</v>
      </c>
      <c r="C57" s="22" t="s">
        <v>814</v>
      </c>
      <c r="E57" s="210"/>
      <c r="F57" s="23"/>
      <c r="G57" s="23"/>
      <c r="H57" s="23"/>
      <c r="I57" s="23"/>
      <c r="J57" s="23"/>
      <c r="K57" s="23">
        <v>1</v>
      </c>
      <c r="L57" s="23"/>
      <c r="M57" s="210"/>
      <c r="N57" s="22" t="s">
        <v>276</v>
      </c>
      <c r="O57" s="22" t="s">
        <v>2181</v>
      </c>
      <c r="P57" s="36" t="s">
        <v>3032</v>
      </c>
      <c r="Q57" s="22" t="s">
        <v>3030</v>
      </c>
      <c r="R57" s="22" t="s">
        <v>380</v>
      </c>
      <c r="S57" s="37">
        <v>48104</v>
      </c>
      <c r="T57" s="22" t="s">
        <v>2948</v>
      </c>
      <c r="V57" s="210"/>
      <c r="W57" s="22" t="s">
        <v>2945</v>
      </c>
      <c r="X57" s="22" t="s">
        <v>2946</v>
      </c>
      <c r="Y57" s="23">
        <v>1</v>
      </c>
      <c r="AQ57" s="210"/>
      <c r="AR57" s="23">
        <v>38</v>
      </c>
      <c r="AS57" s="22" t="s">
        <v>2</v>
      </c>
      <c r="AT57" s="22" t="s">
        <v>2947</v>
      </c>
    </row>
    <row r="58" spans="2:46" s="22" customFormat="1">
      <c r="B58" s="22" t="s">
        <v>2634</v>
      </c>
      <c r="C58" s="22" t="s">
        <v>2989</v>
      </c>
      <c r="E58" s="210"/>
      <c r="F58" s="23"/>
      <c r="G58" s="23"/>
      <c r="H58" s="23"/>
      <c r="I58" s="23"/>
      <c r="J58" s="23">
        <v>1</v>
      </c>
      <c r="K58" s="23"/>
      <c r="L58" s="23"/>
      <c r="M58" s="210"/>
      <c r="N58" s="22" t="s">
        <v>276</v>
      </c>
      <c r="O58" s="22" t="s">
        <v>2191</v>
      </c>
      <c r="P58" s="22" t="s">
        <v>2949</v>
      </c>
      <c r="Q58" s="22" t="s">
        <v>3047</v>
      </c>
      <c r="R58" s="22" t="s">
        <v>618</v>
      </c>
      <c r="S58" s="37">
        <v>2375</v>
      </c>
      <c r="T58" s="36" t="s">
        <v>2950</v>
      </c>
      <c r="V58" s="210"/>
      <c r="W58" s="22" t="s">
        <v>2952</v>
      </c>
      <c r="X58" s="22" t="s">
        <v>2951</v>
      </c>
      <c r="Y58" s="23">
        <v>1</v>
      </c>
      <c r="AQ58" s="210"/>
      <c r="AR58" s="23">
        <v>66</v>
      </c>
      <c r="AS58" s="22" t="s">
        <v>2</v>
      </c>
      <c r="AT58" s="22" t="s">
        <v>2953</v>
      </c>
    </row>
    <row r="59" spans="2:46" s="22" customFormat="1">
      <c r="B59" s="22" t="s">
        <v>2990</v>
      </c>
      <c r="C59" s="22" t="s">
        <v>2267</v>
      </c>
      <c r="E59" s="210"/>
      <c r="F59" s="23">
        <v>1</v>
      </c>
      <c r="G59" s="23"/>
      <c r="H59" s="23"/>
      <c r="I59" s="23"/>
      <c r="J59" s="23"/>
      <c r="K59" s="23"/>
      <c r="L59" s="23"/>
      <c r="M59" s="210"/>
      <c r="N59" s="22" t="s">
        <v>276</v>
      </c>
      <c r="O59" s="22" t="s">
        <v>2954</v>
      </c>
      <c r="P59" s="22" t="s">
        <v>2956</v>
      </c>
      <c r="Q59" s="22" t="s">
        <v>500</v>
      </c>
      <c r="R59" s="22" t="s">
        <v>51</v>
      </c>
      <c r="S59" s="37">
        <v>97220</v>
      </c>
      <c r="T59" s="36" t="s">
        <v>3058</v>
      </c>
      <c r="V59" s="210"/>
      <c r="W59" s="22" t="s">
        <v>2955</v>
      </c>
      <c r="Y59" s="23"/>
      <c r="AQ59" s="210"/>
      <c r="AR59" s="23">
        <v>112</v>
      </c>
      <c r="AS59" s="22" t="s">
        <v>2</v>
      </c>
      <c r="AT59" s="22" t="s">
        <v>2957</v>
      </c>
    </row>
    <row r="60" spans="2:46" s="22" customFormat="1">
      <c r="B60" s="22" t="s">
        <v>255</v>
      </c>
      <c r="C60" s="22" t="s">
        <v>2605</v>
      </c>
      <c r="E60" s="210"/>
      <c r="F60" s="23">
        <v>1</v>
      </c>
      <c r="G60" s="23"/>
      <c r="H60" s="23"/>
      <c r="I60" s="23"/>
      <c r="J60" s="23"/>
      <c r="K60" s="23"/>
      <c r="L60" s="23"/>
      <c r="M60" s="210"/>
      <c r="N60" s="22" t="s">
        <v>276</v>
      </c>
      <c r="O60" s="22" t="s">
        <v>2958</v>
      </c>
      <c r="P60" s="36" t="s">
        <v>3033</v>
      </c>
      <c r="Q60" s="22" t="s">
        <v>2690</v>
      </c>
      <c r="R60" s="22" t="s">
        <v>300</v>
      </c>
      <c r="S60" s="37">
        <v>92590</v>
      </c>
      <c r="T60" s="36" t="s">
        <v>3059</v>
      </c>
      <c r="V60" s="210"/>
      <c r="W60" s="22" t="s">
        <v>2959</v>
      </c>
      <c r="X60" s="22" t="s">
        <v>2960</v>
      </c>
      <c r="Y60" s="23">
        <v>1</v>
      </c>
      <c r="AQ60" s="210"/>
      <c r="AR60" s="23"/>
      <c r="AT60" s="22" t="s">
        <v>2961</v>
      </c>
    </row>
    <row r="61" spans="2:46" s="22" customFormat="1">
      <c r="B61" s="22" t="s">
        <v>375</v>
      </c>
      <c r="C61" s="22" t="s">
        <v>2253</v>
      </c>
      <c r="E61" s="210"/>
      <c r="F61" s="23"/>
      <c r="G61" s="23"/>
      <c r="H61" s="23"/>
      <c r="I61" s="23"/>
      <c r="J61" s="23">
        <v>1</v>
      </c>
      <c r="K61" s="23"/>
      <c r="L61" s="23"/>
      <c r="M61" s="210"/>
      <c r="N61" s="22" t="s">
        <v>276</v>
      </c>
      <c r="O61" s="22" t="s">
        <v>2962</v>
      </c>
      <c r="P61" s="36" t="s">
        <v>2964</v>
      </c>
      <c r="Q61" s="36" t="s">
        <v>3048</v>
      </c>
      <c r="R61" s="22" t="s">
        <v>646</v>
      </c>
      <c r="S61" s="37">
        <v>54914</v>
      </c>
      <c r="T61" s="36" t="s">
        <v>3060</v>
      </c>
      <c r="V61" s="210"/>
      <c r="W61" s="22" t="s">
        <v>2963</v>
      </c>
      <c r="Y61" s="23"/>
      <c r="AQ61" s="210"/>
      <c r="AR61" s="23"/>
    </row>
    <row r="62" spans="2:46" s="22" customFormat="1">
      <c r="B62" s="22" t="s">
        <v>2991</v>
      </c>
      <c r="C62" s="22" t="s">
        <v>2992</v>
      </c>
      <c r="E62" s="210"/>
      <c r="F62" s="23"/>
      <c r="G62" s="23"/>
      <c r="H62" s="23"/>
      <c r="I62" s="23">
        <v>1</v>
      </c>
      <c r="J62" s="23"/>
      <c r="K62" s="23"/>
      <c r="L62" s="23"/>
      <c r="M62" s="210"/>
      <c r="N62" s="22" t="s">
        <v>276</v>
      </c>
      <c r="O62" s="22" t="s">
        <v>2966</v>
      </c>
      <c r="P62" s="22" t="s">
        <v>2967</v>
      </c>
      <c r="Q62" s="22" t="s">
        <v>2667</v>
      </c>
      <c r="R62" s="22" t="s">
        <v>67</v>
      </c>
      <c r="S62" s="37">
        <v>80241</v>
      </c>
      <c r="T62" s="37" t="s">
        <v>3061</v>
      </c>
      <c r="V62" s="210"/>
      <c r="W62" s="22" t="s">
        <v>2965</v>
      </c>
      <c r="Y62" s="23"/>
      <c r="AQ62" s="210"/>
      <c r="AR62" s="23"/>
    </row>
    <row r="63" spans="2:46" s="22" customFormat="1">
      <c r="E63" s="210"/>
      <c r="F63" s="23"/>
      <c r="G63" s="23"/>
      <c r="H63" s="23"/>
      <c r="I63" s="23"/>
      <c r="J63" s="23"/>
      <c r="K63" s="23"/>
      <c r="L63" s="23"/>
      <c r="M63" s="210"/>
      <c r="N63" s="22" t="s">
        <v>276</v>
      </c>
      <c r="O63" s="22" t="s">
        <v>1455</v>
      </c>
      <c r="P63" s="22" t="s">
        <v>3035</v>
      </c>
      <c r="Q63" s="22" t="s">
        <v>3034</v>
      </c>
      <c r="R63" s="22" t="s">
        <v>419</v>
      </c>
      <c r="S63" s="37">
        <v>7660</v>
      </c>
      <c r="T63" s="22" t="s">
        <v>2969</v>
      </c>
      <c r="V63" s="210"/>
      <c r="W63" s="22" t="s">
        <v>2968</v>
      </c>
      <c r="Y63" s="23"/>
      <c r="AQ63" s="210"/>
      <c r="AR63" s="23"/>
    </row>
    <row r="64" spans="2:46" s="22" customFormat="1">
      <c r="E64" s="210"/>
      <c r="F64" s="23"/>
      <c r="G64" s="23"/>
      <c r="H64" s="23"/>
      <c r="I64" s="23"/>
      <c r="J64" s="23"/>
      <c r="K64" s="23"/>
      <c r="L64" s="23"/>
      <c r="M64" s="210"/>
      <c r="N64" s="22" t="s">
        <v>276</v>
      </c>
      <c r="O64" s="22" t="s">
        <v>1459</v>
      </c>
      <c r="P64" s="22" t="s">
        <v>2971</v>
      </c>
      <c r="Q64" s="22" t="s">
        <v>3040</v>
      </c>
      <c r="R64" s="22" t="s">
        <v>419</v>
      </c>
      <c r="S64" s="37">
        <v>7201</v>
      </c>
      <c r="T64" s="36" t="s">
        <v>3062</v>
      </c>
      <c r="V64" s="210"/>
      <c r="W64" s="22" t="s">
        <v>2970</v>
      </c>
      <c r="Y64" s="23"/>
      <c r="AQ64" s="210"/>
      <c r="AR64" s="23"/>
    </row>
    <row r="65" spans="2:45" s="22" customFormat="1">
      <c r="E65" s="210"/>
      <c r="F65" s="23"/>
      <c r="G65" s="23"/>
      <c r="H65" s="23"/>
      <c r="I65" s="23"/>
      <c r="J65" s="23"/>
      <c r="K65" s="23"/>
      <c r="L65" s="23"/>
      <c r="M65" s="210"/>
      <c r="N65" s="22" t="s">
        <v>276</v>
      </c>
      <c r="O65" s="22" t="s">
        <v>2973</v>
      </c>
      <c r="P65" s="22" t="s">
        <v>3036</v>
      </c>
      <c r="Q65" s="22" t="s">
        <v>3049</v>
      </c>
      <c r="R65" s="22" t="s">
        <v>300</v>
      </c>
      <c r="S65" s="37">
        <v>92801</v>
      </c>
      <c r="T65" s="22" t="s">
        <v>3063</v>
      </c>
      <c r="V65" s="210"/>
      <c r="W65" s="22" t="s">
        <v>2972</v>
      </c>
      <c r="Y65" s="23"/>
      <c r="AQ65" s="210"/>
      <c r="AR65" s="23"/>
    </row>
    <row r="66" spans="2:45" s="22" customFormat="1">
      <c r="E66" s="210"/>
      <c r="F66" s="23"/>
      <c r="G66" s="23"/>
      <c r="H66" s="23"/>
      <c r="I66" s="23"/>
      <c r="J66" s="23"/>
      <c r="K66" s="23"/>
      <c r="L66" s="23"/>
      <c r="M66" s="210"/>
      <c r="S66" s="37"/>
      <c r="V66" s="210"/>
      <c r="Y66" s="23"/>
      <c r="AQ66" s="210"/>
      <c r="AR66" s="23">
        <f>SUM(AR41:AR65)</f>
        <v>1079</v>
      </c>
      <c r="AS66" s="22" t="s">
        <v>2</v>
      </c>
    </row>
    <row r="67" spans="2:45" s="22" customFormat="1">
      <c r="E67" s="210"/>
      <c r="F67" s="23"/>
      <c r="G67" s="23"/>
      <c r="H67" s="23"/>
      <c r="I67" s="23"/>
      <c r="J67" s="23"/>
      <c r="K67" s="23"/>
      <c r="L67" s="23"/>
      <c r="M67" s="210"/>
      <c r="S67" s="37"/>
      <c r="V67" s="210"/>
      <c r="Y67" s="23"/>
      <c r="AQ67" s="210"/>
      <c r="AR67" s="23"/>
    </row>
    <row r="68" spans="2:45" s="22" customFormat="1">
      <c r="E68" s="210"/>
      <c r="F68" s="23"/>
      <c r="G68" s="23"/>
      <c r="H68" s="23"/>
      <c r="I68" s="23"/>
      <c r="J68" s="23"/>
      <c r="K68" s="23"/>
      <c r="L68" s="23"/>
      <c r="M68" s="210"/>
      <c r="S68" s="37"/>
      <c r="V68" s="210"/>
      <c r="Y68" s="23"/>
      <c r="AQ68" s="210"/>
      <c r="AR68" s="23"/>
    </row>
    <row r="69" spans="2:45" s="22" customFormat="1">
      <c r="E69" s="210"/>
      <c r="F69" s="23"/>
      <c r="G69" s="23"/>
      <c r="H69" s="23"/>
      <c r="I69" s="23"/>
      <c r="J69" s="23"/>
      <c r="K69" s="23"/>
      <c r="L69" s="23"/>
      <c r="M69" s="210"/>
      <c r="S69" s="37"/>
      <c r="V69" s="210"/>
      <c r="Y69" s="23"/>
      <c r="AQ69" s="210"/>
      <c r="AR69" s="23"/>
    </row>
    <row r="70" spans="2:45" s="22" customFormat="1">
      <c r="B70" s="95" t="s">
        <v>3089</v>
      </c>
      <c r="E70" s="210"/>
      <c r="F70" s="23"/>
      <c r="G70" s="23"/>
      <c r="H70" s="23"/>
      <c r="I70" s="23"/>
      <c r="J70" s="23"/>
      <c r="K70" s="23"/>
      <c r="L70" s="23"/>
      <c r="M70" s="210"/>
      <c r="N70" s="95" t="s">
        <v>3090</v>
      </c>
      <c r="O70" s="95" t="s">
        <v>3095</v>
      </c>
      <c r="S70" s="37"/>
      <c r="V70" s="210"/>
      <c r="Y70" s="23"/>
      <c r="AQ70" s="210"/>
      <c r="AR70" s="23"/>
    </row>
    <row r="71" spans="2:45" s="22" customFormat="1">
      <c r="B71" s="22" t="s">
        <v>2996</v>
      </c>
      <c r="C71" s="22" t="s">
        <v>2998</v>
      </c>
      <c r="E71" s="210"/>
      <c r="F71" s="23"/>
      <c r="G71" s="23">
        <v>1</v>
      </c>
      <c r="H71" s="23"/>
      <c r="I71" s="23"/>
      <c r="J71" s="23"/>
      <c r="K71" s="23"/>
      <c r="L71" s="23">
        <v>1</v>
      </c>
      <c r="M71" s="210"/>
      <c r="N71" s="22" t="s">
        <v>49</v>
      </c>
      <c r="O71" s="22" t="s">
        <v>3076</v>
      </c>
      <c r="S71" s="37"/>
      <c r="V71" s="210"/>
      <c r="X71" s="36" t="s">
        <v>3064</v>
      </c>
      <c r="Y71" s="23">
        <v>1</v>
      </c>
      <c r="AQ71" s="210"/>
      <c r="AR71" s="23"/>
    </row>
    <row r="72" spans="2:45" s="22" customFormat="1">
      <c r="B72" s="22" t="s">
        <v>2974</v>
      </c>
      <c r="C72" s="22" t="s">
        <v>2999</v>
      </c>
      <c r="E72" s="210"/>
      <c r="F72" s="23">
        <v>1</v>
      </c>
      <c r="G72" s="23"/>
      <c r="H72" s="23"/>
      <c r="I72" s="23"/>
      <c r="J72" s="23"/>
      <c r="K72" s="23"/>
      <c r="L72" s="23"/>
      <c r="M72" s="210"/>
      <c r="N72" s="22" t="s">
        <v>49</v>
      </c>
      <c r="O72" s="22" t="s">
        <v>3077</v>
      </c>
      <c r="S72" s="37"/>
      <c r="V72" s="210"/>
      <c r="X72" s="36" t="s">
        <v>3065</v>
      </c>
      <c r="Y72" s="23">
        <v>1</v>
      </c>
      <c r="AQ72" s="210"/>
      <c r="AR72" s="23"/>
    </row>
    <row r="73" spans="2:45" s="22" customFormat="1">
      <c r="B73" s="22" t="s">
        <v>2997</v>
      </c>
      <c r="C73" s="22" t="s">
        <v>3000</v>
      </c>
      <c r="E73" s="210"/>
      <c r="F73" s="23"/>
      <c r="G73" s="23"/>
      <c r="H73" s="23"/>
      <c r="I73" s="23"/>
      <c r="J73" s="23"/>
      <c r="K73" s="23">
        <v>1</v>
      </c>
      <c r="L73" s="23"/>
      <c r="M73" s="210"/>
      <c r="N73" s="22" t="s">
        <v>49</v>
      </c>
      <c r="O73" s="22" t="s">
        <v>3078</v>
      </c>
      <c r="S73" s="37"/>
      <c r="V73" s="210"/>
      <c r="X73" s="36" t="s">
        <v>3066</v>
      </c>
      <c r="Y73" s="23">
        <v>1</v>
      </c>
      <c r="AQ73" s="210"/>
      <c r="AR73" s="23"/>
    </row>
    <row r="74" spans="2:45" s="22" customFormat="1">
      <c r="B74" s="22" t="s">
        <v>3001</v>
      </c>
      <c r="C74" s="22" t="s">
        <v>3002</v>
      </c>
      <c r="E74" s="210"/>
      <c r="F74" s="23"/>
      <c r="G74" s="23">
        <v>1</v>
      </c>
      <c r="H74" s="23"/>
      <c r="I74" s="23"/>
      <c r="J74" s="23"/>
      <c r="K74" s="23"/>
      <c r="L74" s="23"/>
      <c r="M74" s="210"/>
      <c r="N74" s="22" t="s">
        <v>49</v>
      </c>
      <c r="O74" s="22" t="s">
        <v>3079</v>
      </c>
      <c r="S74" s="37"/>
      <c r="V74" s="210"/>
      <c r="X74" s="36" t="s">
        <v>3067</v>
      </c>
      <c r="Y74" s="23">
        <v>1</v>
      </c>
      <c r="AQ74" s="210"/>
      <c r="AR74" s="23"/>
    </row>
    <row r="75" spans="2:45" s="22" customFormat="1">
      <c r="B75" s="22" t="s">
        <v>3003</v>
      </c>
      <c r="C75" s="22" t="s">
        <v>3004</v>
      </c>
      <c r="E75" s="210"/>
      <c r="F75" s="23"/>
      <c r="G75" s="23"/>
      <c r="H75" s="23"/>
      <c r="I75" s="23">
        <v>1</v>
      </c>
      <c r="J75" s="23"/>
      <c r="K75" s="23"/>
      <c r="L75" s="23"/>
      <c r="M75" s="210"/>
      <c r="N75" s="22" t="s">
        <v>49</v>
      </c>
      <c r="O75" s="22" t="s">
        <v>3080</v>
      </c>
      <c r="S75" s="37"/>
      <c r="V75" s="210"/>
      <c r="X75" s="36" t="s">
        <v>3068</v>
      </c>
      <c r="Y75" s="23">
        <v>1</v>
      </c>
      <c r="AQ75" s="210"/>
      <c r="AR75" s="23"/>
    </row>
    <row r="76" spans="2:45" s="22" customFormat="1">
      <c r="B76" s="22" t="s">
        <v>3005</v>
      </c>
      <c r="C76" s="22" t="s">
        <v>3006</v>
      </c>
      <c r="E76" s="210"/>
      <c r="F76" s="23"/>
      <c r="G76" s="23"/>
      <c r="H76" s="23"/>
      <c r="I76" s="23"/>
      <c r="J76" s="23"/>
      <c r="K76" s="23">
        <v>1</v>
      </c>
      <c r="L76" s="23"/>
      <c r="M76" s="210"/>
      <c r="N76" s="22" t="s">
        <v>49</v>
      </c>
      <c r="O76" s="22" t="s">
        <v>3081</v>
      </c>
      <c r="S76" s="37"/>
      <c r="V76" s="210"/>
      <c r="X76" s="36" t="s">
        <v>3069</v>
      </c>
      <c r="Y76" s="23">
        <v>1</v>
      </c>
      <c r="AQ76" s="210"/>
      <c r="AR76" s="23"/>
    </row>
    <row r="77" spans="2:45" s="22" customFormat="1">
      <c r="B77" s="22" t="s">
        <v>415</v>
      </c>
      <c r="C77" s="22" t="s">
        <v>3007</v>
      </c>
      <c r="E77" s="210"/>
      <c r="F77" s="23"/>
      <c r="G77" s="23"/>
      <c r="H77" s="23"/>
      <c r="I77" s="23">
        <v>1</v>
      </c>
      <c r="J77" s="23"/>
      <c r="K77" s="23"/>
      <c r="L77" s="23"/>
      <c r="M77" s="210"/>
      <c r="N77" s="22" t="s">
        <v>1118</v>
      </c>
      <c r="O77" s="22" t="s">
        <v>3082</v>
      </c>
      <c r="S77" s="37"/>
      <c r="V77" s="210"/>
      <c r="X77" s="36" t="s">
        <v>3070</v>
      </c>
      <c r="Y77" s="23">
        <v>1</v>
      </c>
      <c r="AQ77" s="210"/>
      <c r="AR77" s="23"/>
    </row>
    <row r="78" spans="2:45" s="22" customFormat="1">
      <c r="B78" s="22" t="s">
        <v>3016</v>
      </c>
      <c r="C78" s="22" t="s">
        <v>3008</v>
      </c>
      <c r="E78" s="210"/>
      <c r="F78" s="23"/>
      <c r="G78" s="23"/>
      <c r="H78" s="23"/>
      <c r="I78" s="23">
        <v>1</v>
      </c>
      <c r="J78" s="23"/>
      <c r="K78" s="23"/>
      <c r="L78" s="23"/>
      <c r="M78" s="210"/>
      <c r="N78" s="22" t="s">
        <v>49</v>
      </c>
      <c r="O78" s="22" t="s">
        <v>3082</v>
      </c>
      <c r="S78" s="37"/>
      <c r="V78" s="210"/>
      <c r="X78" s="36" t="s">
        <v>3071</v>
      </c>
      <c r="Y78" s="23">
        <v>1</v>
      </c>
      <c r="AQ78" s="210"/>
      <c r="AR78" s="23"/>
    </row>
    <row r="79" spans="2:45" s="22" customFormat="1">
      <c r="B79" s="22" t="s">
        <v>3009</v>
      </c>
      <c r="C79" s="22" t="s">
        <v>3010</v>
      </c>
      <c r="E79" s="210"/>
      <c r="F79" s="23"/>
      <c r="G79" s="23"/>
      <c r="H79" s="23"/>
      <c r="I79" s="23"/>
      <c r="J79" s="23"/>
      <c r="K79" s="23">
        <v>1</v>
      </c>
      <c r="L79" s="23"/>
      <c r="M79" s="210"/>
      <c r="N79" s="22" t="s">
        <v>49</v>
      </c>
      <c r="O79" s="22" t="s">
        <v>3083</v>
      </c>
      <c r="S79" s="37"/>
      <c r="V79" s="210"/>
      <c r="X79" s="36" t="s">
        <v>3072</v>
      </c>
      <c r="Y79" s="23">
        <v>1</v>
      </c>
      <c r="AQ79" s="210"/>
      <c r="AR79" s="23"/>
    </row>
    <row r="80" spans="2:45" s="22" customFormat="1">
      <c r="B80" s="22" t="s">
        <v>3011</v>
      </c>
      <c r="C80" s="22" t="s">
        <v>1338</v>
      </c>
      <c r="E80" s="210"/>
      <c r="F80" s="23"/>
      <c r="G80" s="23"/>
      <c r="H80" s="23"/>
      <c r="I80" s="23"/>
      <c r="J80" s="23"/>
      <c r="K80" s="23">
        <v>1</v>
      </c>
      <c r="L80" s="23"/>
      <c r="M80" s="210"/>
      <c r="N80" s="22" t="s">
        <v>49</v>
      </c>
      <c r="O80" s="22" t="s">
        <v>3084</v>
      </c>
      <c r="S80" s="37"/>
      <c r="V80" s="210"/>
      <c r="X80" s="36" t="s">
        <v>3073</v>
      </c>
      <c r="Y80" s="23">
        <v>1</v>
      </c>
      <c r="AQ80" s="210"/>
      <c r="AR80" s="23"/>
    </row>
    <row r="81" spans="1:44" s="22" customFormat="1">
      <c r="B81" s="22" t="s">
        <v>3012</v>
      </c>
      <c r="C81" s="22" t="s">
        <v>3013</v>
      </c>
      <c r="E81" s="210"/>
      <c r="F81" s="23"/>
      <c r="G81" s="23"/>
      <c r="H81" s="23">
        <v>1</v>
      </c>
      <c r="I81" s="23"/>
      <c r="J81" s="23"/>
      <c r="K81" s="23"/>
      <c r="L81" s="23"/>
      <c r="M81" s="210"/>
      <c r="N81" s="22" t="s">
        <v>49</v>
      </c>
      <c r="O81" s="22" t="s">
        <v>3085</v>
      </c>
      <c r="S81" s="37"/>
      <c r="V81" s="210"/>
      <c r="X81" s="36" t="s">
        <v>3074</v>
      </c>
      <c r="Y81" s="23">
        <v>1</v>
      </c>
      <c r="AQ81" s="210"/>
      <c r="AR81" s="23"/>
    </row>
    <row r="82" spans="1:44" s="22" customFormat="1">
      <c r="B82" s="22" t="s">
        <v>3014</v>
      </c>
      <c r="C82" s="22" t="s">
        <v>3015</v>
      </c>
      <c r="E82" s="210"/>
      <c r="F82" s="23"/>
      <c r="G82" s="23"/>
      <c r="H82" s="23"/>
      <c r="I82" s="23">
        <v>1</v>
      </c>
      <c r="J82" s="23"/>
      <c r="K82" s="23"/>
      <c r="L82" s="23"/>
      <c r="M82" s="210"/>
      <c r="N82" s="22" t="s">
        <v>49</v>
      </c>
      <c r="O82" s="22" t="s">
        <v>3086</v>
      </c>
      <c r="S82" s="37"/>
      <c r="V82" s="210"/>
      <c r="X82" s="36" t="s">
        <v>3075</v>
      </c>
      <c r="Y82" s="23">
        <v>1</v>
      </c>
      <c r="AQ82" s="210"/>
      <c r="AR82" s="23"/>
    </row>
    <row r="83" spans="1:44" s="22" customFormat="1">
      <c r="E83" s="37"/>
      <c r="M83" s="37"/>
      <c r="S83" s="37"/>
      <c r="V83" s="37"/>
      <c r="Y83" s="23"/>
      <c r="AQ83" s="37"/>
      <c r="AR83" s="23"/>
    </row>
    <row r="84" spans="1:44" s="22" customFormat="1">
      <c r="E84" s="37"/>
      <c r="M84" s="37"/>
      <c r="S84" s="37"/>
      <c r="V84" s="37"/>
      <c r="Y84" s="23"/>
      <c r="AQ84" s="37"/>
      <c r="AR84" s="23"/>
    </row>
    <row r="85" spans="1:44" s="22" customFormat="1">
      <c r="S85" s="37"/>
      <c r="Y85" s="23"/>
      <c r="AR85" s="23"/>
    </row>
    <row r="86" spans="1:44" s="184" customFormat="1" ht="19">
      <c r="A86" s="87"/>
      <c r="B86" s="87" t="s">
        <v>684</v>
      </c>
      <c r="C86" s="87"/>
      <c r="D86" s="87"/>
      <c r="E86" s="195"/>
      <c r="F86" s="87">
        <f t="shared" ref="F86:L86" si="0">SUM(F41:F82)</f>
        <v>15</v>
      </c>
      <c r="G86" s="87">
        <f t="shared" si="0"/>
        <v>3</v>
      </c>
      <c r="H86" s="87">
        <f t="shared" si="0"/>
        <v>2</v>
      </c>
      <c r="I86" s="87">
        <f t="shared" si="0"/>
        <v>5</v>
      </c>
      <c r="J86" s="87">
        <f t="shared" si="0"/>
        <v>2</v>
      </c>
      <c r="K86" s="87">
        <f t="shared" si="0"/>
        <v>5</v>
      </c>
      <c r="L86" s="87">
        <f t="shared" si="0"/>
        <v>1</v>
      </c>
      <c r="M86" s="195"/>
      <c r="N86" s="195"/>
      <c r="O86" s="195"/>
      <c r="P86" s="195"/>
      <c r="Q86" s="195"/>
      <c r="R86" s="195"/>
      <c r="S86" s="196"/>
      <c r="T86" s="195"/>
      <c r="U86" s="195"/>
      <c r="V86" s="195"/>
      <c r="W86" s="195"/>
      <c r="X86" s="195"/>
      <c r="Y86" s="87">
        <f>SUM(Y41:Y82)</f>
        <v>22</v>
      </c>
      <c r="Z86" s="195"/>
      <c r="AA86" s="87">
        <f>SUM(AA41:AA82)</f>
        <v>0</v>
      </c>
      <c r="AB86" s="195"/>
      <c r="AC86" s="87">
        <f>SUM(AC41:AC82)</f>
        <v>0</v>
      </c>
      <c r="AD86" s="87">
        <f>SUM(AD41:AD82)</f>
        <v>0</v>
      </c>
      <c r="AE86" s="87">
        <f>SUM(AE41:AE82)</f>
        <v>0</v>
      </c>
      <c r="AF86" s="195"/>
      <c r="AG86" s="87">
        <f>SUM(AG41:AG82)</f>
        <v>0</v>
      </c>
      <c r="AH86" s="87">
        <f>SUM(AH41:AH82)</f>
        <v>0</v>
      </c>
      <c r="AI86" s="195"/>
      <c r="AJ86" s="87">
        <f>SUM(AJ41:AJ82)</f>
        <v>1</v>
      </c>
      <c r="AK86" s="195"/>
      <c r="AL86" s="87">
        <f>SUM(AL41:AL82)</f>
        <v>0</v>
      </c>
      <c r="AM86" s="87">
        <f>SUM(AM41:AM82)</f>
        <v>0</v>
      </c>
      <c r="AN86" s="195"/>
      <c r="AO86" s="87">
        <f>SUM(AO41:AO82)</f>
        <v>0</v>
      </c>
      <c r="AP86" s="87">
        <f>SUM(AP41:AP82)</f>
        <v>0</v>
      </c>
      <c r="AR86" s="88">
        <f>SUM(AR41:AR82)</f>
        <v>2158</v>
      </c>
    </row>
    <row r="87" spans="1:44" s="22" customFormat="1">
      <c r="S87" s="37"/>
      <c r="Y87" s="23"/>
      <c r="AR87" s="23"/>
    </row>
    <row r="88" spans="1:44" s="22" customFormat="1">
      <c r="S88" s="37"/>
      <c r="Y88" s="23"/>
      <c r="AR88" s="23"/>
    </row>
    <row r="89" spans="1:44" s="22" customFormat="1">
      <c r="S89" s="37"/>
      <c r="Y89" s="23"/>
      <c r="AR89" s="23"/>
    </row>
    <row r="90" spans="1:44" s="22" customFormat="1">
      <c r="S90" s="37"/>
      <c r="Y90" s="23"/>
      <c r="AR90" s="23"/>
    </row>
    <row r="91" spans="1:44" s="22" customFormat="1">
      <c r="S91" s="37"/>
      <c r="Y91" s="23"/>
      <c r="AR91" s="23"/>
    </row>
    <row r="92" spans="1:44" s="22" customFormat="1">
      <c r="S92" s="37"/>
      <c r="Y92" s="23"/>
      <c r="AR92" s="23"/>
    </row>
    <row r="93" spans="1:44" s="22" customFormat="1">
      <c r="S93" s="37"/>
      <c r="Y93" s="23"/>
      <c r="AR93" s="23"/>
    </row>
    <row r="94" spans="1:44" s="22" customFormat="1">
      <c r="S94" s="37"/>
      <c r="Y94" s="23"/>
      <c r="AR94" s="23"/>
    </row>
    <row r="95" spans="1:44" s="22" customFormat="1">
      <c r="S95" s="37"/>
      <c r="Y95" s="23"/>
      <c r="AR95" s="23"/>
    </row>
    <row r="96" spans="1:44" s="22" customFormat="1">
      <c r="S96" s="37"/>
      <c r="Y96" s="23"/>
      <c r="AR96" s="23"/>
    </row>
    <row r="97" spans="19:44" s="22" customFormat="1">
      <c r="S97" s="37"/>
      <c r="Y97" s="23"/>
      <c r="AR97" s="23"/>
    </row>
    <row r="98" spans="19:44" s="22" customFormat="1">
      <c r="S98" s="37"/>
      <c r="Y98" s="23"/>
      <c r="AR98" s="23"/>
    </row>
    <row r="99" spans="19:44" s="22" customFormat="1">
      <c r="S99" s="37"/>
      <c r="Y99" s="23"/>
      <c r="AR99" s="23"/>
    </row>
    <row r="100" spans="19:44" s="22" customFormat="1">
      <c r="S100" s="37"/>
      <c r="Y100" s="23"/>
      <c r="AR100" s="23"/>
    </row>
    <row r="101" spans="19:44" s="22" customFormat="1">
      <c r="S101" s="37"/>
      <c r="Y101" s="23"/>
      <c r="AR101" s="23"/>
    </row>
    <row r="102" spans="19:44" s="22" customFormat="1">
      <c r="S102" s="37"/>
      <c r="Y102" s="23"/>
      <c r="AR102" s="23"/>
    </row>
    <row r="103" spans="19:44" s="22" customFormat="1">
      <c r="S103" s="37"/>
      <c r="Y103" s="23"/>
      <c r="AR103" s="23"/>
    </row>
    <row r="104" spans="19:44" s="22" customFormat="1">
      <c r="S104" s="37"/>
      <c r="Y104" s="23"/>
      <c r="AR104" s="23"/>
    </row>
    <row r="105" spans="19:44" s="22" customFormat="1">
      <c r="S105" s="37"/>
      <c r="Y105" s="23"/>
      <c r="AR105" s="23"/>
    </row>
    <row r="106" spans="19:44" s="22" customFormat="1">
      <c r="S106" s="37"/>
      <c r="Y106" s="23"/>
      <c r="AR106" s="23"/>
    </row>
    <row r="107" spans="19:44" s="22" customFormat="1">
      <c r="S107" s="37"/>
      <c r="Y107" s="23"/>
      <c r="AR107" s="23"/>
    </row>
    <row r="108" spans="19:44" s="22" customFormat="1">
      <c r="S108" s="37"/>
      <c r="Y108" s="23"/>
      <c r="AR108" s="23"/>
    </row>
    <row r="109" spans="19:44" s="22" customFormat="1">
      <c r="S109" s="37"/>
      <c r="Y109" s="23"/>
      <c r="AR109" s="23"/>
    </row>
    <row r="110" spans="19:44" s="22" customFormat="1">
      <c r="S110" s="37"/>
      <c r="Y110" s="23"/>
      <c r="AR110" s="23"/>
    </row>
    <row r="111" spans="19:44" s="22" customFormat="1">
      <c r="S111" s="37"/>
      <c r="Y111" s="23"/>
      <c r="AR111" s="23"/>
    </row>
    <row r="112" spans="19:44" s="22" customFormat="1">
      <c r="S112" s="37"/>
      <c r="Y112" s="23"/>
      <c r="AR112" s="23"/>
    </row>
    <row r="113" spans="1:46" s="22" customFormat="1">
      <c r="S113" s="37"/>
      <c r="Y113" s="23"/>
      <c r="AR113" s="23"/>
    </row>
    <row r="114" spans="1:46" s="22" customFormat="1">
      <c r="S114" s="37"/>
      <c r="Y114" s="23"/>
      <c r="AR114" s="23"/>
    </row>
    <row r="115" spans="1:46" s="22" customFormat="1">
      <c r="S115" s="37"/>
      <c r="Y115" s="23"/>
      <c r="AR115" s="23"/>
    </row>
    <row r="116" spans="1:46" s="22" customFormat="1">
      <c r="S116" s="37"/>
      <c r="Y116" s="23"/>
      <c r="AR116" s="23"/>
    </row>
    <row r="117" spans="1:46" s="22" customFormat="1">
      <c r="S117" s="37"/>
      <c r="Y117" s="23"/>
      <c r="AR117" s="23"/>
    </row>
    <row r="118" spans="1:46" s="22" customFormat="1">
      <c r="S118" s="37"/>
      <c r="Y118" s="23"/>
      <c r="AR118" s="23"/>
    </row>
    <row r="119" spans="1:46" s="22" customFormat="1">
      <c r="S119" s="37"/>
      <c r="Y119" s="23"/>
      <c r="AR119" s="23"/>
    </row>
    <row r="120" spans="1:46" s="22" customFormat="1">
      <c r="S120" s="37"/>
      <c r="Y120" s="23"/>
      <c r="AR120" s="23"/>
    </row>
    <row r="121" spans="1:46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37"/>
      <c r="T121" s="22"/>
      <c r="U121" s="22"/>
      <c r="V121" s="22"/>
      <c r="W121" s="22"/>
      <c r="X121" s="22"/>
      <c r="Y121" s="23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3"/>
      <c r="AS121" s="22"/>
      <c r="AT121" s="22"/>
    </row>
    <row r="123" spans="1:46">
      <c r="O123"/>
    </row>
    <row r="124" spans="1:46">
      <c r="O124"/>
    </row>
    <row r="125" spans="1:46" ht="23">
      <c r="O125" s="191"/>
    </row>
    <row r="126" spans="1:46">
      <c r="N126"/>
      <c r="O126"/>
      <c r="P126"/>
    </row>
    <row r="127" spans="1:46">
      <c r="O127"/>
    </row>
  </sheetData>
  <sortState xmlns:xlrd2="http://schemas.microsoft.com/office/spreadsheetml/2017/richdata2" ref="A71:AT129">
    <sortCondition ref="O71:O129"/>
  </sortState>
  <hyperlinks>
    <hyperlink ref="B41" r:id="rId1" display="mailto:csmith@cdcma.org" xr:uid="{DD46928F-A6DE-1E4C-8685-6A7560261120}"/>
    <hyperlink ref="X45" r:id="rId2" display="mailto:tflanders@alliancese.org" xr:uid="{71044D64-2B64-484E-92EB-8F3F5739ECC7}"/>
    <hyperlink ref="X46" r:id="rId3" display="mailto:nageld@cmawpa.org" xr:uid="{81128516-6D6C-D447-8168-F3B7B39F69AC}"/>
    <hyperlink ref="T47" r:id="rId4" display="tel:+15306622500" xr:uid="{2DB43F5D-DC63-2840-9D09-D8CE22CD6850}"/>
    <hyperlink ref="B47" r:id="rId5" display="https://cpdistrict.org/who-we-are/" xr:uid="{FD7A9361-5039-C143-B5CC-E6CBC27B16C8}"/>
    <hyperlink ref="B50" r:id="rId6" display="https://rmdcma.com/team-wiggins" xr:uid="{4E56414C-AF41-634F-B548-E89F73D56C51}"/>
    <hyperlink ref="P51" r:id="rId7" display="https://goo.gl/maps/upYgarLzSiPYq7KN7" xr:uid="{2CDD70A4-9088-C54D-AE9A-D9A270F8826F}"/>
    <hyperlink ref="T53" r:id="rId8" display="tel://630-893-1355/" xr:uid="{9E831BB0-FAA0-6F48-B832-53E0E0813002}"/>
    <hyperlink ref="T55" r:id="rId9" display="tel: 704-543-0470" xr:uid="{2A83106D-E7BD-F947-A14C-0334F2F7C921}"/>
    <hyperlink ref="B56" r:id="rId10" display="https://madcma.org/district-family/" xr:uid="{0A85E3C9-7D17-3542-957C-652F5D220044}"/>
    <hyperlink ref="P57" r:id="rId11" display="https://www.greatlakesdistrict.com/home-1" xr:uid="{D6E941A4-E45F-344E-ACBE-C5BA6CB396CD}"/>
    <hyperlink ref="T58" r:id="rId12" display="tel:508-238-3820" xr:uid="{DC290E89-A7DC-6B49-90EA-DB31ED30C014}"/>
    <hyperlink ref="T59" r:id="rId13" display="tel:+15036859160" xr:uid="{F778B307-C45C-5742-999B-830325810860}"/>
    <hyperlink ref="P60" r:id="rId14" display="https://goo.gl/maps/771PDnf9XN9s4VNTA" xr:uid="{9ABE2077-504A-8E45-B941-7845AB310347}"/>
    <hyperlink ref="T60" r:id="rId15" display="tel:+1-951-719-1191" xr:uid="{AD3E66DD-BBD8-C242-BA4A-A673123FD46B}"/>
    <hyperlink ref="P61" r:id="rId16" display="https://goo.gl/maps/V8EvZnpCb3QCJdRL6" xr:uid="{24E08845-14C9-9844-84E7-94F211FD97CF}"/>
    <hyperlink ref="Q61" r:id="rId17" display="https://goo.gl/maps/V8EvZnpCb3QCJdRL6" xr:uid="{DC5485B3-D4FD-F946-99E2-647041CC9C8A}"/>
    <hyperlink ref="T61" r:id="rId18" display="tel:9207341123" xr:uid="{E5B9B302-F465-F545-8E6D-B977DB5768F5}"/>
    <hyperlink ref="T64" r:id="rId19" display="tel:9733514226" xr:uid="{D0BB2D52-8F9B-5C47-98DD-E0154F7E4A09}"/>
    <hyperlink ref="X71" r:id="rId20" display="mailto:hopealliance@sbcglobal.net" xr:uid="{FE6AD45E-6903-6444-A01B-F2FF9E9E06FC}"/>
    <hyperlink ref="X73" r:id="rId21" display="mailto:sarkisdiarbi@hotmail.com" xr:uid="{2E0B2A0C-74C7-974F-9468-52364E41F302}"/>
    <hyperlink ref="X74" r:id="rId22" display="mailto:siyumey@yahoo.com" xr:uid="{40E07506-96DE-3548-A9B6-B7B8F9183D14}"/>
    <hyperlink ref="X75" r:id="rId23" display="mailto:rothie357@gmail.com" xr:uid="{43288E41-E1A5-AF4F-9FB0-1B326750AD75}"/>
    <hyperlink ref="X76" r:id="rId24" display="mailto:hendyasiu@att.net" xr:uid="{491A06C9-2585-764B-BE2A-EDDA4DA9BD27}"/>
    <hyperlink ref="X77" r:id="rId25" display="mailto:jameschung@uscca.org" xr:uid="{6E789578-16EC-304E-A072-0F2ADCA07B5A}"/>
    <hyperlink ref="X78" r:id="rId26" display="mailto:pastorkcwong@gmail.com" xr:uid="{A87C46AB-0EEC-A947-A2BB-53E630A674E4}"/>
    <hyperlink ref="X82" r:id="rId27" display="mailto:narethm@gmail.com" xr:uid="{AA50461F-BCA2-4D44-8D97-65F416D8A21A}"/>
    <hyperlink ref="X79" r:id="rId28" display="mailto:kfleury@hotmail.com" xr:uid="{9E409185-1532-494B-8D31-5C9C166CE814}"/>
    <hyperlink ref="X80" r:id="rId29" display="mailto:nallianceassoc@gmail.com" xr:uid="{5FB82B41-D253-8C4F-AE58-3AA0A417ECD1}"/>
    <hyperlink ref="X81" r:id="rId30" display="mailto:hlecaro41@verizon.net" xr:uid="{5E7F5C21-C725-7048-8940-48E3B799B680}"/>
    <hyperlink ref="X72" r:id="rId31" display="mailto:multicultural@cmalliance.org" xr:uid="{B6B22465-0934-3C43-8A30-FD999C461B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Denominations</vt:lpstr>
      <vt:lpstr>Assembly of God Summary</vt:lpstr>
      <vt:lpstr>AG Contacts &amp; Churches</vt:lpstr>
      <vt:lpstr>Foursquare Summary</vt:lpstr>
      <vt:lpstr>Foursquare Churches</vt:lpstr>
      <vt:lpstr>SBC Summary</vt:lpstr>
      <vt:lpstr>SBC Churches</vt:lpstr>
      <vt:lpstr>ECO Summary</vt:lpstr>
      <vt:lpstr>ECO Churches</vt:lpstr>
      <vt:lpstr>Vineyard Summary</vt:lpstr>
      <vt:lpstr>ARC Network</vt:lpstr>
      <vt:lpstr>Covenant</vt:lpstr>
      <vt:lpstr>EV Free</vt:lpstr>
      <vt:lpstr>Open Bible</vt:lpstr>
      <vt:lpstr>Nazarene</vt:lpstr>
      <vt:lpstr>Christian Missionary Aliance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 Olinger</dc:creator>
  <cp:lastModifiedBy>Wade Olinger</cp:lastModifiedBy>
  <dcterms:created xsi:type="dcterms:W3CDTF">2022-08-26T12:18:41Z</dcterms:created>
  <dcterms:modified xsi:type="dcterms:W3CDTF">2024-07-26T16:13:22Z</dcterms:modified>
</cp:coreProperties>
</file>